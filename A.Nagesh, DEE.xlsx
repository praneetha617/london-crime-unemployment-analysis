
<file path=[Content_Types].xml><?xml version="1.0" encoding="utf-8"?>
<Types xmlns="http://schemas.openxmlformats.org/package/2006/content-types">
  <Override PartName="/xl/drawings/drawing9.xml" ContentType="application/vnd.openxmlformats-officedocument.drawing+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Default Extension="jpeg" ContentType="image/jpeg"/>
  <Override PartName="/xl/drawings/drawing4.xml" ContentType="application/vnd.openxmlformats-officedocument.drawing+xml"/>
  <Override PartName="/xl/drawings/drawing5.xml" ContentType="application/vnd.openxmlformats-officedocument.drawing+xml"/>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drawings/drawing2.xml" ContentType="application/vnd.openxmlformats-officedocument.drawing+xml"/>
  <Override PartName="/xl/drawings/drawing3.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docProps/custom.xml" ContentType="application/vnd.openxmlformats-officedocument.custom-properties+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525" windowWidth="17895" windowHeight="6855" activeTab="3"/>
  </bookViews>
  <sheets>
    <sheet name="Tax rules" sheetId="1" r:id="rId1"/>
    <sheet name="DATA" sheetId="2" r:id="rId2"/>
    <sheet name="Bill" sheetId="3" r:id="rId3"/>
    <sheet name="Annexure -I I" sheetId="4" r:id="rId4"/>
    <sheet name="Form-16" sheetId="5" r:id="rId5"/>
    <sheet name="Form-16 Back" sheetId="6" r:id="rId6"/>
    <sheet name="Form 12BB" sheetId="7" r:id="rId7"/>
    <sheet name="Form 10E" sheetId="8" r:id="rId8"/>
    <sheet name="DA Table" sheetId="9" state="hidden" r:id="rId9"/>
    <sheet name="Rent Receipt" sheetId="10" r:id="rId10"/>
  </sheets>
  <calcPr calcId="124519"/>
</workbook>
</file>

<file path=xl/calcChain.xml><?xml version="1.0" encoding="utf-8"?>
<calcChain xmlns="http://schemas.openxmlformats.org/spreadsheetml/2006/main">
  <c r="S45" i="10"/>
  <c r="E23"/>
  <c r="E22"/>
  <c r="E21"/>
  <c r="E20"/>
  <c r="E18"/>
  <c r="C12"/>
  <c r="H11"/>
  <c r="C11"/>
  <c r="C10"/>
  <c r="J9"/>
  <c r="C9"/>
  <c r="F8"/>
  <c r="O234" i="9"/>
  <c r="AI186" s="1"/>
  <c r="L195"/>
  <c r="L196" s="1"/>
  <c r="AC194"/>
  <c r="V194"/>
  <c r="AC193"/>
  <c r="V193"/>
  <c r="L191"/>
  <c r="L193" s="1"/>
  <c r="W189"/>
  <c r="L189"/>
  <c r="AC188" s="1"/>
  <c r="Y188"/>
  <c r="L188"/>
  <c r="AA188" s="1"/>
  <c r="V187"/>
  <c r="W186" s="1"/>
  <c r="W187" s="1"/>
  <c r="X187" s="1"/>
  <c r="L187"/>
  <c r="V186"/>
  <c r="X175"/>
  <c r="X176" s="1"/>
  <c r="AC187" s="1"/>
  <c r="V167"/>
  <c r="V161"/>
  <c r="U161"/>
  <c r="V189" s="1"/>
  <c r="Z251" s="1"/>
  <c r="W160"/>
  <c r="V191" s="1"/>
  <c r="V192" s="1"/>
  <c r="T160"/>
  <c r="V190" s="1"/>
  <c r="V158"/>
  <c r="V188" s="1"/>
  <c r="B55"/>
  <c r="H53"/>
  <c r="G53"/>
  <c r="F53"/>
  <c r="I47"/>
  <c r="B47"/>
  <c r="B46"/>
  <c r="B45"/>
  <c r="B28"/>
  <c r="B27"/>
  <c r="B26"/>
  <c r="B25"/>
  <c r="B24"/>
  <c r="B23"/>
  <c r="B22"/>
  <c r="B21"/>
  <c r="B20"/>
  <c r="B19"/>
  <c r="B18"/>
  <c r="B17"/>
  <c r="E16"/>
  <c r="D16"/>
  <c r="F16" s="1"/>
  <c r="B16"/>
  <c r="B13"/>
  <c r="B2"/>
  <c r="AH125" i="8"/>
  <c r="AH124"/>
  <c r="AE120"/>
  <c r="AC120"/>
  <c r="D87"/>
  <c r="E74"/>
  <c r="U53"/>
  <c r="D42"/>
  <c r="D41"/>
  <c r="F38"/>
  <c r="AC36"/>
  <c r="AE35"/>
  <c r="AE37" s="1"/>
  <c r="AC35"/>
  <c r="AC37" s="1"/>
  <c r="AO20"/>
  <c r="AO19"/>
  <c r="AN16"/>
  <c r="AC78" s="1"/>
  <c r="AM16"/>
  <c r="E79" s="1"/>
  <c r="AM15"/>
  <c r="E76" s="1"/>
  <c r="AN14"/>
  <c r="AC20" s="1"/>
  <c r="AM14"/>
  <c r="E77" s="1"/>
  <c r="AL14"/>
  <c r="AN13"/>
  <c r="AC53" s="1"/>
  <c r="AM13"/>
  <c r="E78" s="1"/>
  <c r="T13"/>
  <c r="AM12"/>
  <c r="E75" s="1"/>
  <c r="AM11"/>
  <c r="C11"/>
  <c r="L8"/>
  <c r="D49" i="7"/>
  <c r="E46"/>
  <c r="D46"/>
  <c r="D45"/>
  <c r="E41"/>
  <c r="D41"/>
  <c r="D36"/>
  <c r="D35"/>
  <c r="D34"/>
  <c r="D33"/>
  <c r="D32"/>
  <c r="E31"/>
  <c r="D31"/>
  <c r="E30"/>
  <c r="D30"/>
  <c r="D29"/>
  <c r="Q14"/>
  <c r="N10"/>
  <c r="K9"/>
  <c r="K8"/>
  <c r="H71" i="6"/>
  <c r="H70"/>
  <c r="D70"/>
  <c r="D69"/>
  <c r="K14"/>
  <c r="J14"/>
  <c r="J12"/>
  <c r="C12"/>
  <c r="J11"/>
  <c r="J10"/>
  <c r="J9"/>
  <c r="D2"/>
  <c r="H60" i="5"/>
  <c r="H57"/>
  <c r="J57" s="1"/>
  <c r="H56"/>
  <c r="J56" s="1"/>
  <c r="J55"/>
  <c r="H55"/>
  <c r="H54"/>
  <c r="J54" s="1"/>
  <c r="H53"/>
  <c r="J53" s="1"/>
  <c r="D52"/>
  <c r="E32" i="7" s="1"/>
  <c r="H37" i="5"/>
  <c r="K11"/>
  <c r="G11"/>
  <c r="E11"/>
  <c r="B11"/>
  <c r="G9"/>
  <c r="B9"/>
  <c r="G8"/>
  <c r="B8"/>
  <c r="B7"/>
  <c r="B6"/>
  <c r="B2"/>
  <c r="AH67" i="4"/>
  <c r="AH66"/>
  <c r="AH65"/>
  <c r="AH64"/>
  <c r="AH63"/>
  <c r="AI62"/>
  <c r="AF62"/>
  <c r="L58"/>
  <c r="M26" i="6" s="1"/>
  <c r="L57" i="4"/>
  <c r="M25" i="6" s="1"/>
  <c r="U56" i="4"/>
  <c r="L56"/>
  <c r="M24" i="6" s="1"/>
  <c r="U55" i="4"/>
  <c r="U54"/>
  <c r="AH53"/>
  <c r="U53"/>
  <c r="S53"/>
  <c r="S54" s="1"/>
  <c r="S55" s="1"/>
  <c r="S56" s="1"/>
  <c r="S57" s="1"/>
  <c r="AH52"/>
  <c r="S52"/>
  <c r="AI51"/>
  <c r="AF51"/>
  <c r="T51"/>
  <c r="D47"/>
  <c r="D3" i="6" s="1"/>
  <c r="K45" i="4"/>
  <c r="M37" i="7" s="1"/>
  <c r="Q37" s="1"/>
  <c r="K44" i="4"/>
  <c r="M36" i="7" s="1"/>
  <c r="Q36" s="1"/>
  <c r="K43" i="4"/>
  <c r="M35" i="7" s="1"/>
  <c r="Q35" s="1"/>
  <c r="K42" i="4"/>
  <c r="M34" i="7" s="1"/>
  <c r="Q34" s="1"/>
  <c r="K41" i="4"/>
  <c r="M33" i="7" s="1"/>
  <c r="Q33" s="1"/>
  <c r="G38" i="4"/>
  <c r="I37"/>
  <c r="D37"/>
  <c r="D49" i="5" s="1"/>
  <c r="E29" i="7" s="1"/>
  <c r="AC25" i="4"/>
  <c r="J24"/>
  <c r="I44" i="5" s="1"/>
  <c r="I24" i="4"/>
  <c r="H44" i="5" s="1"/>
  <c r="L23" i="4"/>
  <c r="L43" i="5" s="1"/>
  <c r="J23" i="4"/>
  <c r="I43" i="5" s="1"/>
  <c r="I23" i="4"/>
  <c r="H43" i="5" s="1"/>
  <c r="L22" i="4"/>
  <c r="L42" i="5" s="1"/>
  <c r="J22" i="4"/>
  <c r="I42" i="5" s="1"/>
  <c r="I22" i="4"/>
  <c r="H42" i="5" s="1"/>
  <c r="J21" i="4"/>
  <c r="I41" i="5" s="1"/>
  <c r="I21" i="4"/>
  <c r="H41" i="5" s="1"/>
  <c r="L20" i="4"/>
  <c r="J20"/>
  <c r="I40" i="5" s="1"/>
  <c r="I20" i="4"/>
  <c r="H40" i="5" s="1"/>
  <c r="L14" i="4"/>
  <c r="L8"/>
  <c r="H8"/>
  <c r="I7"/>
  <c r="I6"/>
  <c r="B5"/>
  <c r="B2"/>
  <c r="Q25" i="3"/>
  <c r="X24"/>
  <c r="AK24" s="1"/>
  <c r="AM24" s="1"/>
  <c r="C24"/>
  <c r="AY21"/>
  <c r="T21" s="1"/>
  <c r="AX21"/>
  <c r="AV21"/>
  <c r="G21" s="1"/>
  <c r="AU21"/>
  <c r="AT21"/>
  <c r="D21" s="1"/>
  <c r="R21"/>
  <c r="L21"/>
  <c r="AS21"/>
  <c r="AW18"/>
  <c r="AT18"/>
  <c r="AI18"/>
  <c r="H72" i="4" s="1"/>
  <c r="AW17" i="3"/>
  <c r="AI17"/>
  <c r="H71" i="4" s="1"/>
  <c r="AW16" i="3"/>
  <c r="AQ16"/>
  <c r="AI16"/>
  <c r="H70" i="4" s="1"/>
  <c r="AW15" i="3"/>
  <c r="AQ15"/>
  <c r="AO15"/>
  <c r="AI15"/>
  <c r="H69" i="4" s="1"/>
  <c r="P25" i="3"/>
  <c r="AW14"/>
  <c r="AI14"/>
  <c r="H68" i="4" s="1"/>
  <c r="AW13" i="3"/>
  <c r="AI13"/>
  <c r="H67" i="4" s="1"/>
  <c r="AW12" i="3"/>
  <c r="AI12"/>
  <c r="F72" i="4" s="1"/>
  <c r="AF12" i="3"/>
  <c r="J12"/>
  <c r="K12" s="1"/>
  <c r="AW11"/>
  <c r="AI11"/>
  <c r="F71" i="4" s="1"/>
  <c r="AW10" i="3"/>
  <c r="AI10"/>
  <c r="F70" i="4" s="1"/>
  <c r="AW9" i="3"/>
  <c r="AP9"/>
  <c r="AI9"/>
  <c r="F69" i="4" s="1"/>
  <c r="AW8" i="3"/>
  <c r="AP8"/>
  <c r="AI8"/>
  <c r="F68" i="4" s="1"/>
  <c r="AW7" i="3"/>
  <c r="AP7"/>
  <c r="AO7"/>
  <c r="AI7"/>
  <c r="F67" i="4" s="1"/>
  <c r="J7" i="3"/>
  <c r="K7" s="1"/>
  <c r="AE6"/>
  <c r="AB6"/>
  <c r="W6"/>
  <c r="U6"/>
  <c r="S6"/>
  <c r="Q6"/>
  <c r="O6"/>
  <c r="M6"/>
  <c r="K6"/>
  <c r="I6"/>
  <c r="H6"/>
  <c r="Y2"/>
  <c r="X2"/>
  <c r="CZ325" i="2"/>
  <c r="DB320"/>
  <c r="DB319" s="1"/>
  <c r="CA315"/>
  <c r="BZ314"/>
  <c r="BZ315" s="1"/>
  <c r="CA316" s="1"/>
  <c r="BZ316" s="1"/>
  <c r="BX314"/>
  <c r="BW314"/>
  <c r="BW315" s="1"/>
  <c r="BW316" s="1"/>
  <c r="BW317" s="1"/>
  <c r="BW318" s="1"/>
  <c r="DB311"/>
  <c r="DA311"/>
  <c r="CZ311"/>
  <c r="CY311"/>
  <c r="CX311"/>
  <c r="CW311"/>
  <c r="CV311"/>
  <c r="CT311"/>
  <c r="CS311"/>
  <c r="CR311"/>
  <c r="CQ311"/>
  <c r="CP311"/>
  <c r="CO311"/>
  <c r="CN311"/>
  <c r="CM311"/>
  <c r="CL311"/>
  <c r="CI311"/>
  <c r="CW310"/>
  <c r="CW313" s="1"/>
  <c r="CW315" s="1"/>
  <c r="CV310"/>
  <c r="CW309"/>
  <c r="CV309"/>
  <c r="CV313" s="1"/>
  <c r="CV315" s="1"/>
  <c r="CV308"/>
  <c r="CU308"/>
  <c r="CT308"/>
  <c r="CS308"/>
  <c r="CR308"/>
  <c r="BJ308"/>
  <c r="BI308"/>
  <c r="BI307"/>
  <c r="BJ307" s="1"/>
  <c r="BJ306"/>
  <c r="BI306"/>
  <c r="BI305"/>
  <c r="BJ305" s="1"/>
  <c r="BJ304"/>
  <c r="BI304"/>
  <c r="BJ303"/>
  <c r="BI303"/>
  <c r="BI302"/>
  <c r="BJ302" s="1"/>
  <c r="CD301"/>
  <c r="BI301"/>
  <c r="BJ301" s="1"/>
  <c r="BJ300"/>
  <c r="BI300"/>
  <c r="CW299"/>
  <c r="CP299"/>
  <c r="CM299"/>
  <c r="CX299" s="1"/>
  <c r="CX298"/>
  <c r="CP298"/>
  <c r="CW298" s="1"/>
  <c r="CM298"/>
  <c r="BO295"/>
  <c r="BM295"/>
  <c r="DA294"/>
  <c r="CZ294"/>
  <c r="CU294"/>
  <c r="CD294"/>
  <c r="BH296" s="1"/>
  <c r="DA293"/>
  <c r="CZ293"/>
  <c r="CU293"/>
  <c r="CD293"/>
  <c r="BH295" s="1"/>
  <c r="DA292"/>
  <c r="CZ292"/>
  <c r="CU292"/>
  <c r="CD292"/>
  <c r="BH294" s="1"/>
  <c r="DA291"/>
  <c r="CZ291"/>
  <c r="CU291"/>
  <c r="CD291"/>
  <c r="BH293" s="1"/>
  <c r="BL291"/>
  <c r="DA290"/>
  <c r="CZ290"/>
  <c r="CU290"/>
  <c r="CD290"/>
  <c r="BH292" s="1"/>
  <c r="BH290"/>
  <c r="DA289"/>
  <c r="CZ289"/>
  <c r="CU289"/>
  <c r="CD289"/>
  <c r="BH291" s="1"/>
  <c r="DA288"/>
  <c r="CZ288"/>
  <c r="N12" i="3" s="1"/>
  <c r="O12" s="1"/>
  <c r="CU288" i="2"/>
  <c r="CD288"/>
  <c r="BH288"/>
  <c r="DA287"/>
  <c r="CZ287"/>
  <c r="CU287"/>
  <c r="CT287"/>
  <c r="CD287"/>
  <c r="BH289" s="1"/>
  <c r="BJ287"/>
  <c r="DA286"/>
  <c r="CZ286"/>
  <c r="CU286"/>
  <c r="CD286"/>
  <c r="BH286"/>
  <c r="DA285"/>
  <c r="CZ285"/>
  <c r="CQ319" s="1"/>
  <c r="CU285"/>
  <c r="CJ285"/>
  <c r="CS319" s="1"/>
  <c r="CD285"/>
  <c r="BH287" s="1"/>
  <c r="BH285"/>
  <c r="DA284"/>
  <c r="CZ284"/>
  <c r="CU284"/>
  <c r="CD284"/>
  <c r="DA283"/>
  <c r="CZ283"/>
  <c r="CU283"/>
  <c r="CD283"/>
  <c r="BH283"/>
  <c r="CD282"/>
  <c r="BH284" s="1"/>
  <c r="CP281"/>
  <c r="CD281"/>
  <c r="BF279"/>
  <c r="BZ278"/>
  <c r="BT278"/>
  <c r="BS278"/>
  <c r="BR278"/>
  <c r="AL18" i="3" s="1"/>
  <c r="BZ277" i="2"/>
  <c r="BT277"/>
  <c r="BS277"/>
  <c r="BR277" s="1"/>
  <c r="AL17" i="3" s="1"/>
  <c r="BJ277" i="2"/>
  <c r="BF278" s="1"/>
  <c r="BG278" s="1"/>
  <c r="CQ276"/>
  <c r="CQ277" s="1"/>
  <c r="CQ278" s="1"/>
  <c r="BT276"/>
  <c r="BS276"/>
  <c r="BZ276" s="1"/>
  <c r="BR276"/>
  <c r="AL16" i="3" s="1"/>
  <c r="BE276" i="2"/>
  <c r="CQ275"/>
  <c r="BT275"/>
  <c r="BS275"/>
  <c r="BZ275" s="1"/>
  <c r="BR275"/>
  <c r="AL15" i="3" s="1"/>
  <c r="BE275" i="2"/>
  <c r="AW275"/>
  <c r="AW276" s="1"/>
  <c r="AV276" s="1"/>
  <c r="CV286" s="1"/>
  <c r="AH10" i="3" s="1"/>
  <c r="CQ274" i="2"/>
  <c r="BZ274"/>
  <c r="BT274"/>
  <c r="BS274"/>
  <c r="AL14" i="3" s="1"/>
  <c r="BE274" i="2"/>
  <c r="AZ274"/>
  <c r="CO284" s="1"/>
  <c r="AW274"/>
  <c r="AV274" s="1"/>
  <c r="CV284" s="1"/>
  <c r="CZ324" s="1"/>
  <c r="CK273"/>
  <c r="BT273"/>
  <c r="BS273"/>
  <c r="AL13" i="3" s="1"/>
  <c r="BF273" i="2"/>
  <c r="BB273"/>
  <c r="CT309" s="1"/>
  <c r="BA273"/>
  <c r="CR309" s="1"/>
  <c r="AZ273"/>
  <c r="CO283" s="1"/>
  <c r="AW273"/>
  <c r="AV273"/>
  <c r="CV283" s="1"/>
  <c r="BZ272"/>
  <c r="BT272"/>
  <c r="BS272"/>
  <c r="AL12" i="3" s="1"/>
  <c r="BF272" i="2"/>
  <c r="BB272"/>
  <c r="BA272"/>
  <c r="AZ272"/>
  <c r="AV272"/>
  <c r="AU272"/>
  <c r="CQ271"/>
  <c r="BZ271"/>
  <c r="BT271"/>
  <c r="BS271"/>
  <c r="AL11" i="3" s="1"/>
  <c r="CQ270" i="2"/>
  <c r="BZ270"/>
  <c r="BT270"/>
  <c r="BS270"/>
  <c r="AL10" i="3" s="1"/>
  <c r="CV269" i="2"/>
  <c r="DB283" s="1"/>
  <c r="BT269"/>
  <c r="BS269"/>
  <c r="AL9" i="3" s="1"/>
  <c r="BB269" i="2"/>
  <c r="BZ268"/>
  <c r="BT268"/>
  <c r="BS268"/>
  <c r="AL8" i="3" s="1"/>
  <c r="BZ267" i="2"/>
  <c r="BT267"/>
  <c r="BS267"/>
  <c r="AL7" i="3" s="1"/>
  <c r="CH266" i="2"/>
  <c r="CI268" s="1"/>
  <c r="BT266"/>
  <c r="BS266"/>
  <c r="BZ266" s="1"/>
  <c r="BZ265"/>
  <c r="BT265"/>
  <c r="BS265"/>
  <c r="CL264"/>
  <c r="CK263"/>
  <c r="BZ263"/>
  <c r="BY263"/>
  <c r="BY262"/>
  <c r="BY261"/>
  <c r="CK260"/>
  <c r="BJ260"/>
  <c r="BL259"/>
  <c r="CW257"/>
  <c r="BL257"/>
  <c r="BP254" s="1"/>
  <c r="BV256"/>
  <c r="BP256"/>
  <c r="BP259" s="1"/>
  <c r="CI255" s="1"/>
  <c r="BF256"/>
  <c r="BG256" s="1"/>
  <c r="CF255"/>
  <c r="BG255"/>
  <c r="BH255" s="1"/>
  <c r="BI263" s="1"/>
  <c r="BH263" s="1"/>
  <c r="BF255"/>
  <c r="BV255" s="1"/>
  <c r="CF254"/>
  <c r="BU254"/>
  <c r="CE303" s="1"/>
  <c r="BI254"/>
  <c r="BG254"/>
  <c r="BF254"/>
  <c r="BV254" s="1"/>
  <c r="BV257" s="1"/>
  <c r="BD254"/>
  <c r="CF253"/>
  <c r="BJ252"/>
  <c r="BI252"/>
  <c r="CH251"/>
  <c r="CI251" s="1"/>
  <c r="BI251"/>
  <c r="BD256" s="1"/>
  <c r="BE251"/>
  <c r="CE250"/>
  <c r="CA250"/>
  <c r="BI250"/>
  <c r="BD250"/>
  <c r="BI249"/>
  <c r="BE249"/>
  <c r="CM240"/>
  <c r="B73" i="4" s="1"/>
  <c r="BN239" i="2"/>
  <c r="C24" i="4" s="1"/>
  <c r="C44" i="5" s="1"/>
  <c r="BM239" i="2"/>
  <c r="M24" i="4" s="1"/>
  <c r="L24" s="1"/>
  <c r="BM235" i="2"/>
  <c r="BM234"/>
  <c r="BT230"/>
  <c r="BS231" s="1"/>
  <c r="BM236" s="1"/>
  <c r="BS230"/>
  <c r="BS229"/>
  <c r="BL225"/>
  <c r="BJ225"/>
  <c r="BL223"/>
  <c r="E31" i="4" s="1"/>
  <c r="BO213" i="2"/>
  <c r="BB210"/>
  <c r="C23" i="4" s="1"/>
  <c r="C43" i="5" s="1"/>
  <c r="BB209" i="2"/>
  <c r="C22" i="4" s="1"/>
  <c r="C42" i="5" s="1"/>
  <c r="BO207" i="2"/>
  <c r="BL207"/>
  <c r="BK207"/>
  <c r="BO206"/>
  <c r="BL206"/>
  <c r="BK206"/>
  <c r="BO205"/>
  <c r="BL205"/>
  <c r="BK205"/>
  <c r="CT204"/>
  <c r="BO204"/>
  <c r="BL204"/>
  <c r="BK204"/>
  <c r="BO203"/>
  <c r="BL203"/>
  <c r="BK203"/>
  <c r="BO202"/>
  <c r="BL202"/>
  <c r="BK202"/>
  <c r="BO201"/>
  <c r="BL201"/>
  <c r="BK201"/>
  <c r="BO200"/>
  <c r="BL200"/>
  <c r="BK200"/>
  <c r="BF200"/>
  <c r="BE200"/>
  <c r="BC200"/>
  <c r="BO199"/>
  <c r="BL199"/>
  <c r="BK199"/>
  <c r="BF199"/>
  <c r="K47" i="4" s="1"/>
  <c r="AZ199" i="2"/>
  <c r="BO198"/>
  <c r="BL198"/>
  <c r="BK198"/>
  <c r="CK197"/>
  <c r="CT292" s="1"/>
  <c r="CJ197"/>
  <c r="CT283" s="1"/>
  <c r="CU309" s="1"/>
  <c r="CU313" s="1"/>
  <c r="CU315" s="1"/>
  <c r="BO197"/>
  <c r="BL197"/>
  <c r="BK197"/>
  <c r="AR197"/>
  <c r="BO196"/>
  <c r="BL196"/>
  <c r="BK196"/>
  <c r="BO195"/>
  <c r="BL195"/>
  <c r="BK195"/>
  <c r="BC195"/>
  <c r="BF198" s="1"/>
  <c r="DI194"/>
  <c r="CS194"/>
  <c r="CF194"/>
  <c r="CE194"/>
  <c r="BO194"/>
  <c r="BL194"/>
  <c r="BK194"/>
  <c r="DI193"/>
  <c r="BP193"/>
  <c r="K28" i="4" s="1"/>
  <c r="BO193" i="2"/>
  <c r="BL193"/>
  <c r="BK193"/>
  <c r="DI192"/>
  <c r="CV192"/>
  <c r="CS192"/>
  <c r="BP192"/>
  <c r="BN192"/>
  <c r="BK192"/>
  <c r="AQ192"/>
  <c r="CI191"/>
  <c r="BO191"/>
  <c r="BG191"/>
  <c r="D45" i="4" s="1"/>
  <c r="D57" i="5" s="1"/>
  <c r="E37" i="7" s="1"/>
  <c r="AS191" i="2"/>
  <c r="BO190"/>
  <c r="BI190"/>
  <c r="D42" i="4" s="1"/>
  <c r="D54" i="5" s="1"/>
  <c r="E34" i="7" s="1"/>
  <c r="BG190" i="2"/>
  <c r="D44" i="4" s="1"/>
  <c r="D56" i="5" s="1"/>
  <c r="E36" i="7" s="1"/>
  <c r="CL189" i="2"/>
  <c r="BO189"/>
  <c r="BI189"/>
  <c r="D41" i="4" s="1"/>
  <c r="D53" i="5" s="1"/>
  <c r="E33" i="7" s="1"/>
  <c r="BG189" i="2"/>
  <c r="D43" i="4" s="1"/>
  <c r="D55" i="5" s="1"/>
  <c r="E35" i="7" s="1"/>
  <c r="AT189" i="2"/>
  <c r="CE187"/>
  <c r="CO186"/>
  <c r="CO185"/>
  <c r="CG185"/>
  <c r="CD184"/>
  <c r="CE184" s="1"/>
  <c r="CU183"/>
  <c r="CS183"/>
  <c r="CI183"/>
  <c r="CJ183" s="1"/>
  <c r="CM182"/>
  <c r="CK182"/>
  <c r="AS182"/>
  <c r="AQ182"/>
  <c r="AO182" s="1"/>
  <c r="CS181"/>
  <c r="CV184" s="1"/>
  <c r="CK181"/>
  <c r="CJ290" s="1"/>
  <c r="AQ181"/>
  <c r="AS181" s="1"/>
  <c r="CV180"/>
  <c r="CS180"/>
  <c r="CP180"/>
  <c r="CK180"/>
  <c r="CJ286" s="1"/>
  <c r="CF180"/>
  <c r="CF181" s="1"/>
  <c r="BO180"/>
  <c r="AW269" s="1"/>
  <c r="CU179"/>
  <c r="CT179"/>
  <c r="CS179"/>
  <c r="CP179"/>
  <c r="CK179"/>
  <c r="CJ284" s="1"/>
  <c r="BO179"/>
  <c r="CU178"/>
  <c r="CH178"/>
  <c r="BK285" s="1"/>
  <c r="CI177"/>
  <c r="CI178" s="1"/>
  <c r="CJ178" s="1"/>
  <c r="CF177"/>
  <c r="F8" i="4" s="1"/>
  <c r="CU176" i="2"/>
  <c r="CT176" s="1"/>
  <c r="CU181" s="1"/>
  <c r="CI176"/>
  <c r="CF175"/>
  <c r="CE175"/>
  <c r="CD175"/>
  <c r="DF173"/>
  <c r="DE173"/>
  <c r="CZ173"/>
  <c r="CF173"/>
  <c r="BL173"/>
  <c r="DF172"/>
  <c r="DE172"/>
  <c r="CZ172"/>
  <c r="BN172"/>
  <c r="BL172"/>
  <c r="DF171"/>
  <c r="DE171"/>
  <c r="CZ171"/>
  <c r="BL171"/>
  <c r="BM237" s="1"/>
  <c r="DE170"/>
  <c r="DF170" s="1"/>
  <c r="CZ170"/>
  <c r="CG170"/>
  <c r="CD170"/>
  <c r="CD169" s="1"/>
  <c r="BL170"/>
  <c r="D30" i="4" s="1"/>
  <c r="DE169" i="2"/>
  <c r="DF169" s="1"/>
  <c r="CZ169"/>
  <c r="DE168"/>
  <c r="DF168" s="1"/>
  <c r="CZ168"/>
  <c r="DE167"/>
  <c r="DF167" s="1"/>
  <c r="V12" i="3" s="1"/>
  <c r="W12" s="1"/>
  <c r="CZ167" i="2"/>
  <c r="DF166"/>
  <c r="DE166"/>
  <c r="CZ166"/>
  <c r="DF165"/>
  <c r="DE165"/>
  <c r="CZ165"/>
  <c r="DF164"/>
  <c r="DE164"/>
  <c r="CZ164"/>
  <c r="DF163"/>
  <c r="DE163"/>
  <c r="CZ163"/>
  <c r="DF162"/>
  <c r="V7" i="3" s="1"/>
  <c r="DE162" i="2"/>
  <c r="CZ162"/>
  <c r="BN159"/>
  <c r="BN153"/>
  <c r="BO153" s="1"/>
  <c r="BJ153"/>
  <c r="BO152"/>
  <c r="BN152"/>
  <c r="BJ152"/>
  <c r="BN151"/>
  <c r="BO151" s="1"/>
  <c r="BK141" s="1"/>
  <c r="BJ151"/>
  <c r="BJ148" s="1"/>
  <c r="AV148"/>
  <c r="BG147"/>
  <c r="BL153" s="1"/>
  <c r="BM153" s="1"/>
  <c r="AV147"/>
  <c r="BK146"/>
  <c r="BG146"/>
  <c r="BL152" s="1"/>
  <c r="BM152" s="1"/>
  <c r="AV146"/>
  <c r="BG145"/>
  <c r="BL151" s="1"/>
  <c r="BM151" s="1"/>
  <c r="AV145"/>
  <c r="BM144"/>
  <c r="BQ143"/>
  <c r="BK143"/>
  <c r="BD143"/>
  <c r="BP142"/>
  <c r="BN142"/>
  <c r="BO143" s="1"/>
  <c r="BL142"/>
  <c r="BM143" s="1"/>
  <c r="BK140"/>
  <c r="BJ139"/>
  <c r="BJ137"/>
  <c r="X44"/>
  <c r="X43"/>
  <c r="X42"/>
  <c r="X41"/>
  <c r="Q41"/>
  <c r="N41"/>
  <c r="X40"/>
  <c r="Q40"/>
  <c r="X39"/>
  <c r="X38"/>
  <c r="X37"/>
  <c r="X36"/>
  <c r="X35"/>
  <c r="X34"/>
  <c r="X33"/>
  <c r="X32"/>
  <c r="X31"/>
  <c r="X30"/>
  <c r="X29"/>
  <c r="X28"/>
  <c r="X27"/>
  <c r="X26"/>
  <c r="X25"/>
  <c r="X24"/>
  <c r="J24"/>
  <c r="X23"/>
  <c r="Q23"/>
  <c r="X22"/>
  <c r="X21"/>
  <c r="Q21"/>
  <c r="N21"/>
  <c r="X20"/>
  <c r="X19"/>
  <c r="X18"/>
  <c r="X17"/>
  <c r="X16"/>
  <c r="X15"/>
  <c r="X14"/>
  <c r="X13"/>
  <c r="X12"/>
  <c r="X11"/>
  <c r="AO10"/>
  <c r="X10"/>
  <c r="X9"/>
  <c r="AQ17" i="3" l="1"/>
  <c r="AO17" s="1"/>
  <c r="X68" i="4"/>
  <c r="F17" i="5" s="1"/>
  <c r="Y251" i="9"/>
  <c r="AC52" i="8"/>
  <c r="AC77"/>
  <c r="AE77" s="1"/>
  <c r="AE79" s="1"/>
  <c r="H58" i="4"/>
  <c r="H26" i="6" s="1"/>
  <c r="D57" i="4"/>
  <c r="D25" i="6" s="1"/>
  <c r="BB274" i="2"/>
  <c r="CS284" s="1"/>
  <c r="CS283"/>
  <c r="D56" i="4"/>
  <c r="D24" i="6" s="1"/>
  <c r="H56" i="4"/>
  <c r="H24" i="6" s="1"/>
  <c r="H57" i="4"/>
  <c r="H25" i="6" s="1"/>
  <c r="D58" i="4"/>
  <c r="D26" i="6" s="1"/>
  <c r="CJ291" i="2"/>
  <c r="CJ289"/>
  <c r="CJ287"/>
  <c r="CJ282"/>
  <c r="BJ284" s="1"/>
  <c r="CJ294"/>
  <c r="CJ288"/>
  <c r="CJ292"/>
  <c r="CJ283"/>
  <c r="CJ181"/>
  <c r="CJ179"/>
  <c r="CJ182"/>
  <c r="CJ180"/>
  <c r="CH294"/>
  <c r="CH290"/>
  <c r="CH293"/>
  <c r="CH292"/>
  <c r="CH286"/>
  <c r="CH285"/>
  <c r="CP319" s="1"/>
  <c r="CH283"/>
  <c r="CH291"/>
  <c r="CH289"/>
  <c r="CH287"/>
  <c r="CH288"/>
  <c r="L12" i="3" s="1"/>
  <c r="M12" s="1"/>
  <c r="CH284" i="2"/>
  <c r="G7" i="5"/>
  <c r="D7" i="4"/>
  <c r="CF169" i="2"/>
  <c r="CF170" s="1"/>
  <c r="CJ167"/>
  <c r="W7" i="3"/>
  <c r="C34" i="8"/>
  <c r="L6"/>
  <c r="B4" i="3"/>
  <c r="G6" i="5"/>
  <c r="D6" i="4"/>
  <c r="E9" i="10" s="1"/>
  <c r="CY310" i="2"/>
  <c r="BJ286"/>
  <c r="BJ292"/>
  <c r="AR194"/>
  <c r="AR191"/>
  <c r="AU189"/>
  <c r="X189" i="9" s="1"/>
  <c r="BL192" i="2"/>
  <c r="BO192"/>
  <c r="BF269"/>
  <c r="BG269" s="1"/>
  <c r="BN256"/>
  <c r="CG255"/>
  <c r="DJ194" s="1"/>
  <c r="BL256"/>
  <c r="BD263"/>
  <c r="BM256"/>
  <c r="BO256" s="1"/>
  <c r="CA252"/>
  <c r="BD261"/>
  <c r="BL254"/>
  <c r="CG253"/>
  <c r="DJ192" s="1"/>
  <c r="BF267"/>
  <c r="BG267" s="1"/>
  <c r="BM254"/>
  <c r="BO254" s="1"/>
  <c r="BQ254" s="1"/>
  <c r="BR254" s="1"/>
  <c r="CH253" s="1"/>
  <c r="BN254"/>
  <c r="BJ138"/>
  <c r="BK142"/>
  <c r="BK147"/>
  <c r="BK137"/>
  <c r="BK139"/>
  <c r="BJ142"/>
  <c r="BJ145"/>
  <c r="BJ147"/>
  <c r="CT180"/>
  <c r="CV181"/>
  <c r="CJ243"/>
  <c r="CI310"/>
  <c r="CI294"/>
  <c r="CI292"/>
  <c r="CI288"/>
  <c r="CI284"/>
  <c r="DB310" s="1"/>
  <c r="CI290"/>
  <c r="CI293"/>
  <c r="CI286"/>
  <c r="CI285"/>
  <c r="CI283"/>
  <c r="DB309" s="1"/>
  <c r="CI291"/>
  <c r="CI289"/>
  <c r="CI287"/>
  <c r="AP16" i="3"/>
  <c r="AP15"/>
  <c r="CF187" i="2"/>
  <c r="CG186"/>
  <c r="E9" i="6"/>
  <c r="E30" i="4"/>
  <c r="E44" i="7" s="1"/>
  <c r="BK210" i="2"/>
  <c r="BL210" s="1"/>
  <c r="M42" i="7"/>
  <c r="Q42" s="1"/>
  <c r="K10" i="6"/>
  <c r="X28" i="7"/>
  <c r="J3" i="6"/>
  <c r="L47" i="4"/>
  <c r="K3" i="6" s="1"/>
  <c r="D60" i="5"/>
  <c r="D48" i="4"/>
  <c r="E39" i="7" s="1"/>
  <c r="E45"/>
  <c r="E12" i="6"/>
  <c r="K12"/>
  <c r="K31" i="4"/>
  <c r="M45" i="7" s="1"/>
  <c r="Q45" s="1"/>
  <c r="BD255" i="2"/>
  <c r="BH274" s="1"/>
  <c r="BL258"/>
  <c r="BP255" s="1"/>
  <c r="BJ262"/>
  <c r="BG262" s="1"/>
  <c r="BS257"/>
  <c r="BH256"/>
  <c r="BI256"/>
  <c r="BD251"/>
  <c r="BN295"/>
  <c r="BL285"/>
  <c r="CJ300" s="1"/>
  <c r="BL293"/>
  <c r="BI282"/>
  <c r="CF300" s="1"/>
  <c r="BH280"/>
  <c r="BJ282"/>
  <c r="CG300" s="1"/>
  <c r="AX272"/>
  <c r="AZ287"/>
  <c r="BB290"/>
  <c r="BE295"/>
  <c r="CR183"/>
  <c r="Y6" i="3"/>
  <c r="Z6" s="1"/>
  <c r="CP282" i="2"/>
  <c r="C9" i="6"/>
  <c r="D44" i="7"/>
  <c r="AV269" i="2"/>
  <c r="AX270"/>
  <c r="AY270" s="1"/>
  <c r="CV183"/>
  <c r="CV182"/>
  <c r="AP11" i="3"/>
  <c r="AP10"/>
  <c r="BP257" i="2"/>
  <c r="CI253" s="1"/>
  <c r="AH8" i="3"/>
  <c r="AH7"/>
  <c r="CZ323" i="2"/>
  <c r="CZ327" s="1"/>
  <c r="CZ328" s="1"/>
  <c r="BK138"/>
  <c r="BJ140"/>
  <c r="BJ141"/>
  <c r="BJ143"/>
  <c r="BK144"/>
  <c r="BJ146"/>
  <c r="BK148"/>
  <c r="BL174"/>
  <c r="AO181"/>
  <c r="CT183"/>
  <c r="AP184"/>
  <c r="CF297" s="1"/>
  <c r="BQ229"/>
  <c r="BT231"/>
  <c r="BM238" s="1"/>
  <c r="BD249"/>
  <c r="CK281"/>
  <c r="CL281" s="1"/>
  <c r="CK282"/>
  <c r="CL282" s="1"/>
  <c r="CI309"/>
  <c r="CU319"/>
  <c r="BJ288"/>
  <c r="CJ293"/>
  <c r="CJ281"/>
  <c r="BJ283" s="1"/>
  <c r="E11" i="6"/>
  <c r="E29" i="4"/>
  <c r="E43" i="7" s="1"/>
  <c r="BK212" i="2"/>
  <c r="BL212" s="1"/>
  <c r="BP194"/>
  <c r="K29" i="4" s="1"/>
  <c r="K9" i="6"/>
  <c r="BQ192" i="2"/>
  <c r="K30" i="4" s="1"/>
  <c r="M44" i="7" s="1"/>
  <c r="Q44" s="1"/>
  <c r="J60" i="5"/>
  <c r="K48" i="4"/>
  <c r="CC257" i="2"/>
  <c r="CI256"/>
  <c r="CD257"/>
  <c r="BV259"/>
  <c r="CA257"/>
  <c r="CH256"/>
  <c r="BJ144"/>
  <c r="BK145"/>
  <c r="DJ178"/>
  <c r="DJ179" s="1"/>
  <c r="CR181"/>
  <c r="E10" i="6"/>
  <c r="E28" i="4"/>
  <c r="E42" i="7" s="1"/>
  <c r="C60" i="5"/>
  <c r="C48" i="4"/>
  <c r="D39" i="7" s="1"/>
  <c r="L44" i="5"/>
  <c r="N7" i="3"/>
  <c r="CZ309" i="2"/>
  <c r="X65" i="4"/>
  <c r="F14" i="5" s="1"/>
  <c r="L65" i="4"/>
  <c r="DP201" i="2"/>
  <c r="DP202"/>
  <c r="BZ250"/>
  <c r="CC303" s="1"/>
  <c r="CD250"/>
  <c r="CG303" s="1"/>
  <c r="BH254"/>
  <c r="BI262" s="1"/>
  <c r="BH262" s="1"/>
  <c r="BQ256"/>
  <c r="BR256" s="1"/>
  <c r="CH255" s="1"/>
  <c r="BZ273"/>
  <c r="AV275"/>
  <c r="CV285" s="1"/>
  <c r="DA319" s="1"/>
  <c r="AH9" i="3" s="1"/>
  <c r="AW277" i="2"/>
  <c r="AV277" s="1"/>
  <c r="CV287" s="1"/>
  <c r="AH11" i="3" s="1"/>
  <c r="AW278" i="2"/>
  <c r="AV278" s="1"/>
  <c r="CV288" s="1"/>
  <c r="AH12" i="3" s="1"/>
  <c r="X66" i="4"/>
  <c r="F15" i="5" s="1"/>
  <c r="CK303" i="2"/>
  <c r="CN303"/>
  <c r="CO303" s="1"/>
  <c r="BI255"/>
  <c r="CF257"/>
  <c r="CG257" s="1"/>
  <c r="CE258"/>
  <c r="BZ269"/>
  <c r="CV270"/>
  <c r="AZ275"/>
  <c r="CQ283"/>
  <c r="AZ196"/>
  <c r="BF196" s="1"/>
  <c r="BF197"/>
  <c r="BK211"/>
  <c r="BL211" s="1"/>
  <c r="BE250"/>
  <c r="CB250"/>
  <c r="CF303" s="1"/>
  <c r="BA274"/>
  <c r="BA275" s="1"/>
  <c r="X67" i="4"/>
  <c r="F16" i="5" s="1"/>
  <c r="CZ310" i="2"/>
  <c r="CH257"/>
  <c r="CJ303" s="1"/>
  <c r="M75" i="8"/>
  <c r="I75"/>
  <c r="I79"/>
  <c r="M79" s="1"/>
  <c r="H44" i="9"/>
  <c r="H42"/>
  <c r="H40"/>
  <c r="H38"/>
  <c r="H36"/>
  <c r="H34"/>
  <c r="H32"/>
  <c r="H30"/>
  <c r="H28"/>
  <c r="H24"/>
  <c r="H20"/>
  <c r="H15"/>
  <c r="H47"/>
  <c r="H27"/>
  <c r="H23"/>
  <c r="H19"/>
  <c r="H43"/>
  <c r="H41"/>
  <c r="H39"/>
  <c r="H37"/>
  <c r="H35"/>
  <c r="H33"/>
  <c r="H31"/>
  <c r="H29"/>
  <c r="G15"/>
  <c r="AK21" i="3"/>
  <c r="AM21" s="1"/>
  <c r="N43" i="5"/>
  <c r="I76" i="8"/>
  <c r="M76" s="1"/>
  <c r="AD187" i="9"/>
  <c r="AD188" s="1"/>
  <c r="AI187"/>
  <c r="AC54" i="8"/>
  <c r="I78"/>
  <c r="M78" s="1"/>
  <c r="AI39"/>
  <c r="AJ39" s="1"/>
  <c r="AE39" s="1"/>
  <c r="AE42"/>
  <c r="AI41"/>
  <c r="AJ41" s="1"/>
  <c r="AE41" s="1"/>
  <c r="AI40"/>
  <c r="AJ40" s="1"/>
  <c r="AE40" s="1"/>
  <c r="AI82"/>
  <c r="AJ82" s="1"/>
  <c r="AE83" s="1"/>
  <c r="AI80"/>
  <c r="AJ80" s="1"/>
  <c r="AE81" s="1"/>
  <c r="AE84"/>
  <c r="AI81"/>
  <c r="AJ81" s="1"/>
  <c r="AE82" s="1"/>
  <c r="AI25" i="3"/>
  <c r="N44" i="5"/>
  <c r="M77" i="8"/>
  <c r="I77"/>
  <c r="AC42"/>
  <c r="AC43" s="1"/>
  <c r="AG40"/>
  <c r="AH40" s="1"/>
  <c r="AC40" s="1"/>
  <c r="AG39"/>
  <c r="AH39" s="1"/>
  <c r="AC39" s="1"/>
  <c r="AG41"/>
  <c r="AH41" s="1"/>
  <c r="AC41" s="1"/>
  <c r="AE189" i="9"/>
  <c r="AE187"/>
  <c r="E80" i="8"/>
  <c r="Z188" i="9"/>
  <c r="W188" s="1"/>
  <c r="AC19" i="8"/>
  <c r="AC79"/>
  <c r="AC115"/>
  <c r="H17" i="9"/>
  <c r="H21"/>
  <c r="H25"/>
  <c r="H45"/>
  <c r="L197"/>
  <c r="AC189" s="1"/>
  <c r="AE188" s="1"/>
  <c r="H18"/>
  <c r="H22"/>
  <c r="H26"/>
  <c r="H46"/>
  <c r="L192"/>
  <c r="AE52" i="8"/>
  <c r="AE54" s="1"/>
  <c r="AC96"/>
  <c r="AP12" i="3" l="1"/>
  <c r="CT310" i="2"/>
  <c r="CT313" s="1"/>
  <c r="CT315" s="1"/>
  <c r="BB275"/>
  <c r="CQ285"/>
  <c r="CW319" s="1"/>
  <c r="AA9" i="3" s="1"/>
  <c r="AB9" s="1"/>
  <c r="BA276" i="2"/>
  <c r="CQ286" s="1"/>
  <c r="DJ180"/>
  <c r="DK179"/>
  <c r="AC44" i="8"/>
  <c r="AC46" s="1"/>
  <c r="AC45"/>
  <c r="X255" i="9"/>
  <c r="X190"/>
  <c r="Y190" s="1"/>
  <c r="CZ313" i="2"/>
  <c r="CZ315" s="1"/>
  <c r="CZ316"/>
  <c r="AI57" i="8"/>
  <c r="AJ57" s="1"/>
  <c r="AE57" s="1"/>
  <c r="AI56"/>
  <c r="AJ56" s="1"/>
  <c r="AE56" s="1"/>
  <c r="AE59"/>
  <c r="AI58"/>
  <c r="AJ58" s="1"/>
  <c r="AE58" s="1"/>
  <c r="AE19"/>
  <c r="AE21" s="1"/>
  <c r="AC21"/>
  <c r="AE26"/>
  <c r="CV271" i="2"/>
  <c r="DB284"/>
  <c r="BU255"/>
  <c r="BS258"/>
  <c r="BJ263"/>
  <c r="BG263" s="1"/>
  <c r="BS259"/>
  <c r="BT259" s="1"/>
  <c r="BT256" s="1"/>
  <c r="BJ264"/>
  <c r="BG264" s="1"/>
  <c r="BP258"/>
  <c r="CI254" s="1"/>
  <c r="CR319"/>
  <c r="CP320"/>
  <c r="Y252" i="9"/>
  <c r="Y254" s="1"/>
  <c r="Y253"/>
  <c r="Y189"/>
  <c r="DA310" i="2"/>
  <c r="BJ296"/>
  <c r="BJ293"/>
  <c r="H48" i="9"/>
  <c r="AE85" i="8"/>
  <c r="AW279" i="2"/>
  <c r="BT232"/>
  <c r="BS232" s="1"/>
  <c r="BS233" s="1"/>
  <c r="BK239" s="1"/>
  <c r="DK178"/>
  <c r="AA161" i="9"/>
  <c r="AA160"/>
  <c r="AD189"/>
  <c r="CO285" i="2"/>
  <c r="AZ276"/>
  <c r="M34" i="6"/>
  <c r="C11"/>
  <c r="D29" i="4"/>
  <c r="D43" i="7" s="1"/>
  <c r="BJ295" i="2"/>
  <c r="CI316"/>
  <c r="CI313"/>
  <c r="CI315" s="1"/>
  <c r="CM297"/>
  <c r="CP297"/>
  <c r="CW297" s="1"/>
  <c r="DB313"/>
  <c r="DB315" s="1"/>
  <c r="DB316"/>
  <c r="BF271"/>
  <c r="AZ141"/>
  <c r="R12" i="3"/>
  <c r="S12" s="1"/>
  <c r="BJ290" i="2"/>
  <c r="BJ291"/>
  <c r="AE96" i="8"/>
  <c r="AE98" s="1"/>
  <c r="AE115"/>
  <c r="AE118" s="1"/>
  <c r="I74"/>
  <c r="I80" s="1"/>
  <c r="M74" s="1"/>
  <c r="M80" s="1"/>
  <c r="CR310" i="2"/>
  <c r="CR313" s="1"/>
  <c r="CR315" s="1"/>
  <c r="CQ284"/>
  <c r="C10" i="6"/>
  <c r="D28" i="4"/>
  <c r="D42" i="7" s="1"/>
  <c r="N25" i="3"/>
  <c r="O7"/>
  <c r="O25" s="1"/>
  <c r="M39" i="7"/>
  <c r="Q39" s="1"/>
  <c r="L48" i="4"/>
  <c r="M43" i="7"/>
  <c r="Q43" s="1"/>
  <c r="K11" i="6"/>
  <c r="AX286" i="2"/>
  <c r="AX285"/>
  <c r="AX273" s="1"/>
  <c r="AX274" s="1"/>
  <c r="AX275" s="1"/>
  <c r="AX276" s="1"/>
  <c r="AX277" s="1"/>
  <c r="AX278" s="1"/>
  <c r="AX279" s="1"/>
  <c r="BJ294"/>
  <c r="BJ289"/>
  <c r="DP203"/>
  <c r="AP17" i="3"/>
  <c r="V25"/>
  <c r="CK243" i="2" s="1"/>
  <c r="CK245" s="1"/>
  <c r="CI245" s="1"/>
  <c r="K17" i="4" s="1"/>
  <c r="H32" i="5" s="1"/>
  <c r="AC84" i="8"/>
  <c r="AG81"/>
  <c r="AH81" s="1"/>
  <c r="AC82" s="1"/>
  <c r="AG82"/>
  <c r="AH82" s="1"/>
  <c r="AC83" s="1"/>
  <c r="AG80"/>
  <c r="AH80" s="1"/>
  <c r="AC81" s="1"/>
  <c r="AG58"/>
  <c r="AH58" s="1"/>
  <c r="AC58" s="1"/>
  <c r="AC59"/>
  <c r="AG57"/>
  <c r="AH57" s="1"/>
  <c r="AC57" s="1"/>
  <c r="AG56"/>
  <c r="AH56" s="1"/>
  <c r="AC56" s="1"/>
  <c r="AO11" i="3"/>
  <c r="Y20" s="1"/>
  <c r="AL20"/>
  <c r="CQ310" i="2"/>
  <c r="CQ309"/>
  <c r="CQ308"/>
  <c r="CP285"/>
  <c r="CP283"/>
  <c r="CP284"/>
  <c r="BD290"/>
  <c r="AZ292"/>
  <c r="BA287"/>
  <c r="BC288" s="1"/>
  <c r="BC292" s="1"/>
  <c r="BC290"/>
  <c r="CE300"/>
  <c r="CM300" s="1"/>
  <c r="CX300" s="1"/>
  <c r="BK291"/>
  <c r="BK280"/>
  <c r="BK282"/>
  <c r="BI264"/>
  <c r="BH264" s="1"/>
  <c r="BU256"/>
  <c r="BD262"/>
  <c r="BM255"/>
  <c r="BN255"/>
  <c r="CA251"/>
  <c r="BF268"/>
  <c r="BG268" s="1"/>
  <c r="BL255"/>
  <c r="CG254"/>
  <c r="DJ193" s="1"/>
  <c r="AR192"/>
  <c r="AT191" s="1"/>
  <c r="AU191"/>
  <c r="L7" i="3"/>
  <c r="DA309" i="2"/>
  <c r="CY309"/>
  <c r="R7" i="3"/>
  <c r="BJ285" i="2"/>
  <c r="AE43" i="8"/>
  <c r="W25" i="3"/>
  <c r="AC85" i="8" l="1"/>
  <c r="AE60"/>
  <c r="AE62" s="1"/>
  <c r="CS285" i="2"/>
  <c r="BB276"/>
  <c r="BA277"/>
  <c r="CC250"/>
  <c r="AX280"/>
  <c r="AX281" s="1"/>
  <c r="T74" i="8"/>
  <c r="BB292" i="2"/>
  <c r="BA292"/>
  <c r="BB294" s="1"/>
  <c r="CV320"/>
  <c r="CV319" s="1"/>
  <c r="Y9" i="3" s="1"/>
  <c r="Z9" s="1"/>
  <c r="AC87" i="8"/>
  <c r="AC86"/>
  <c r="AI101"/>
  <c r="AJ101" s="1"/>
  <c r="AE102" s="1"/>
  <c r="AI99"/>
  <c r="AJ99" s="1"/>
  <c r="AE100" s="1"/>
  <c r="AE103"/>
  <c r="AI100"/>
  <c r="AJ100" s="1"/>
  <c r="AE101" s="1"/>
  <c r="AE87"/>
  <c r="AE88" s="1"/>
  <c r="Q79" s="1"/>
  <c r="AE86"/>
  <c r="CY313" i="2"/>
  <c r="CY315" s="1"/>
  <c r="CY316"/>
  <c r="AR195"/>
  <c r="AR198"/>
  <c r="AO16" i="3"/>
  <c r="Y19" s="1"/>
  <c r="Z19" s="1"/>
  <c r="AJ19" s="1"/>
  <c r="AI122" i="8"/>
  <c r="AJ122" s="1"/>
  <c r="AE122" s="1"/>
  <c r="AI120"/>
  <c r="AJ120" s="1"/>
  <c r="AG126" s="1"/>
  <c r="AI121"/>
  <c r="AJ121" s="1"/>
  <c r="AE121" s="1"/>
  <c r="AE123"/>
  <c r="BN277" i="2"/>
  <c r="BN278"/>
  <c r="BN279" s="1"/>
  <c r="BN284"/>
  <c r="BN285" s="1"/>
  <c r="AV279"/>
  <c r="CV289" s="1"/>
  <c r="AH13" i="3" s="1"/>
  <c r="AW280" i="2"/>
  <c r="DB285"/>
  <c r="CV272"/>
  <c r="DJ181"/>
  <c r="DK180"/>
  <c r="AM20" i="3"/>
  <c r="AC60" i="8"/>
  <c r="CX297" i="2"/>
  <c r="S7" i="3"/>
  <c r="S25" s="1"/>
  <c r="AZ294" i="2"/>
  <c r="BA294"/>
  <c r="BA140"/>
  <c r="BA141" s="1"/>
  <c r="Y187" i="9" s="1"/>
  <c r="CQ287" i="2"/>
  <c r="BA278"/>
  <c r="BX256"/>
  <c r="CI305" s="1"/>
  <c r="BY256"/>
  <c r="CH305" s="1"/>
  <c r="AI25" i="8"/>
  <c r="AJ25" s="1"/>
  <c r="AE25" s="1"/>
  <c r="AI23"/>
  <c r="AJ23" s="1"/>
  <c r="AE23" s="1"/>
  <c r="AI24"/>
  <c r="AJ24" s="1"/>
  <c r="AE24" s="1"/>
  <c r="Y255" i="9"/>
  <c r="Z255"/>
  <c r="E52"/>
  <c r="W256"/>
  <c r="W255"/>
  <c r="CX310" i="2"/>
  <c r="DL179"/>
  <c r="AE44" i="8"/>
  <c r="AE46" s="1"/>
  <c r="AE45"/>
  <c r="AU192" i="2"/>
  <c r="AS197"/>
  <c r="CE305"/>
  <c r="CF259"/>
  <c r="CH259"/>
  <c r="CJ305" s="1"/>
  <c r="R23" i="3" s="1"/>
  <c r="CE260" i="2"/>
  <c r="CE252"/>
  <c r="CD252"/>
  <c r="CG305" s="1"/>
  <c r="G23" i="3" s="1"/>
  <c r="BZ252" i="2"/>
  <c r="CC305" s="1"/>
  <c r="CB252"/>
  <c r="CF305" s="1"/>
  <c r="M7" i="3"/>
  <c r="M25" s="1"/>
  <c r="BD292" i="2"/>
  <c r="BE292"/>
  <c r="T7" i="3"/>
  <c r="CX309" i="2"/>
  <c r="DL178"/>
  <c r="K25" i="3"/>
  <c r="J25"/>
  <c r="CE304" i="2"/>
  <c r="CH258"/>
  <c r="CJ304" s="1"/>
  <c r="R22" i="3" s="1"/>
  <c r="R25" s="1"/>
  <c r="CI243" i="2" s="1"/>
  <c r="CJ245" s="1"/>
  <c r="CE251"/>
  <c r="CE259"/>
  <c r="CF258"/>
  <c r="BZ251"/>
  <c r="CC304" s="1"/>
  <c r="CB251"/>
  <c r="CF304" s="1"/>
  <c r="CD251"/>
  <c r="CG304" s="1"/>
  <c r="G22" i="3" s="1"/>
  <c r="AG24" i="8"/>
  <c r="AH24" s="1"/>
  <c r="AC24" s="1"/>
  <c r="AC26"/>
  <c r="AG25"/>
  <c r="AH25" s="1"/>
  <c r="AC25" s="1"/>
  <c r="AG23"/>
  <c r="AH23" s="1"/>
  <c r="AC23" s="1"/>
  <c r="BO255" i="2"/>
  <c r="BQ255" s="1"/>
  <c r="BR255" s="1"/>
  <c r="CH254" s="1"/>
  <c r="AS194"/>
  <c r="CQ313"/>
  <c r="CQ315" s="1"/>
  <c r="DA316"/>
  <c r="DA313"/>
  <c r="DA315" s="1"/>
  <c r="CO286"/>
  <c r="CP286" s="1"/>
  <c r="AZ277"/>
  <c r="BT258"/>
  <c r="BT255"/>
  <c r="AE61" i="8" l="1"/>
  <c r="AE63" s="1"/>
  <c r="Q78" s="1"/>
  <c r="AC27"/>
  <c r="AC28" s="1"/>
  <c r="AE124"/>
  <c r="AE126" s="1"/>
  <c r="AE104"/>
  <c r="AE27"/>
  <c r="AE29" s="1"/>
  <c r="AC88"/>
  <c r="CS286" i="2"/>
  <c r="CY320" s="1"/>
  <c r="CY319" s="1"/>
  <c r="AD9" i="3" s="1"/>
  <c r="AE9" s="1"/>
  <c r="BB277" i="2"/>
  <c r="BN280"/>
  <c r="BN286"/>
  <c r="Q74" i="8"/>
  <c r="AF46"/>
  <c r="AF88"/>
  <c r="T79"/>
  <c r="W79" s="1"/>
  <c r="BX255" i="2"/>
  <c r="CI304" s="1"/>
  <c r="BY255"/>
  <c r="CH304" s="1"/>
  <c r="BE293"/>
  <c r="BE291"/>
  <c r="CO287"/>
  <c r="CP287" s="1"/>
  <c r="AZ278"/>
  <c r="U7" i="3"/>
  <c r="L23"/>
  <c r="T23"/>
  <c r="X256" i="9"/>
  <c r="X257"/>
  <c r="F52" s="1"/>
  <c r="DB286" i="2"/>
  <c r="CV273"/>
  <c r="AK19" i="3"/>
  <c r="AM19" s="1"/>
  <c r="AS195" i="2"/>
  <c r="AT194" s="1"/>
  <c r="CK305"/>
  <c r="D22" i="3"/>
  <c r="CN304" i="2"/>
  <c r="CO304" s="1"/>
  <c r="Y22" i="3" s="1"/>
  <c r="CX313" i="2"/>
  <c r="CX315" s="1"/>
  <c r="CX316"/>
  <c r="AC62" i="8"/>
  <c r="AC61"/>
  <c r="DK181" i="2"/>
  <c r="DJ182"/>
  <c r="BO277"/>
  <c r="AE125" i="8"/>
  <c r="AE105"/>
  <c r="AE107" s="1"/>
  <c r="Q76" s="1"/>
  <c r="AE106"/>
  <c r="CC251" i="2"/>
  <c r="AX282"/>
  <c r="AX283" s="1"/>
  <c r="AS198"/>
  <c r="AT197" s="1"/>
  <c r="CQ288"/>
  <c r="BA279"/>
  <c r="BD294"/>
  <c r="BC294"/>
  <c r="BE294" s="1"/>
  <c r="CT319"/>
  <c r="DL180"/>
  <c r="AV280"/>
  <c r="CV290" s="1"/>
  <c r="AH14" i="3" s="1"/>
  <c r="AW281" i="2"/>
  <c r="W74" i="8"/>
  <c r="T22" i="3"/>
  <c r="L22"/>
  <c r="D23"/>
  <c r="CN305" i="2"/>
  <c r="CO305" s="1"/>
  <c r="Y23" i="3" s="1"/>
  <c r="CZ319" i="2"/>
  <c r="L25" i="3" l="1"/>
  <c r="AE127" i="8"/>
  <c r="Q75" s="1"/>
  <c r="AC29"/>
  <c r="AC31" s="1"/>
  <c r="AC63"/>
  <c r="AE28"/>
  <c r="AE31" s="1"/>
  <c r="Q77" s="1"/>
  <c r="Q80" s="1"/>
  <c r="CS287" i="2"/>
  <c r="BB278"/>
  <c r="AF63" i="8"/>
  <c r="T78"/>
  <c r="W78" s="1"/>
  <c r="DL181" i="2"/>
  <c r="AM23" i="3"/>
  <c r="AJ23"/>
  <c r="CQ289" i="2"/>
  <c r="BA280"/>
  <c r="DJ183"/>
  <c r="DK182"/>
  <c r="AJ22" i="3"/>
  <c r="AM22" s="1"/>
  <c r="DB287" i="2"/>
  <c r="CV274"/>
  <c r="CO288"/>
  <c r="CP288" s="1"/>
  <c r="AZ279"/>
  <c r="Y257" i="9"/>
  <c r="Z257" s="1"/>
  <c r="D52"/>
  <c r="AW282" i="2"/>
  <c r="AV281"/>
  <c r="CV291" s="1"/>
  <c r="AH15" i="3" s="1"/>
  <c r="CC252" i="2"/>
  <c r="AX284"/>
  <c r="BP277"/>
  <c r="BP278" s="1"/>
  <c r="BP279" s="1"/>
  <c r="BP280" s="1"/>
  <c r="BP281" s="1"/>
  <c r="BP282" s="1"/>
  <c r="BP283" s="1"/>
  <c r="BP284" s="1"/>
  <c r="BP285" s="1"/>
  <c r="BP286" s="1"/>
  <c r="BP287" s="1"/>
  <c r="BP288" s="1"/>
  <c r="BP289" s="1"/>
  <c r="BP290" s="1"/>
  <c r="BP291" s="1"/>
  <c r="BO278"/>
  <c r="BN281"/>
  <c r="CK304"/>
  <c r="AZ23" i="3"/>
  <c r="H23" s="1"/>
  <c r="BN287" i="2"/>
  <c r="T77" i="8" l="1"/>
  <c r="W77" s="1"/>
  <c r="AF31"/>
  <c r="BB279" i="2"/>
  <c r="CS288"/>
  <c r="I22" i="3"/>
  <c r="AZ22"/>
  <c r="H22" s="1"/>
  <c r="AV282" i="2"/>
  <c r="CV292" s="1"/>
  <c r="AW283"/>
  <c r="CV275"/>
  <c r="DB288"/>
  <c r="DL182"/>
  <c r="BQ277"/>
  <c r="BR261" s="1"/>
  <c r="BP261" s="1"/>
  <c r="BN282"/>
  <c r="BO279"/>
  <c r="BQ278"/>
  <c r="BR262" s="1"/>
  <c r="BP262" s="1"/>
  <c r="CO289"/>
  <c r="CP289" s="1"/>
  <c r="AZ280"/>
  <c r="CQ290"/>
  <c r="BA281"/>
  <c r="BN288"/>
  <c r="G52" i="9"/>
  <c r="Y258"/>
  <c r="I52" s="1"/>
  <c r="H52" s="1"/>
  <c r="DJ184" i="2"/>
  <c r="DK183"/>
  <c r="CS289" l="1"/>
  <c r="BB280"/>
  <c r="DK184"/>
  <c r="DJ185"/>
  <c r="T12" i="3"/>
  <c r="U12" s="1"/>
  <c r="DL183" i="2"/>
  <c r="DK192"/>
  <c r="DL192" s="1"/>
  <c r="DM192" s="1"/>
  <c r="CQ291"/>
  <c r="BA282"/>
  <c r="BN283"/>
  <c r="BO280"/>
  <c r="BQ279"/>
  <c r="BR263" s="1"/>
  <c r="AV283"/>
  <c r="CV293" s="1"/>
  <c r="AH17" i="3" s="1"/>
  <c r="AW284" i="2"/>
  <c r="AV284" s="1"/>
  <c r="CV294" s="1"/>
  <c r="AH18" i="3" s="1"/>
  <c r="BN289" i="2"/>
  <c r="CO290"/>
  <c r="CP290" s="1"/>
  <c r="AZ281"/>
  <c r="BC300"/>
  <c r="CE282"/>
  <c r="BV266"/>
  <c r="BC299"/>
  <c r="CE281"/>
  <c r="BV265"/>
  <c r="DB289"/>
  <c r="CV276"/>
  <c r="AH25" i="3" l="1"/>
  <c r="K40" i="4" s="1"/>
  <c r="M32" i="7" s="1"/>
  <c r="Q32" s="1"/>
  <c r="BB281" i="2"/>
  <c r="CS290"/>
  <c r="DB290"/>
  <c r="CV277"/>
  <c r="CO291"/>
  <c r="CP291" s="1"/>
  <c r="AZ282"/>
  <c r="V228" i="9"/>
  <c r="BI283" i="2"/>
  <c r="CG281"/>
  <c r="BD299" s="1"/>
  <c r="BE299" s="1"/>
  <c r="BO281"/>
  <c r="BQ280"/>
  <c r="BR264" s="1"/>
  <c r="CD265"/>
  <c r="CF281" s="1"/>
  <c r="CF265"/>
  <c r="CG265" s="1"/>
  <c r="BW265"/>
  <c r="CA265" s="1"/>
  <c r="CC265" s="1"/>
  <c r="CE265"/>
  <c r="BX265"/>
  <c r="V229" i="9"/>
  <c r="Y229" s="1"/>
  <c r="Z229" s="1"/>
  <c r="BI284" i="2"/>
  <c r="CG282"/>
  <c r="BD300" s="1"/>
  <c r="BE300" s="1"/>
  <c r="BN290"/>
  <c r="CJ309"/>
  <c r="CK309" s="1"/>
  <c r="BP263"/>
  <c r="DL184"/>
  <c r="BK293"/>
  <c r="CD266"/>
  <c r="CF282" s="1"/>
  <c r="BX266"/>
  <c r="CF266"/>
  <c r="CG266" s="1"/>
  <c r="BW266"/>
  <c r="CA266" s="1"/>
  <c r="CC266" s="1"/>
  <c r="CE266"/>
  <c r="DK185"/>
  <c r="DJ186"/>
  <c r="CQ292"/>
  <c r="BA283"/>
  <c r="H52" i="5"/>
  <c r="J52" s="1"/>
  <c r="CS291" i="2" l="1"/>
  <c r="BB282"/>
  <c r="CB266"/>
  <c r="BY266"/>
  <c r="DK186"/>
  <c r="DJ187"/>
  <c r="CQ293"/>
  <c r="BA284"/>
  <c r="CQ294" s="1"/>
  <c r="BC301"/>
  <c r="BV267"/>
  <c r="CE283"/>
  <c r="CJ310"/>
  <c r="CK310" s="1"/>
  <c r="BP264"/>
  <c r="Y228" i="9"/>
  <c r="Z228" s="1"/>
  <c r="V227"/>
  <c r="DB291" i="2"/>
  <c r="CV278"/>
  <c r="DL185"/>
  <c r="DK193"/>
  <c r="DL193" s="1"/>
  <c r="DM193" s="1"/>
  <c r="AB229" i="9"/>
  <c r="AW175" i="2"/>
  <c r="BY265"/>
  <c r="CB265"/>
  <c r="BN291"/>
  <c r="BO282"/>
  <c r="BQ281"/>
  <c r="BR265" s="1"/>
  <c r="CO292"/>
  <c r="CP292" s="1"/>
  <c r="AZ283"/>
  <c r="CS292" l="1"/>
  <c r="BB283"/>
  <c r="CO293"/>
  <c r="CP293" s="1"/>
  <c r="AZ284"/>
  <c r="CO294" s="1"/>
  <c r="CP294" s="1"/>
  <c r="BC302"/>
  <c r="CE284"/>
  <c r="BV268"/>
  <c r="BK153"/>
  <c r="DL186"/>
  <c r="BO283"/>
  <c r="BQ282"/>
  <c r="BR266" s="1"/>
  <c r="BP266" s="1"/>
  <c r="AB228" i="9"/>
  <c r="C47"/>
  <c r="D56"/>
  <c r="AW174" i="2"/>
  <c r="CD267"/>
  <c r="CF283" s="1"/>
  <c r="CE267"/>
  <c r="CF267"/>
  <c r="CG267" s="1"/>
  <c r="BW267"/>
  <c r="CA267" s="1"/>
  <c r="CC267" s="1"/>
  <c r="BX267"/>
  <c r="DJ188"/>
  <c r="DK187"/>
  <c r="CJ311"/>
  <c r="CK311" s="1"/>
  <c r="BP265"/>
  <c r="DB292"/>
  <c r="CV279"/>
  <c r="Y227" i="9"/>
  <c r="Z227" s="1"/>
  <c r="V226"/>
  <c r="V230"/>
  <c r="Y230" s="1"/>
  <c r="Z230" s="1"/>
  <c r="CL309" i="2"/>
  <c r="CK283"/>
  <c r="CL283" s="1"/>
  <c r="H7" i="3" s="1"/>
  <c r="BI285" i="2"/>
  <c r="CY283"/>
  <c r="CM283"/>
  <c r="CN283"/>
  <c r="CW194"/>
  <c r="CW193"/>
  <c r="CW189"/>
  <c r="CW195"/>
  <c r="CW191"/>
  <c r="CW190"/>
  <c r="DA178"/>
  <c r="DA162"/>
  <c r="CG283"/>
  <c r="AB40"/>
  <c r="BC175"/>
  <c r="AC40" s="1"/>
  <c r="Y40"/>
  <c r="BB284" l="1"/>
  <c r="CS294" s="1"/>
  <c r="CS293"/>
  <c r="DB293"/>
  <c r="CV280"/>
  <c r="DB294" s="1"/>
  <c r="AG25" i="3" s="1"/>
  <c r="DL187" i="2"/>
  <c r="DK194"/>
  <c r="DL194" s="1"/>
  <c r="DM194" s="1"/>
  <c r="G56" i="9"/>
  <c r="E56"/>
  <c r="F56"/>
  <c r="BO284" i="2"/>
  <c r="BQ283"/>
  <c r="BR267" s="1"/>
  <c r="BP267" s="1"/>
  <c r="CD268"/>
  <c r="CF284" s="1"/>
  <c r="BX268"/>
  <c r="CF268"/>
  <c r="BW268"/>
  <c r="CA268" s="1"/>
  <c r="CC268" s="1"/>
  <c r="CE268"/>
  <c r="CV195"/>
  <c r="AB227" i="9"/>
  <c r="AA227"/>
  <c r="AW173" i="2"/>
  <c r="C46" i="9"/>
  <c r="BC174" i="2"/>
  <c r="AC39" s="1"/>
  <c r="AB39"/>
  <c r="Y39"/>
  <c r="Y226" i="9"/>
  <c r="Z226" s="1"/>
  <c r="V225"/>
  <c r="BC303" i="2"/>
  <c r="CE285"/>
  <c r="BV269"/>
  <c r="CB267"/>
  <c r="BY267"/>
  <c r="X7" i="3"/>
  <c r="CM309" i="2"/>
  <c r="CS309"/>
  <c r="CR283"/>
  <c r="CW283" s="1"/>
  <c r="CX283" s="1"/>
  <c r="CL316"/>
  <c r="BC304"/>
  <c r="BV270"/>
  <c r="CE286"/>
  <c r="DB162"/>
  <c r="DC162"/>
  <c r="DD162"/>
  <c r="CN309"/>
  <c r="CF309"/>
  <c r="BD301"/>
  <c r="BE301" s="1"/>
  <c r="AB230" i="9"/>
  <c r="AW176" i="2"/>
  <c r="DJ189"/>
  <c r="DK189" s="1"/>
  <c r="DK188"/>
  <c r="D47" i="9"/>
  <c r="F47" s="1"/>
  <c r="G47" s="1"/>
  <c r="E47"/>
  <c r="V231"/>
  <c r="Y231" s="1"/>
  <c r="Z231" s="1"/>
  <c r="CL310" i="2"/>
  <c r="CN284"/>
  <c r="CK284"/>
  <c r="CL284" s="1"/>
  <c r="BI286"/>
  <c r="CY284"/>
  <c r="DA179"/>
  <c r="DA163"/>
  <c r="CG284"/>
  <c r="H56" i="9" l="1"/>
  <c r="AF7" i="3"/>
  <c r="AC7"/>
  <c r="Y7"/>
  <c r="AD7"/>
  <c r="AA7"/>
  <c r="AB231" i="9"/>
  <c r="AW177" i="2"/>
  <c r="DL189"/>
  <c r="E46" i="9"/>
  <c r="D46"/>
  <c r="BC305" i="2"/>
  <c r="BV271"/>
  <c r="CE287"/>
  <c r="BK152"/>
  <c r="BK151"/>
  <c r="V232" i="9"/>
  <c r="Y232" s="1"/>
  <c r="Z232" s="1"/>
  <c r="CL319" i="2"/>
  <c r="BI287"/>
  <c r="CK285"/>
  <c r="CY285"/>
  <c r="DA180"/>
  <c r="DA164"/>
  <c r="CG285"/>
  <c r="CM310"/>
  <c r="CM317" s="1"/>
  <c r="CN310"/>
  <c r="CN317" s="1"/>
  <c r="BD302"/>
  <c r="BE302" s="1"/>
  <c r="CF310"/>
  <c r="CL317"/>
  <c r="CD270"/>
  <c r="CF286" s="1"/>
  <c r="BW270"/>
  <c r="CA270" s="1"/>
  <c r="CC270" s="1"/>
  <c r="BX270"/>
  <c r="CE270"/>
  <c r="CF270"/>
  <c r="CG270" s="1"/>
  <c r="CM316"/>
  <c r="CD269"/>
  <c r="CF285" s="1"/>
  <c r="CF269"/>
  <c r="CG269" s="1"/>
  <c r="CE269"/>
  <c r="BX269"/>
  <c r="BW269"/>
  <c r="CA269" s="1"/>
  <c r="CC269" s="1"/>
  <c r="AA226" i="9"/>
  <c r="AB226"/>
  <c r="AW172" i="2"/>
  <c r="C45" i="9"/>
  <c r="BY268" i="2"/>
  <c r="CB268"/>
  <c r="DD163"/>
  <c r="DB163"/>
  <c r="DC163"/>
  <c r="DL188"/>
  <c r="AB41"/>
  <c r="Y41"/>
  <c r="AB42"/>
  <c r="BC176"/>
  <c r="AC41" s="1"/>
  <c r="CN316"/>
  <c r="CN313"/>
  <c r="CN315" s="1"/>
  <c r="V233" i="9"/>
  <c r="Y233" s="1"/>
  <c r="Z233" s="1"/>
  <c r="CK286" i="2"/>
  <c r="BI288"/>
  <c r="CY286"/>
  <c r="CI272"/>
  <c r="CJ272" s="1"/>
  <c r="CN286"/>
  <c r="DA165"/>
  <c r="DA181"/>
  <c r="CG286"/>
  <c r="Y225" i="9"/>
  <c r="Z225" s="1"/>
  <c r="V224"/>
  <c r="BC173" i="2"/>
  <c r="AC38" s="1"/>
  <c r="Y38"/>
  <c r="AB38"/>
  <c r="BA173"/>
  <c r="Z38" s="1"/>
  <c r="BO285"/>
  <c r="BQ284"/>
  <c r="BR268" s="1"/>
  <c r="BP268" s="1"/>
  <c r="J13" i="6"/>
  <c r="K13"/>
  <c r="K32" i="4"/>
  <c r="M46" i="7" s="1"/>
  <c r="Q46" s="1"/>
  <c r="CM284" i="2"/>
  <c r="CL313"/>
  <c r="CL315" s="1"/>
  <c r="CG268"/>
  <c r="AA225" i="9" l="1"/>
  <c r="AB225"/>
  <c r="C44"/>
  <c r="AW171" i="2"/>
  <c r="Y224" i="9"/>
  <c r="Z224" s="1"/>
  <c r="V223"/>
  <c r="DD165" i="2"/>
  <c r="DB165"/>
  <c r="DC165"/>
  <c r="AB233" i="9"/>
  <c r="AW179" i="2"/>
  <c r="BC172"/>
  <c r="AC37" s="1"/>
  <c r="AB37"/>
  <c r="BA172"/>
  <c r="Z37" s="1"/>
  <c r="Y37"/>
  <c r="CB269"/>
  <c r="BY269"/>
  <c r="BY270"/>
  <c r="CB270"/>
  <c r="CN319"/>
  <c r="CF311"/>
  <c r="BD303"/>
  <c r="BE303" s="1"/>
  <c r="CD271"/>
  <c r="CF287" s="1"/>
  <c r="CF271"/>
  <c r="BW271"/>
  <c r="CE271"/>
  <c r="BX271"/>
  <c r="AB7" i="3"/>
  <c r="CM313" i="2"/>
  <c r="CM315" s="1"/>
  <c r="E45" i="9"/>
  <c r="D45"/>
  <c r="CM319" i="2"/>
  <c r="V234" i="9"/>
  <c r="Y234" s="1"/>
  <c r="Z234" s="1"/>
  <c r="AW180" i="2" s="1"/>
  <c r="BI289"/>
  <c r="CN287"/>
  <c r="CI277"/>
  <c r="CK287"/>
  <c r="CL287" s="1"/>
  <c r="CY287"/>
  <c r="DA182"/>
  <c r="DA166"/>
  <c r="CG287"/>
  <c r="Z7" i="3"/>
  <c r="CN285" i="2"/>
  <c r="BO286"/>
  <c r="BQ285"/>
  <c r="BR269" s="1"/>
  <c r="BP269" s="1"/>
  <c r="BC306"/>
  <c r="CE288"/>
  <c r="BV272"/>
  <c r="BS254"/>
  <c r="BT257" s="1"/>
  <c r="BT254" s="1"/>
  <c r="CF312"/>
  <c r="BD304"/>
  <c r="BE304" s="1"/>
  <c r="CO310"/>
  <c r="CL286"/>
  <c r="CO309"/>
  <c r="CL285"/>
  <c r="CM285" s="1"/>
  <c r="AB232" i="9"/>
  <c r="AW178" i="2"/>
  <c r="Y42"/>
  <c r="BC177"/>
  <c r="AC42" s="1"/>
  <c r="CM286"/>
  <c r="F46" i="9"/>
  <c r="G46" s="1"/>
  <c r="CS310" i="2"/>
  <c r="CS313" s="1"/>
  <c r="CS315" s="1"/>
  <c r="CR284"/>
  <c r="CW284" s="1"/>
  <c r="CX284" s="1"/>
  <c r="DC164"/>
  <c r="DD164"/>
  <c r="DB164"/>
  <c r="U25" i="3"/>
  <c r="T25"/>
  <c r="AE7"/>
  <c r="CR285" i="2" l="1"/>
  <c r="CO317"/>
  <c r="CP310"/>
  <c r="CP317" s="1"/>
  <c r="CD272"/>
  <c r="CF288" s="1"/>
  <c r="CF272"/>
  <c r="CG272" s="1"/>
  <c r="BW272"/>
  <c r="CE272"/>
  <c r="BX272"/>
  <c r="BO287"/>
  <c r="BQ286"/>
  <c r="BR270" s="1"/>
  <c r="BP270" s="1"/>
  <c r="CJ277"/>
  <c r="CA271"/>
  <c r="CC271" s="1"/>
  <c r="CB271"/>
  <c r="AA224" i="9"/>
  <c r="AB224"/>
  <c r="C43"/>
  <c r="AW170" i="2"/>
  <c r="CO320"/>
  <c r="CO319" s="1"/>
  <c r="BC307"/>
  <c r="CE289"/>
  <c r="BV273"/>
  <c r="BF280"/>
  <c r="BF281" s="1"/>
  <c r="DB166"/>
  <c r="DC166"/>
  <c r="DD166"/>
  <c r="AC8" i="3"/>
  <c r="Y8"/>
  <c r="AD8"/>
  <c r="AA8"/>
  <c r="Y223" i="9"/>
  <c r="Z223" s="1"/>
  <c r="V222"/>
  <c r="F45"/>
  <c r="G45" s="1"/>
  <c r="BX254" i="2"/>
  <c r="CI303" s="1"/>
  <c r="BY254"/>
  <c r="CH303" s="1"/>
  <c r="BV258"/>
  <c r="CO316"/>
  <c r="CO313"/>
  <c r="CO315" s="1"/>
  <c r="CP309"/>
  <c r="BD305"/>
  <c r="BE305" s="1"/>
  <c r="CF313"/>
  <c r="Y44"/>
  <c r="AB44"/>
  <c r="BC179"/>
  <c r="AC44" s="1"/>
  <c r="D44" i="9"/>
  <c r="E44"/>
  <c r="BY271" i="2"/>
  <c r="CR286"/>
  <c r="CW286" s="1"/>
  <c r="CX286" s="1"/>
  <c r="Y43"/>
  <c r="AB43"/>
  <c r="BC178"/>
  <c r="AC43" s="1"/>
  <c r="AN43" s="1"/>
  <c r="V235" i="9"/>
  <c r="Y235" s="1"/>
  <c r="Z235" s="1"/>
  <c r="AW181" i="2" s="1"/>
  <c r="CN288"/>
  <c r="BI290"/>
  <c r="CK288"/>
  <c r="CL288" s="1"/>
  <c r="H12" i="3" s="1"/>
  <c r="CY288" i="2"/>
  <c r="DA167"/>
  <c r="DA183"/>
  <c r="CG288"/>
  <c r="CM288" s="1"/>
  <c r="AJ7" i="3"/>
  <c r="BA171" i="2"/>
  <c r="Z36" s="1"/>
  <c r="AB36"/>
  <c r="BC171"/>
  <c r="AC36" s="1"/>
  <c r="Y36"/>
  <c r="CM287"/>
  <c r="CG271"/>
  <c r="AA11" i="3" l="1"/>
  <c r="AB11" s="1"/>
  <c r="Y11"/>
  <c r="Z11" s="1"/>
  <c r="AD11"/>
  <c r="AE11" s="1"/>
  <c r="CR288" i="2"/>
  <c r="CW288" s="1"/>
  <c r="CX288" s="1"/>
  <c r="AK7" i="3"/>
  <c r="DD167" i="2"/>
  <c r="DB167"/>
  <c r="DC167"/>
  <c r="Z8" i="3"/>
  <c r="D43" i="9"/>
  <c r="E43"/>
  <c r="BO288" i="2"/>
  <c r="BQ287"/>
  <c r="BR271" s="1"/>
  <c r="BP271" s="1"/>
  <c r="F44" i="9"/>
  <c r="G44" s="1"/>
  <c r="AB223"/>
  <c r="AA223"/>
  <c r="C42"/>
  <c r="AW169" i="2"/>
  <c r="AE8" i="3"/>
  <c r="V236" i="9"/>
  <c r="Y236" s="1"/>
  <c r="Z236" s="1"/>
  <c r="AW182" i="2" s="1"/>
  <c r="CK289"/>
  <c r="CL289" s="1"/>
  <c r="BI291"/>
  <c r="CY289"/>
  <c r="DA184"/>
  <c r="DA168"/>
  <c r="CG289"/>
  <c r="BA170"/>
  <c r="Z35" s="1"/>
  <c r="BC170"/>
  <c r="AB35"/>
  <c r="Y35"/>
  <c r="BC308"/>
  <c r="CE290"/>
  <c r="BV274"/>
  <c r="BS255"/>
  <c r="CA272"/>
  <c r="CC272" s="1"/>
  <c r="CB272"/>
  <c r="CP316"/>
  <c r="CP313"/>
  <c r="CP315" s="1"/>
  <c r="Y222" i="9"/>
  <c r="Z222" s="1"/>
  <c r="V221"/>
  <c r="AB8" i="3"/>
  <c r="CE273" i="2"/>
  <c r="CF273"/>
  <c r="CD273"/>
  <c r="CF289" s="1"/>
  <c r="BX273"/>
  <c r="BW273"/>
  <c r="CA273" s="1"/>
  <c r="CC273" s="1"/>
  <c r="AC10" i="3"/>
  <c r="Y10"/>
  <c r="Z10" s="1"/>
  <c r="AD10"/>
  <c r="AE10" s="1"/>
  <c r="AA10"/>
  <c r="AB10" s="1"/>
  <c r="CL278" i="2"/>
  <c r="CM276"/>
  <c r="CM303"/>
  <c r="CR287"/>
  <c r="CW287" s="1"/>
  <c r="CX287" s="1"/>
  <c r="CF314"/>
  <c r="X12" i="3" s="1"/>
  <c r="BD306" i="2"/>
  <c r="BE306" s="1"/>
  <c r="CA258"/>
  <c r="CC258"/>
  <c r="CX320"/>
  <c r="CX319" s="1"/>
  <c r="CW285"/>
  <c r="CX285" s="1"/>
  <c r="CK277"/>
  <c r="BY272"/>
  <c r="AC12" i="3" l="1"/>
  <c r="Y12"/>
  <c r="Z12" s="1"/>
  <c r="AD12"/>
  <c r="AE12" s="1"/>
  <c r="AA12"/>
  <c r="AB12" s="1"/>
  <c r="Y221" i="9"/>
  <c r="Z221" s="1"/>
  <c r="V220"/>
  <c r="V237"/>
  <c r="Y237" s="1"/>
  <c r="Z237" s="1"/>
  <c r="AW183" i="2" s="1"/>
  <c r="BI292"/>
  <c r="CY290"/>
  <c r="CK290"/>
  <c r="CL290" s="1"/>
  <c r="DA185"/>
  <c r="DA169"/>
  <c r="CG290"/>
  <c r="BC192"/>
  <c r="AC35"/>
  <c r="BO289"/>
  <c r="BQ288"/>
  <c r="BR272" s="1"/>
  <c r="BP272" s="1"/>
  <c r="AJ8" i="3"/>
  <c r="CG273" i="2"/>
  <c r="BI280"/>
  <c r="BI281" s="1"/>
  <c r="CD274"/>
  <c r="CF290" s="1"/>
  <c r="CE274"/>
  <c r="CF274"/>
  <c r="CG274" s="1"/>
  <c r="BW274"/>
  <c r="CA274" s="1"/>
  <c r="CC274" s="1"/>
  <c r="BX274"/>
  <c r="DB168"/>
  <c r="DC168"/>
  <c r="DD168"/>
  <c r="D42" i="9"/>
  <c r="E42"/>
  <c r="BC309" i="2"/>
  <c r="CE291"/>
  <c r="BV275"/>
  <c r="AJ10" i="3"/>
  <c r="AK10" s="1"/>
  <c r="AM10" s="1"/>
  <c r="CB273" i="2"/>
  <c r="BY273"/>
  <c r="CF315"/>
  <c r="BD307"/>
  <c r="BE307" s="1"/>
  <c r="Y34"/>
  <c r="AB34"/>
  <c r="BA169"/>
  <c r="Z34" s="1"/>
  <c r="BC169"/>
  <c r="AC34" s="1"/>
  <c r="F43" i="9"/>
  <c r="G43" s="1"/>
  <c r="AC11" i="3"/>
  <c r="AJ11" s="1"/>
  <c r="AK11" s="1"/>
  <c r="AM11" s="1"/>
  <c r="C41" i="9"/>
  <c r="AA222"/>
  <c r="AB222"/>
  <c r="AW168" i="2"/>
  <c r="CM289"/>
  <c r="CN289"/>
  <c r="BA168" l="1"/>
  <c r="Z33" s="1"/>
  <c r="AB33"/>
  <c r="BC168"/>
  <c r="AC33" s="1"/>
  <c r="Y33"/>
  <c r="AC9" i="3"/>
  <c r="BC310" i="2"/>
  <c r="CE292"/>
  <c r="BV276"/>
  <c r="BS256"/>
  <c r="CF316"/>
  <c r="BD308"/>
  <c r="BE308" s="1"/>
  <c r="CN290"/>
  <c r="CR289"/>
  <c r="CW289" s="1"/>
  <c r="CX289" s="1"/>
  <c r="BJ280"/>
  <c r="BJ281" s="1"/>
  <c r="AK8" i="3"/>
  <c r="AM8" s="1"/>
  <c r="AA221" i="9"/>
  <c r="AB221"/>
  <c r="C40"/>
  <c r="AW167" i="2"/>
  <c r="Y220" i="9"/>
  <c r="Z220" s="1"/>
  <c r="V219"/>
  <c r="AJ12" i="3"/>
  <c r="AK12" s="1"/>
  <c r="AM12" s="1"/>
  <c r="D41" i="9"/>
  <c r="F41" s="1"/>
  <c r="G41" s="1"/>
  <c r="E41"/>
  <c r="V238"/>
  <c r="Y238" s="1"/>
  <c r="Z238" s="1"/>
  <c r="AW184" i="2" s="1"/>
  <c r="CN291"/>
  <c r="CK291"/>
  <c r="CL291" s="1"/>
  <c r="CI278"/>
  <c r="CJ278" s="1"/>
  <c r="CM277" s="1"/>
  <c r="DA186"/>
  <c r="CY291"/>
  <c r="BI293"/>
  <c r="DA170"/>
  <c r="CG291"/>
  <c r="CE275"/>
  <c r="CF275"/>
  <c r="CG275" s="1"/>
  <c r="CD275"/>
  <c r="CF291" s="1"/>
  <c r="BX275"/>
  <c r="BW275"/>
  <c r="CA275" s="1"/>
  <c r="CC275" s="1"/>
  <c r="BY274"/>
  <c r="CB274"/>
  <c r="BO290"/>
  <c r="BQ289"/>
  <c r="BR273" s="1"/>
  <c r="BP273" s="1"/>
  <c r="DB169"/>
  <c r="DC169"/>
  <c r="DD169"/>
  <c r="F42" i="9"/>
  <c r="G42" s="1"/>
  <c r="CM290" i="2"/>
  <c r="CB275" l="1"/>
  <c r="BY275"/>
  <c r="CR290"/>
  <c r="CW290" s="1"/>
  <c r="CX290" s="1"/>
  <c r="Y219" i="9"/>
  <c r="Z219" s="1"/>
  <c r="V218"/>
  <c r="V239"/>
  <c r="Y239" s="1"/>
  <c r="Z239" s="1"/>
  <c r="AW185" i="2" s="1"/>
  <c r="CY292"/>
  <c r="BI294"/>
  <c r="CK292"/>
  <c r="CL292" s="1"/>
  <c r="DA171"/>
  <c r="DA187"/>
  <c r="CG292"/>
  <c r="CM291"/>
  <c r="DD170"/>
  <c r="DB170"/>
  <c r="DC170"/>
  <c r="D40" i="9"/>
  <c r="E40"/>
  <c r="AC13" i="3"/>
  <c r="Y13"/>
  <c r="AD13"/>
  <c r="AA13"/>
  <c r="CE276" i="2"/>
  <c r="CF276"/>
  <c r="CG276" s="1"/>
  <c r="CD276"/>
  <c r="CF292" s="1"/>
  <c r="BW276"/>
  <c r="CA276" s="1"/>
  <c r="CC276" s="1"/>
  <c r="BX276"/>
  <c r="AJ9" i="3"/>
  <c r="BO291" i="2"/>
  <c r="BQ291" s="1"/>
  <c r="BQ275" s="1"/>
  <c r="BP275" s="1"/>
  <c r="BQ290"/>
  <c r="BR274" s="1"/>
  <c r="BP274" s="1"/>
  <c r="BD309"/>
  <c r="BE309" s="1"/>
  <c r="CF317"/>
  <c r="BA167"/>
  <c r="Z32" s="1"/>
  <c r="BC167"/>
  <c r="AC32" s="1"/>
  <c r="AB32"/>
  <c r="Y32"/>
  <c r="BC311"/>
  <c r="BV277"/>
  <c r="CE293"/>
  <c r="AA220" i="9"/>
  <c r="AB220"/>
  <c r="C39"/>
  <c r="AW166" i="2"/>
  <c r="AD15" i="3" l="1"/>
  <c r="AE15" s="1"/>
  <c r="AA15"/>
  <c r="AB15" s="1"/>
  <c r="Y15"/>
  <c r="Z15" s="1"/>
  <c r="AK9"/>
  <c r="AM9" s="1"/>
  <c r="AE13"/>
  <c r="CR291" i="2"/>
  <c r="CW291" s="1"/>
  <c r="CX291" s="1"/>
  <c r="AB219" i="9"/>
  <c r="AA219"/>
  <c r="C38"/>
  <c r="AW165" i="2"/>
  <c r="F40" i="9"/>
  <c r="G40" s="1"/>
  <c r="D39"/>
  <c r="E39"/>
  <c r="CD277" i="2"/>
  <c r="CF293" s="1"/>
  <c r="CE277"/>
  <c r="CF277"/>
  <c r="CG277" s="1"/>
  <c r="BX277"/>
  <c r="BW277"/>
  <c r="CA277" s="1"/>
  <c r="CC277" s="1"/>
  <c r="BA166"/>
  <c r="Z31" s="1"/>
  <c r="BC166"/>
  <c r="AC31" s="1"/>
  <c r="Y31"/>
  <c r="AB31"/>
  <c r="V240" i="9"/>
  <c r="Y240" s="1"/>
  <c r="Z240" s="1"/>
  <c r="AW186" i="2" s="1"/>
  <c r="CM321"/>
  <c r="CN321" s="1"/>
  <c r="CN293"/>
  <c r="BI295"/>
  <c r="CY293"/>
  <c r="CK293"/>
  <c r="CL293" s="1"/>
  <c r="DA188"/>
  <c r="DA172"/>
  <c r="CG293"/>
  <c r="AB13" i="3"/>
  <c r="DD171" i="2"/>
  <c r="DB171"/>
  <c r="DC171"/>
  <c r="Y218" i="9"/>
  <c r="Z218" s="1"/>
  <c r="V217"/>
  <c r="CM292" i="2"/>
  <c r="AC14" i="3"/>
  <c r="Y14"/>
  <c r="Z14" s="1"/>
  <c r="AD14"/>
  <c r="AE14" s="1"/>
  <c r="AA14"/>
  <c r="AB14" s="1"/>
  <c r="BC312" i="2"/>
  <c r="CE294"/>
  <c r="BV278"/>
  <c r="CB276"/>
  <c r="BY276"/>
  <c r="Z13" i="3"/>
  <c r="BD310" i="2"/>
  <c r="BE310" s="1"/>
  <c r="CF318"/>
  <c r="CN292"/>
  <c r="F39" i="9" l="1"/>
  <c r="G39" s="1"/>
  <c r="AJ14" i="3"/>
  <c r="AK14" s="1"/>
  <c r="AM14" s="1"/>
  <c r="Y16"/>
  <c r="Z16" s="1"/>
  <c r="AD16"/>
  <c r="AE16" s="1"/>
  <c r="AA16"/>
  <c r="AB16" s="1"/>
  <c r="AF25"/>
  <c r="DD172" i="2"/>
  <c r="DB172"/>
  <c r="DC172"/>
  <c r="V241" i="9"/>
  <c r="Y241" s="1"/>
  <c r="Z241" s="1"/>
  <c r="AW187" i="2" s="1"/>
  <c r="CK294"/>
  <c r="CL294" s="1"/>
  <c r="CY294"/>
  <c r="BI296"/>
  <c r="DA189"/>
  <c r="DA173"/>
  <c r="CG294"/>
  <c r="Y217" i="9"/>
  <c r="Z217" s="1"/>
  <c r="V216"/>
  <c r="AJ13" i="3"/>
  <c r="CD278" i="2"/>
  <c r="CF294" s="1"/>
  <c r="E25" i="3" s="1"/>
  <c r="CE278" i="2"/>
  <c r="CF278"/>
  <c r="BW278"/>
  <c r="CA278" s="1"/>
  <c r="CC278" s="1"/>
  <c r="BX278"/>
  <c r="CR292"/>
  <c r="CW292" s="1"/>
  <c r="CX292" s="1"/>
  <c r="BD311"/>
  <c r="BE311" s="1"/>
  <c r="CF319"/>
  <c r="CB277"/>
  <c r="BY277"/>
  <c r="D38" i="9"/>
  <c r="F38" s="1"/>
  <c r="G38" s="1"/>
  <c r="E38"/>
  <c r="CM293" i="2"/>
  <c r="AB30"/>
  <c r="BA165"/>
  <c r="Z30" s="1"/>
  <c r="BC165"/>
  <c r="AC30" s="1"/>
  <c r="Y30"/>
  <c r="C37" i="9"/>
  <c r="AA218"/>
  <c r="AB218"/>
  <c r="AW164" i="2"/>
  <c r="AC15" i="3"/>
  <c r="AJ15" s="1"/>
  <c r="AK15" s="1"/>
  <c r="AM15" s="1"/>
  <c r="CF320" i="2" l="1"/>
  <c r="G25" i="3" s="1"/>
  <c r="BD312" i="2"/>
  <c r="BE312" s="1"/>
  <c r="I25" i="3"/>
  <c r="H25"/>
  <c r="BC164" i="2"/>
  <c r="AC29" s="1"/>
  <c r="AB29"/>
  <c r="Y29"/>
  <c r="BA164"/>
  <c r="Y17" i="3"/>
  <c r="Z17" s="1"/>
  <c r="AD17"/>
  <c r="AE17" s="1"/>
  <c r="AA17"/>
  <c r="AB17" s="1"/>
  <c r="BY278" i="2"/>
  <c r="CB278"/>
  <c r="Z13" i="4"/>
  <c r="CE242" i="2"/>
  <c r="CI232"/>
  <c r="AA217" i="9"/>
  <c r="AB217"/>
  <c r="C36"/>
  <c r="AW163" i="2"/>
  <c r="J8" i="6"/>
  <c r="K8" s="1"/>
  <c r="M15" s="1"/>
  <c r="K27" i="4"/>
  <c r="CN294" i="2"/>
  <c r="CM294"/>
  <c r="AC16" i="3"/>
  <c r="D37" i="9"/>
  <c r="E37"/>
  <c r="CR293" i="2"/>
  <c r="CW293" s="1"/>
  <c r="CX293"/>
  <c r="Y216" i="9"/>
  <c r="Z216" s="1"/>
  <c r="V215"/>
  <c r="D25" i="3"/>
  <c r="AJ16"/>
  <c r="AK16" s="1"/>
  <c r="AM16" s="1"/>
  <c r="AK13"/>
  <c r="AM13" s="1"/>
  <c r="DB173" i="2"/>
  <c r="DC173"/>
  <c r="DD173"/>
  <c r="CG278"/>
  <c r="D36" i="9" l="1"/>
  <c r="F36" s="1"/>
  <c r="G36" s="1"/>
  <c r="E36"/>
  <c r="K11" i="4"/>
  <c r="CG245" i="2"/>
  <c r="CM229"/>
  <c r="Y215" i="9"/>
  <c r="Z215" s="1"/>
  <c r="V214"/>
  <c r="AC18" i="3"/>
  <c r="Y18"/>
  <c r="AD18"/>
  <c r="AA18"/>
  <c r="X25"/>
  <c r="CR294" i="2"/>
  <c r="CW294" s="1"/>
  <c r="CX294" s="1"/>
  <c r="Y28"/>
  <c r="BA163"/>
  <c r="Z28" s="1"/>
  <c r="BC163"/>
  <c r="AC28" s="1"/>
  <c r="AB28"/>
  <c r="AC17" i="3"/>
  <c r="AJ17" s="1"/>
  <c r="AK17" s="1"/>
  <c r="AM17" s="1"/>
  <c r="Y10" i="4"/>
  <c r="U13" s="1"/>
  <c r="Y15" s="1"/>
  <c r="Y16" s="1"/>
  <c r="W13"/>
  <c r="CE241" i="2"/>
  <c r="CI231"/>
  <c r="AA216" i="9"/>
  <c r="AB216"/>
  <c r="C35"/>
  <c r="AW162" i="2"/>
  <c r="M41" i="7"/>
  <c r="Q41" s="1"/>
  <c r="K34" i="4"/>
  <c r="L34" s="1"/>
  <c r="BB192" i="2"/>
  <c r="Z29"/>
  <c r="AN34" s="1"/>
  <c r="AN11" i="8" s="1"/>
  <c r="F37" i="9"/>
  <c r="G37" s="1"/>
  <c r="CE243" i="2" l="1"/>
  <c r="CI233"/>
  <c r="AB18" i="3"/>
  <c r="AB25" s="1"/>
  <c r="K38" i="4" s="1"/>
  <c r="M30" i="7" s="1"/>
  <c r="Q30" s="1"/>
  <c r="AA25" i="3"/>
  <c r="H20" i="5"/>
  <c r="H25" s="1"/>
  <c r="L25" s="1"/>
  <c r="L26" s="1"/>
  <c r="L9" i="4"/>
  <c r="AC25" i="3"/>
  <c r="D35" i="9"/>
  <c r="E35"/>
  <c r="Z18" i="3"/>
  <c r="Y25"/>
  <c r="AB215" i="9"/>
  <c r="AA215"/>
  <c r="C34"/>
  <c r="AW161" i="2"/>
  <c r="BA162"/>
  <c r="Z27" s="1"/>
  <c r="BC162"/>
  <c r="AC27" s="1"/>
  <c r="Y27"/>
  <c r="AB27"/>
  <c r="AE18" i="3"/>
  <c r="AE25" s="1"/>
  <c r="K39" i="4" s="1"/>
  <c r="M31" i="7" s="1"/>
  <c r="Q31" s="1"/>
  <c r="AD25" i="3"/>
  <c r="H51" i="5" s="1"/>
  <c r="J51" s="1"/>
  <c r="Y214" i="9"/>
  <c r="Z214" s="1"/>
  <c r="V213"/>
  <c r="CJ235" i="2"/>
  <c r="CF245"/>
  <c r="F35" i="9" l="1"/>
  <c r="G35" s="1"/>
  <c r="CE244" i="2"/>
  <c r="CI234"/>
  <c r="CI235" s="1"/>
  <c r="CE234" s="1"/>
  <c r="CE235" s="1"/>
  <c r="CE236" s="1"/>
  <c r="Y213" i="9"/>
  <c r="Z213" s="1"/>
  <c r="V212"/>
  <c r="AJ18" i="3"/>
  <c r="Z25"/>
  <c r="K37" i="4" s="1"/>
  <c r="D34" i="9"/>
  <c r="E34"/>
  <c r="C33"/>
  <c r="AA214"/>
  <c r="AB214"/>
  <c r="AW160" i="2"/>
  <c r="BA161"/>
  <c r="Z26" s="1"/>
  <c r="BC161"/>
  <c r="AC26" s="1"/>
  <c r="AB26"/>
  <c r="Y26"/>
  <c r="X27" i="4"/>
  <c r="Z31"/>
  <c r="K18"/>
  <c r="H39" i="5" s="1"/>
  <c r="L39" s="1"/>
  <c r="CG243" i="2"/>
  <c r="H50" i="5"/>
  <c r="J50" s="1"/>
  <c r="Y27" i="4"/>
  <c r="Y212" i="9" l="1"/>
  <c r="Z212" s="1"/>
  <c r="V211"/>
  <c r="CF244" i="2"/>
  <c r="K13" i="4" s="1"/>
  <c r="CE245" i="2"/>
  <c r="CE246" s="1"/>
  <c r="CJ234"/>
  <c r="F34" i="9"/>
  <c r="G34" s="1"/>
  <c r="L18" i="4"/>
  <c r="CH243" i="2"/>
  <c r="AB25"/>
  <c r="BA160"/>
  <c r="Z25" s="1"/>
  <c r="BC160"/>
  <c r="Y25"/>
  <c r="X29" i="4"/>
  <c r="D33" i="9"/>
  <c r="F33" s="1"/>
  <c r="G33" s="1"/>
  <c r="E33"/>
  <c r="AK18" i="3"/>
  <c r="AM18" s="1"/>
  <c r="AJ25"/>
  <c r="AK25" s="1"/>
  <c r="Z27" i="4"/>
  <c r="Z26"/>
  <c r="Z25" s="1"/>
  <c r="Z32" s="1"/>
  <c r="X27" i="7"/>
  <c r="M29" s="1"/>
  <c r="Q29" s="1"/>
  <c r="H49" i="5"/>
  <c r="K46" i="4"/>
  <c r="AA213" i="9"/>
  <c r="AB213"/>
  <c r="C32"/>
  <c r="AW159" i="2"/>
  <c r="AA212" i="9" l="1"/>
  <c r="AB212"/>
  <c r="C31"/>
  <c r="AW158" i="2"/>
  <c r="D32" i="9"/>
  <c r="F32" s="1"/>
  <c r="G32" s="1"/>
  <c r="E32"/>
  <c r="Y211"/>
  <c r="Z211" s="1"/>
  <c r="V210"/>
  <c r="Y24" i="2"/>
  <c r="BA159"/>
  <c r="Z24" s="1"/>
  <c r="BC159"/>
  <c r="AC24" s="1"/>
  <c r="AB24"/>
  <c r="BC191"/>
  <c r="AC25"/>
  <c r="H58" i="5"/>
  <c r="J49"/>
  <c r="J58" s="1"/>
  <c r="L59" s="1"/>
  <c r="M38" i="7"/>
  <c r="L46" i="4"/>
  <c r="CH244" i="2"/>
  <c r="CH245"/>
  <c r="CE247"/>
  <c r="CF246" s="1"/>
  <c r="CF235"/>
  <c r="AA25" i="4"/>
  <c r="AA24" s="1"/>
  <c r="CF237" i="2" l="1"/>
  <c r="CF236" s="1"/>
  <c r="AB211" i="9"/>
  <c r="AA211"/>
  <c r="C30"/>
  <c r="AW157" i="2"/>
  <c r="D31" i="9"/>
  <c r="F31" s="1"/>
  <c r="G31" s="1"/>
  <c r="E31"/>
  <c r="T8" i="10"/>
  <c r="T9" s="1"/>
  <c r="BW225" i="2" s="1"/>
  <c r="F11" i="10"/>
  <c r="L9" s="1"/>
  <c r="I12" i="4"/>
  <c r="P12"/>
  <c r="I14" i="7" s="1"/>
  <c r="U12" i="4"/>
  <c r="CM231" i="2"/>
  <c r="CM233" s="1"/>
  <c r="CM230"/>
  <c r="CI236"/>
  <c r="CI237" s="1"/>
  <c r="Q4"/>
  <c r="N50" i="4"/>
  <c r="S15" i="2"/>
  <c r="Y210" i="9"/>
  <c r="Z210" s="1"/>
  <c r="V209"/>
  <c r="Y23" i="2"/>
  <c r="AB23"/>
  <c r="BA158"/>
  <c r="Z23" s="1"/>
  <c r="BC158"/>
  <c r="AC23" s="1"/>
  <c r="Y209" i="9" l="1"/>
  <c r="Z209" s="1"/>
  <c r="V208"/>
  <c r="M14" i="7"/>
  <c r="U15" i="4"/>
  <c r="BY227" i="2"/>
  <c r="D30" i="9"/>
  <c r="F30" s="1"/>
  <c r="G30" s="1"/>
  <c r="E30"/>
  <c r="M16" i="6"/>
  <c r="M4"/>
  <c r="AB22" i="2"/>
  <c r="Y22"/>
  <c r="BC157"/>
  <c r="AC22" s="1"/>
  <c r="BA157"/>
  <c r="Z22" s="1"/>
  <c r="CE239"/>
  <c r="CE238" s="1"/>
  <c r="CH240" s="1"/>
  <c r="C29" i="9"/>
  <c r="AA210"/>
  <c r="AB210"/>
  <c r="AW156" i="2"/>
  <c r="CJ236"/>
  <c r="BY226" l="1"/>
  <c r="BX225"/>
  <c r="AA209" i="9"/>
  <c r="AB209"/>
  <c r="AW155" i="2"/>
  <c r="C28" i="9"/>
  <c r="Y208"/>
  <c r="Z208" s="1"/>
  <c r="V207"/>
  <c r="BZ227" i="2"/>
  <c r="CF176"/>
  <c r="K12" i="4" s="1"/>
  <c r="L13" s="1"/>
  <c r="CK236" i="2"/>
  <c r="D29" i="9"/>
  <c r="E29"/>
  <c r="BA156" i="2"/>
  <c r="Z21" s="1"/>
  <c r="BC156"/>
  <c r="AC21" s="1"/>
  <c r="Y21"/>
  <c r="AB21"/>
  <c r="F29" i="9" l="1"/>
  <c r="G29" s="1"/>
  <c r="BZ226" i="2"/>
  <c r="BY225" s="1"/>
  <c r="D28" i="9"/>
  <c r="F28" s="1"/>
  <c r="G28" s="1"/>
  <c r="E28"/>
  <c r="Y207"/>
  <c r="Z207" s="1"/>
  <c r="V206"/>
  <c r="Y20" i="2"/>
  <c r="BA155"/>
  <c r="Z20" s="1"/>
  <c r="BC155"/>
  <c r="AC20" s="1"/>
  <c r="AB20"/>
  <c r="CA227"/>
  <c r="CB227" s="1"/>
  <c r="H33" i="5"/>
  <c r="L34" s="1"/>
  <c r="L35" s="1"/>
  <c r="L40" s="1"/>
  <c r="L45" s="1"/>
  <c r="L15" i="4"/>
  <c r="L19" s="1"/>
  <c r="L21" s="1"/>
  <c r="L25" s="1"/>
  <c r="L35" s="1"/>
  <c r="O50" s="1"/>
  <c r="L50" s="1"/>
  <c r="AA208" i="9"/>
  <c r="C27"/>
  <c r="AB208"/>
  <c r="AW154" i="2"/>
  <c r="CB226" l="1"/>
  <c r="CB225" s="1"/>
  <c r="AB207" i="9"/>
  <c r="AA207"/>
  <c r="AW153" i="2"/>
  <c r="C26" i="9"/>
  <c r="AI63" i="4"/>
  <c r="M18" i="6"/>
  <c r="AH68" i="4"/>
  <c r="AI52"/>
  <c r="T52"/>
  <c r="N52"/>
  <c r="AH54"/>
  <c r="CS262" i="2"/>
  <c r="Y206" i="9"/>
  <c r="Z206" s="1"/>
  <c r="V205"/>
  <c r="D27"/>
  <c r="E27"/>
  <c r="BC154" i="2"/>
  <c r="AC19" s="1"/>
  <c r="BA154"/>
  <c r="Y19"/>
  <c r="AB19"/>
  <c r="CA226"/>
  <c r="CA225" s="1"/>
  <c r="BY229" l="1"/>
  <c r="CC229" s="1"/>
  <c r="CV255"/>
  <c r="CV256" s="1"/>
  <c r="CS261"/>
  <c r="CV263"/>
  <c r="CS263" s="1"/>
  <c r="R52" i="4"/>
  <c r="T53"/>
  <c r="V52"/>
  <c r="AI64"/>
  <c r="AF63"/>
  <c r="AL63"/>
  <c r="AB18" i="2"/>
  <c r="BA153"/>
  <c r="Z18" s="1"/>
  <c r="BC153"/>
  <c r="AC18" s="1"/>
  <c r="Y18"/>
  <c r="AA206" i="9"/>
  <c r="C25"/>
  <c r="AB206"/>
  <c r="AW152" i="2"/>
  <c r="BB191"/>
  <c r="Z19"/>
  <c r="Y205" i="9"/>
  <c r="Z205" s="1"/>
  <c r="V204"/>
  <c r="E26"/>
  <c r="D26"/>
  <c r="F26" s="1"/>
  <c r="G26" s="1"/>
  <c r="AF52" i="4"/>
  <c r="AI53"/>
  <c r="AK52"/>
  <c r="F27" i="9"/>
  <c r="G27" s="1"/>
  <c r="H54" s="1"/>
  <c r="F10" i="10" l="1"/>
  <c r="CM236" i="2"/>
  <c r="CM238" s="1"/>
  <c r="B74" i="4" s="1"/>
  <c r="AA205" i="9"/>
  <c r="AB205"/>
  <c r="AW151" i="2"/>
  <c r="C24" i="9"/>
  <c r="L53" i="4"/>
  <c r="Y204" i="9"/>
  <c r="Z204" s="1"/>
  <c r="V203"/>
  <c r="BA152" i="2"/>
  <c r="Z17" s="1"/>
  <c r="AN21" s="1"/>
  <c r="AN12" i="8" s="1"/>
  <c r="BC152" i="2"/>
  <c r="AC17" s="1"/>
  <c r="Y17"/>
  <c r="AB17"/>
  <c r="T54" i="4"/>
  <c r="V53"/>
  <c r="R53"/>
  <c r="CV258" i="2"/>
  <c r="CS268" s="1"/>
  <c r="CV257"/>
  <c r="CT262" s="1"/>
  <c r="AI55" i="4"/>
  <c r="AF54" s="1"/>
  <c r="L55" s="1"/>
  <c r="AI54"/>
  <c r="AK54" s="1"/>
  <c r="AF53"/>
  <c r="L54" s="1"/>
  <c r="AK53"/>
  <c r="E25" i="9"/>
  <c r="D25"/>
  <c r="AI65" i="4"/>
  <c r="AL64"/>
  <c r="AF64"/>
  <c r="CT263" i="2"/>
  <c r="CS266"/>
  <c r="M23" i="6" l="1"/>
  <c r="D55" i="4"/>
  <c r="D23" i="6" s="1"/>
  <c r="H55" i="4"/>
  <c r="H23" i="6" s="1"/>
  <c r="AA204" i="9"/>
  <c r="C23"/>
  <c r="AB204"/>
  <c r="AW150" i="2"/>
  <c r="BA151"/>
  <c r="Z16" s="1"/>
  <c r="BC151"/>
  <c r="AC16" s="1"/>
  <c r="Y16"/>
  <c r="AB16"/>
  <c r="Y203" i="9"/>
  <c r="Z203" s="1"/>
  <c r="V202"/>
  <c r="D24"/>
  <c r="F24" s="1"/>
  <c r="G24" s="1"/>
  <c r="E24"/>
  <c r="M22" i="6"/>
  <c r="D54" i="4"/>
  <c r="D22" i="6" s="1"/>
  <c r="H54" i="4"/>
  <c r="H22" i="6" s="1"/>
  <c r="T55" i="4"/>
  <c r="V54"/>
  <c r="R54"/>
  <c r="AC117" i="8"/>
  <c r="AC118" s="1"/>
  <c r="M21" i="6"/>
  <c r="D53" i="4"/>
  <c r="D21" i="6" s="1"/>
  <c r="H53" i="4"/>
  <c r="H21" i="6" s="1"/>
  <c r="CU268" i="2"/>
  <c r="CT268"/>
  <c r="CU262"/>
  <c r="CU261" s="1"/>
  <c r="CT261"/>
  <c r="CS267"/>
  <c r="CT266"/>
  <c r="CU266"/>
  <c r="AF65" i="4"/>
  <c r="AI66"/>
  <c r="AL65"/>
  <c r="F25" i="9"/>
  <c r="G25" s="1"/>
  <c r="AF55" i="4"/>
  <c r="AI57" s="1"/>
  <c r="AF72" s="1"/>
  <c r="CR265" i="2" l="1"/>
  <c r="CP265" s="1"/>
  <c r="L59" i="4" s="1"/>
  <c r="AF66"/>
  <c r="AI67"/>
  <c r="AL66"/>
  <c r="AA203" i="9"/>
  <c r="AW149" i="2"/>
  <c r="C22" i="9"/>
  <c r="Y202"/>
  <c r="Z202" s="1"/>
  <c r="V201"/>
  <c r="D23"/>
  <c r="F23" s="1"/>
  <c r="G23" s="1"/>
  <c r="E23"/>
  <c r="J51" i="4"/>
  <c r="J19" i="6" s="1"/>
  <c r="P52" i="4"/>
  <c r="AG121" i="8"/>
  <c r="AH121" s="1"/>
  <c r="AC121" s="1"/>
  <c r="AC123"/>
  <c r="AG122"/>
  <c r="AH122" s="1"/>
  <c r="AC122" s="1"/>
  <c r="AG120"/>
  <c r="AH120" s="1"/>
  <c r="AG125" s="1"/>
  <c r="R56" i="4"/>
  <c r="R55"/>
  <c r="T56"/>
  <c r="V55"/>
  <c r="BA150" i="2"/>
  <c r="Z15" s="1"/>
  <c r="BC150"/>
  <c r="AB15"/>
  <c r="Y15"/>
  <c r="AC124" i="8" l="1"/>
  <c r="AC125" s="1"/>
  <c r="AA202" i="9"/>
  <c r="C21"/>
  <c r="AW148" i="2"/>
  <c r="AC12" i="8"/>
  <c r="M28" i="6"/>
  <c r="CP264" i="2"/>
  <c r="CS265" s="1"/>
  <c r="L60" i="4"/>
  <c r="R57"/>
  <c r="R60" s="1"/>
  <c r="U61" s="1"/>
  <c r="V56"/>
  <c r="T57"/>
  <c r="V57" s="1"/>
  <c r="Y201" i="9"/>
  <c r="Z201" s="1"/>
  <c r="V200"/>
  <c r="Y14" i="2"/>
  <c r="BA149"/>
  <c r="Z14" s="1"/>
  <c r="BC190"/>
  <c r="BC193" s="1"/>
  <c r="AC15"/>
  <c r="D22" i="9"/>
  <c r="E22"/>
  <c r="AF67" i="4"/>
  <c r="AI68"/>
  <c r="AL67"/>
  <c r="F22" i="9" l="1"/>
  <c r="G22" s="1"/>
  <c r="AC127" i="8"/>
  <c r="AF127" s="1"/>
  <c r="AC126"/>
  <c r="E21" i="9"/>
  <c r="D21"/>
  <c r="AA201"/>
  <c r="AW147" i="2"/>
  <c r="C20" i="9"/>
  <c r="M29" i="6"/>
  <c r="N59" i="4"/>
  <c r="L61"/>
  <c r="M30" i="6" s="1"/>
  <c r="CS264" i="2"/>
  <c r="Y13"/>
  <c r="BA148"/>
  <c r="Z13" s="1"/>
  <c r="AF68" i="4"/>
  <c r="AF69" s="1"/>
  <c r="AI70" s="1"/>
  <c r="AL68"/>
  <c r="Y200" i="9"/>
  <c r="Z200" s="1"/>
  <c r="V199"/>
  <c r="L63" i="4" l="1"/>
  <c r="BW223" i="2" s="1"/>
  <c r="BX223" s="1"/>
  <c r="T75" i="8"/>
  <c r="W75" s="1"/>
  <c r="Y199" i="9"/>
  <c r="Z199" s="1"/>
  <c r="V198"/>
  <c r="F21"/>
  <c r="G21" s="1"/>
  <c r="D20"/>
  <c r="E20"/>
  <c r="AA200"/>
  <c r="C19"/>
  <c r="AW146" i="2"/>
  <c r="BA147"/>
  <c r="Z12" s="1"/>
  <c r="Y12"/>
  <c r="CT265"/>
  <c r="CT267" s="1"/>
  <c r="CU265"/>
  <c r="CU267" s="1"/>
  <c r="M32" i="6" l="1"/>
  <c r="AA199" i="9"/>
  <c r="AW145" i="2"/>
  <c r="C18" i="9"/>
  <c r="Y198"/>
  <c r="Z198" s="1"/>
  <c r="Y197"/>
  <c r="D19"/>
  <c r="F19" s="1"/>
  <c r="G19" s="1"/>
  <c r="E19"/>
  <c r="BX221" i="2"/>
  <c r="BY221" s="1"/>
  <c r="BZ221" s="1"/>
  <c r="Y11"/>
  <c r="BA146"/>
  <c r="Z11" s="1"/>
  <c r="F20" i="9"/>
  <c r="G20" s="1"/>
  <c r="BA145" i="2" l="1"/>
  <c r="Z10" s="1"/>
  <c r="Y10"/>
  <c r="BZ220"/>
  <c r="BZ219" s="1"/>
  <c r="BY220"/>
  <c r="BY219" s="1"/>
  <c r="E18" i="9"/>
  <c r="D18"/>
  <c r="CA221" i="2"/>
  <c r="BX219"/>
  <c r="BX220"/>
  <c r="AA198" i="9"/>
  <c r="C17"/>
  <c r="AW144" i="2"/>
  <c r="Y9" l="1"/>
  <c r="BA144"/>
  <c r="E17" i="9"/>
  <c r="E48" s="1"/>
  <c r="C48"/>
  <c r="D17"/>
  <c r="CA220" i="2"/>
  <c r="CA219" s="1"/>
  <c r="BY223" s="1"/>
  <c r="CD223" s="1"/>
  <c r="B62" i="6" s="1"/>
  <c r="F18" i="9"/>
  <c r="G18" s="1"/>
  <c r="BB190" i="2" l="1"/>
  <c r="BB193" s="1"/>
  <c r="Z9"/>
  <c r="AN10" s="1"/>
  <c r="AN15" i="8" s="1"/>
  <c r="D48" i="9"/>
  <c r="F17"/>
  <c r="AC97" i="8" l="1"/>
  <c r="AC98" s="1"/>
  <c r="AN19"/>
  <c r="AC6" s="1"/>
  <c r="AC4" s="1"/>
  <c r="F48" i="9"/>
  <c r="G17"/>
  <c r="AC7" i="8" l="1"/>
  <c r="AE4"/>
  <c r="AE7" s="1"/>
  <c r="U52"/>
  <c r="U54" s="1"/>
  <c r="D54" i="9"/>
  <c r="G48"/>
  <c r="AC103" i="8"/>
  <c r="AG100"/>
  <c r="AH100" s="1"/>
  <c r="AC101" s="1"/>
  <c r="AG101"/>
  <c r="AH101" s="1"/>
  <c r="AC102" s="1"/>
  <c r="AG99"/>
  <c r="AH99" s="1"/>
  <c r="AC100" s="1"/>
  <c r="AC104" l="1"/>
  <c r="AC105" s="1"/>
  <c r="AI11"/>
  <c r="AJ11" s="1"/>
  <c r="AE11" s="1"/>
  <c r="AE12"/>
  <c r="AI10"/>
  <c r="AJ10" s="1"/>
  <c r="AE10" s="1"/>
  <c r="AI9"/>
  <c r="AJ9" s="1"/>
  <c r="AE9" s="1"/>
  <c r="AG9"/>
  <c r="AH9" s="1"/>
  <c r="AC9" s="1"/>
  <c r="AG11"/>
  <c r="AH11" s="1"/>
  <c r="AC11" s="1"/>
  <c r="AG10"/>
  <c r="AH10" s="1"/>
  <c r="AC10" s="1"/>
  <c r="AC106" l="1"/>
  <c r="AC107" s="1"/>
  <c r="AF107" s="1"/>
  <c r="AC13"/>
  <c r="AE13"/>
  <c r="T76" l="1"/>
  <c r="T80" s="1"/>
  <c r="AC14"/>
  <c r="AC15"/>
  <c r="AE14"/>
  <c r="AE15"/>
  <c r="W76" l="1"/>
  <c r="W80" s="1"/>
  <c r="U59" s="1"/>
  <c r="AC16"/>
  <c r="U55" s="1"/>
  <c r="AE16"/>
  <c r="U56" s="1"/>
  <c r="U57" l="1"/>
  <c r="U61" s="1"/>
  <c r="AF16"/>
  <c r="AF67" s="1"/>
  <c r="AB68" s="1"/>
  <c r="AJ60" l="1"/>
  <c r="M65" i="4"/>
  <c r="L64" s="1"/>
  <c r="AM21" i="8"/>
  <c r="N51" i="2"/>
  <c r="S51"/>
  <c r="M35" i="6" l="1"/>
  <c r="O66" i="4"/>
  <c r="N66"/>
  <c r="N65" l="1"/>
  <c r="O65"/>
  <c r="O69"/>
  <c r="J67" s="1"/>
  <c r="C39" i="6" l="1"/>
  <c r="N68" i="4"/>
  <c r="O70" s="1"/>
  <c r="L67" s="1"/>
  <c r="M39" i="6" s="1"/>
  <c r="O68" i="4"/>
  <c r="S13" i="2" l="1"/>
</calcChain>
</file>

<file path=xl/comments1.xml><?xml version="1.0" encoding="utf-8"?>
<comments xmlns="http://schemas.openxmlformats.org/spreadsheetml/2006/main">
  <authors>
    <author>LENOVO</author>
  </authors>
  <commentList>
    <comment ref="S11" authorId="0">
      <text>
        <r>
          <rPr>
            <b/>
            <sz val="9"/>
            <color indexed="81"/>
            <rFont val="Tahoma"/>
            <family val="2"/>
          </rPr>
          <t>HRA 
Edit</t>
        </r>
      </text>
    </comment>
    <comment ref="G37" authorId="0">
      <text>
        <r>
          <rPr>
            <b/>
            <sz val="9"/>
            <color indexed="81"/>
            <rFont val="Tahoma"/>
            <family val="2"/>
          </rPr>
          <t>Addisional Benefit for PF Employees</t>
        </r>
      </text>
    </comment>
  </commentList>
</comments>
</file>

<file path=xl/comments2.xml><?xml version="1.0" encoding="utf-8"?>
<comments xmlns="http://schemas.openxmlformats.org/spreadsheetml/2006/main">
  <authors>
    <author>cr</author>
  </authors>
  <commentList>
    <comment ref="AM7" authorId="0">
      <text>
        <r>
          <rPr>
            <sz val="9"/>
            <color indexed="81"/>
            <rFont val="Tahoma"/>
            <family val="2"/>
          </rPr>
          <t>Select ' 0 ' in filter, Hide empty rows.</t>
        </r>
      </text>
    </comment>
  </commentList>
</comments>
</file>

<file path=xl/comments3.xml><?xml version="1.0" encoding="utf-8"?>
<comments xmlns="http://schemas.openxmlformats.org/spreadsheetml/2006/main">
  <authors>
    <author>LENOVO</author>
  </authors>
  <commentList>
    <comment ref="B74" authorId="0">
      <text>
        <r>
          <rPr>
            <b/>
            <sz val="9"/>
            <color indexed="81"/>
            <rFont val="Tahoma"/>
            <family val="2"/>
          </rPr>
          <t>For Under Taking Certifciate 
Select With Under Taking 
in DATA Page</t>
        </r>
      </text>
    </comment>
  </commentList>
</comments>
</file>

<file path=xl/sharedStrings.xml><?xml version="1.0" encoding="utf-8"?>
<sst xmlns="http://schemas.openxmlformats.org/spreadsheetml/2006/main" count="1682" uniqueCount="1026">
  <si>
    <t>Sri.</t>
  </si>
  <si>
    <t>Designation</t>
  </si>
  <si>
    <t>No Change</t>
  </si>
  <si>
    <t>Not Applicable</t>
  </si>
  <si>
    <t xml:space="preserve">Not Applicable </t>
  </si>
  <si>
    <t>Kurnool</t>
  </si>
  <si>
    <t>Rented House</t>
  </si>
  <si>
    <t>PF</t>
  </si>
  <si>
    <t xml:space="preserve">Yes </t>
  </si>
  <si>
    <t>No</t>
  </si>
  <si>
    <t>Total</t>
  </si>
  <si>
    <t>Pay</t>
  </si>
  <si>
    <t>DA</t>
  </si>
  <si>
    <t>HRA</t>
  </si>
  <si>
    <t>PHA</t>
  </si>
  <si>
    <t>P.Tax</t>
  </si>
  <si>
    <t>To</t>
  </si>
  <si>
    <t>LIC Policies premium - Yearly</t>
  </si>
  <si>
    <t>Head Master</t>
  </si>
  <si>
    <t>Bajaj Alliance life Insurance</t>
  </si>
  <si>
    <t>ULIP LIC Yearly</t>
  </si>
  <si>
    <t>LIC Annuity Plan (Jeevan Dhara, Jeevan Akhsay etc.)</t>
  </si>
  <si>
    <t>Rajiv Gandhi Equity Saving Scheem</t>
  </si>
  <si>
    <t>Deductions for disabled(blind,PH) person (40%)</t>
  </si>
  <si>
    <t>Expenditure on treatment for diseases( senior citizen)</t>
  </si>
  <si>
    <t>0 days</t>
  </si>
  <si>
    <t>1 days</t>
  </si>
  <si>
    <t>2 days</t>
  </si>
  <si>
    <t>3 days</t>
  </si>
  <si>
    <t>4 days</t>
  </si>
  <si>
    <t>5 days</t>
  </si>
  <si>
    <t>6 days</t>
  </si>
  <si>
    <t>Half.P.L</t>
  </si>
  <si>
    <t>7 days</t>
  </si>
  <si>
    <t>Increment</t>
  </si>
  <si>
    <t>FR 22(a)i</t>
  </si>
  <si>
    <t>FR 22B</t>
  </si>
  <si>
    <t>8 days</t>
  </si>
  <si>
    <t>9 days</t>
  </si>
  <si>
    <t>10 days</t>
  </si>
  <si>
    <t>S.A (P.D)</t>
  </si>
  <si>
    <t>11 days</t>
  </si>
  <si>
    <t>PET</t>
  </si>
  <si>
    <t>12 days</t>
  </si>
  <si>
    <t>SGT</t>
  </si>
  <si>
    <t>13 days</t>
  </si>
  <si>
    <t>LFL HM</t>
  </si>
  <si>
    <t>14 days</t>
  </si>
  <si>
    <t>SA(Telugu)</t>
  </si>
  <si>
    <t>15 days</t>
  </si>
  <si>
    <t>SA(Hindi)</t>
  </si>
  <si>
    <t>16 days</t>
  </si>
  <si>
    <t>SA(Eng)</t>
  </si>
  <si>
    <t>Month of Annual Increment after Jan-13</t>
  </si>
  <si>
    <t>17 days</t>
  </si>
  <si>
    <t>SA(Maths)</t>
  </si>
  <si>
    <t>Prephonement Increment Month</t>
  </si>
  <si>
    <t>18 days</t>
  </si>
  <si>
    <t>SA(PS)</t>
  </si>
  <si>
    <t>Stepup Increment Month</t>
  </si>
  <si>
    <t>Gr.II/ S.G.T</t>
  </si>
  <si>
    <t>19 days</t>
  </si>
  <si>
    <t>SA(Bio.Sc)</t>
  </si>
  <si>
    <t>Promotion ( one Increment )</t>
  </si>
  <si>
    <t>20 days</t>
  </si>
  <si>
    <t>SA(Social)</t>
  </si>
  <si>
    <t>Promotion ( Two Increment or Promotion date )</t>
  </si>
  <si>
    <t>S.G.T</t>
  </si>
  <si>
    <t>21 days</t>
  </si>
  <si>
    <t>AAS Increment (6/12/18/24 years)</t>
  </si>
  <si>
    <t>22 days</t>
  </si>
  <si>
    <t>Gr-2 (Telugu)</t>
  </si>
  <si>
    <t>23 days</t>
  </si>
  <si>
    <t>Gr-2 (Hindi)</t>
  </si>
  <si>
    <t>24 days</t>
  </si>
  <si>
    <t>Tuition Fee for Two children</t>
  </si>
  <si>
    <t>MEO</t>
  </si>
  <si>
    <t>25 days</t>
  </si>
  <si>
    <t>SA (                )</t>
  </si>
  <si>
    <t>26 days</t>
  </si>
  <si>
    <t>Smt.</t>
  </si>
  <si>
    <t>27 days</t>
  </si>
  <si>
    <t>SBI  Life Insurance</t>
  </si>
  <si>
    <t>Kum.</t>
  </si>
  <si>
    <t>28 days</t>
  </si>
  <si>
    <t>National Savings Certificates (NSC)</t>
  </si>
  <si>
    <t>29 days</t>
  </si>
  <si>
    <t>30 days</t>
  </si>
  <si>
    <t>Birla Sun Life Insurance</t>
  </si>
  <si>
    <t>HMA</t>
  </si>
  <si>
    <t>31 days</t>
  </si>
  <si>
    <t>Reliance Life Insurance</t>
  </si>
  <si>
    <t>with holidays</t>
  </si>
  <si>
    <t>ICICI Life Insurance</t>
  </si>
  <si>
    <t>Own House</t>
  </si>
  <si>
    <t>without holidays</t>
  </si>
  <si>
    <t>Public Provident Fund</t>
  </si>
  <si>
    <t>PP</t>
  </si>
  <si>
    <t>Applicable</t>
  </si>
  <si>
    <t>UTI  Retirment benefit Pension fund</t>
  </si>
  <si>
    <t>Subscription to NSC VIII Issue</t>
  </si>
  <si>
    <t>Subscription to deposit scheme of National Housing Bank</t>
  </si>
  <si>
    <t>Edu. All.</t>
  </si>
  <si>
    <t>Equity linked Savings Schemes (ELSS)</t>
  </si>
  <si>
    <t>Fixed deposit in banks more than 5-Years</t>
  </si>
  <si>
    <t>LIC / UTI  etc. Pension funds</t>
  </si>
  <si>
    <t>GIS</t>
  </si>
  <si>
    <t>Interest of Educational Loan</t>
  </si>
  <si>
    <t>swf &amp; ewf</t>
  </si>
  <si>
    <t>Expenditure on Medical treatment( for spified desiges)</t>
  </si>
  <si>
    <t>Medical Insurance premium ( senior citizen)</t>
  </si>
  <si>
    <t>Not Availed</t>
  </si>
  <si>
    <t>16A</t>
  </si>
  <si>
    <t>Donation of Charitable Institution-50%</t>
  </si>
  <si>
    <t>Donation of Charitable Institution-100%</t>
  </si>
  <si>
    <t>Donation on certain specified funds-100%</t>
  </si>
  <si>
    <t>Payments made to electoral Trusts-100%</t>
  </si>
  <si>
    <t>80E</t>
  </si>
  <si>
    <t>80DD</t>
  </si>
  <si>
    <t>80D</t>
  </si>
  <si>
    <t>80U</t>
  </si>
  <si>
    <t>80G</t>
  </si>
  <si>
    <t>80GGC</t>
  </si>
  <si>
    <t>Zero</t>
  </si>
  <si>
    <t>One</t>
  </si>
  <si>
    <t xml:space="preserve">Two </t>
  </si>
  <si>
    <t>Three</t>
  </si>
  <si>
    <t>Four</t>
  </si>
  <si>
    <t>Five</t>
  </si>
  <si>
    <t>Six</t>
  </si>
  <si>
    <t>Seven</t>
  </si>
  <si>
    <t>Eight</t>
  </si>
  <si>
    <t>Nine</t>
  </si>
  <si>
    <t>Ten</t>
  </si>
  <si>
    <t>Eleven</t>
  </si>
  <si>
    <t>Twelve</t>
  </si>
  <si>
    <t>Thirteen</t>
  </si>
  <si>
    <t>Fourteen</t>
  </si>
  <si>
    <t>Fifteen</t>
  </si>
  <si>
    <t>Sixteen</t>
  </si>
  <si>
    <t>Seventeen</t>
  </si>
  <si>
    <t>Eighteen</t>
  </si>
  <si>
    <t>Nineteen</t>
  </si>
  <si>
    <t>Twenty</t>
  </si>
  <si>
    <t>Twenty One</t>
  </si>
  <si>
    <t>Twenty Two</t>
  </si>
  <si>
    <t>Twenty Three</t>
  </si>
  <si>
    <t>Twenty Four</t>
  </si>
  <si>
    <t>Twenty Five</t>
  </si>
  <si>
    <t>Twenty Six</t>
  </si>
  <si>
    <t>Twenty Seven</t>
  </si>
  <si>
    <t>Twenty Eight</t>
  </si>
  <si>
    <t xml:space="preserve">Twenty Nine </t>
  </si>
  <si>
    <t xml:space="preserve">Thirty </t>
  </si>
  <si>
    <t>Thirty One</t>
  </si>
  <si>
    <t>Thirty Two</t>
  </si>
  <si>
    <t>Thirty Three</t>
  </si>
  <si>
    <t>Thirty Four</t>
  </si>
  <si>
    <t>Thirty Five</t>
  </si>
  <si>
    <t>Thirty Six</t>
  </si>
  <si>
    <t>Thirty Seven</t>
  </si>
  <si>
    <t xml:space="preserve">Thirty Eight </t>
  </si>
  <si>
    <t>Thirty Nine</t>
  </si>
  <si>
    <t>Fourty</t>
  </si>
  <si>
    <t>Fourty One</t>
  </si>
  <si>
    <t>Fourty Two</t>
  </si>
  <si>
    <t>Fourty Three</t>
  </si>
  <si>
    <t>Fourty Four</t>
  </si>
  <si>
    <t>Fourty Five</t>
  </si>
  <si>
    <t>Fourty Six</t>
  </si>
  <si>
    <t>Fifty</t>
  </si>
  <si>
    <t>Fifty One</t>
  </si>
  <si>
    <t>Fifty Two</t>
  </si>
  <si>
    <t>Fifty Three</t>
  </si>
  <si>
    <t>Fifty Four</t>
  </si>
  <si>
    <t>Fifty Five</t>
  </si>
  <si>
    <t>Fifty Six</t>
  </si>
  <si>
    <t>Fifty Seven</t>
  </si>
  <si>
    <t>Fifty Eight</t>
  </si>
  <si>
    <t>Fifty Nine</t>
  </si>
  <si>
    <t xml:space="preserve">Sixty </t>
  </si>
  <si>
    <t>Sixty One</t>
  </si>
  <si>
    <t>Sixty Two</t>
  </si>
  <si>
    <t>Sixty Three</t>
  </si>
  <si>
    <t>Sixty Four</t>
  </si>
  <si>
    <t>Sixty Five</t>
  </si>
  <si>
    <t>Sixty Six</t>
  </si>
  <si>
    <t>Sixty Seven</t>
  </si>
  <si>
    <t>Sixty Eight</t>
  </si>
  <si>
    <t>Sixty Nine</t>
  </si>
  <si>
    <t>Seventy</t>
  </si>
  <si>
    <t>Seventy One</t>
  </si>
  <si>
    <t>Seventy Two</t>
  </si>
  <si>
    <t>Seventy Three</t>
  </si>
  <si>
    <t>Seventy Four</t>
  </si>
  <si>
    <t>Seventy Five</t>
  </si>
  <si>
    <t>Seventy Six</t>
  </si>
  <si>
    <t>Seventy Seven</t>
  </si>
  <si>
    <t>Seventy Eight</t>
  </si>
  <si>
    <t>Seventy Nine</t>
  </si>
  <si>
    <t>Eighty</t>
  </si>
  <si>
    <t>Eighty One</t>
  </si>
  <si>
    <t>Eighty Two</t>
  </si>
  <si>
    <t>Eighty Three</t>
  </si>
  <si>
    <t>Eighty Four</t>
  </si>
  <si>
    <t>Eighty Five</t>
  </si>
  <si>
    <t>Eighty Six</t>
  </si>
  <si>
    <t>Eighty Seven</t>
  </si>
  <si>
    <t>Eighty Eight</t>
  </si>
  <si>
    <t>Eighty Nine</t>
  </si>
  <si>
    <t>Ninty</t>
  </si>
  <si>
    <t>Ninty One</t>
  </si>
  <si>
    <t xml:space="preserve">Ninty Two </t>
  </si>
  <si>
    <t>Ninty Three</t>
  </si>
  <si>
    <t>Ninty Four</t>
  </si>
  <si>
    <t>Ninty Five</t>
  </si>
  <si>
    <t>Ninty Six</t>
  </si>
  <si>
    <t>Ninty Seven</t>
  </si>
  <si>
    <t>Ninty Eight</t>
  </si>
  <si>
    <t>Ninty Nine</t>
  </si>
  <si>
    <t xml:space="preserve">                                      </t>
  </si>
  <si>
    <t>Lakhs</t>
  </si>
  <si>
    <t>Thousands</t>
  </si>
  <si>
    <t>Hundred</t>
  </si>
  <si>
    <t xml:space="preserve">                                                                        </t>
  </si>
  <si>
    <t xml:space="preserve">                                         </t>
  </si>
  <si>
    <t xml:space="preserve">                     </t>
  </si>
  <si>
    <t xml:space="preserve">                      </t>
  </si>
  <si>
    <t xml:space="preserve">                                                                                                      </t>
  </si>
  <si>
    <t xml:space="preserve"> </t>
  </si>
  <si>
    <t xml:space="preserve">                                                              </t>
  </si>
  <si>
    <t>DATES</t>
  </si>
  <si>
    <t>PAY</t>
  </si>
  <si>
    <t>PT</t>
  </si>
  <si>
    <t>HRA-10%SALARY</t>
  </si>
  <si>
    <t>date</t>
  </si>
  <si>
    <t>month</t>
  </si>
  <si>
    <t>year</t>
  </si>
  <si>
    <t>pha</t>
  </si>
  <si>
    <t>pay</t>
  </si>
  <si>
    <t>Old DA</t>
  </si>
  <si>
    <t>New DA</t>
  </si>
  <si>
    <t>Tax</t>
  </si>
  <si>
    <t>Diffarence</t>
  </si>
  <si>
    <t>TAX</t>
  </si>
  <si>
    <t>RIS</t>
  </si>
  <si>
    <t>LIC</t>
  </si>
  <si>
    <t>APGLI</t>
  </si>
  <si>
    <t>Gross</t>
  </si>
  <si>
    <t>CPS</t>
  </si>
  <si>
    <t>Ptax</t>
  </si>
  <si>
    <t>SWF/EWF</t>
  </si>
  <si>
    <t>Advance Tax</t>
  </si>
  <si>
    <t>Total Deduction</t>
  </si>
  <si>
    <t>Net</t>
  </si>
  <si>
    <t xml:space="preserve">Surrender leave D.A. difference </t>
  </si>
  <si>
    <t>Surrender Leave</t>
  </si>
  <si>
    <t>S.No</t>
  </si>
  <si>
    <t>Month &amp; Year</t>
  </si>
  <si>
    <t>Gross Total</t>
  </si>
  <si>
    <t>Signature of the DDO</t>
  </si>
  <si>
    <t>Signature of the Employee</t>
  </si>
  <si>
    <t>ANNEXURE - II</t>
  </si>
  <si>
    <t>Gross Salary………</t>
  </si>
  <si>
    <t>Rs.</t>
  </si>
  <si>
    <t>a)</t>
  </si>
  <si>
    <t>Actual HRA received</t>
  </si>
  <si>
    <t>b)</t>
  </si>
  <si>
    <t>c)</t>
  </si>
  <si>
    <t>40% of Salary (Salary means Basic Pay+D.A)</t>
  </si>
  <si>
    <t>Deductions from Salary Income</t>
  </si>
  <si>
    <t>Exemption from Conveyance Allowance U/s. 10(14) (i)</t>
  </si>
  <si>
    <t>Profession Tax U/s 16 (3) B</t>
  </si>
  <si>
    <t>Deductions</t>
  </si>
  <si>
    <t>g)</t>
  </si>
  <si>
    <t>h)</t>
  </si>
  <si>
    <t>TOTAL-----------</t>
  </si>
  <si>
    <t>Gross Total Income  (10-11)</t>
  </si>
  <si>
    <t>d)</t>
  </si>
  <si>
    <t>e)</t>
  </si>
  <si>
    <t>f)</t>
  </si>
  <si>
    <t>i)</t>
  </si>
  <si>
    <t>Tax on Income</t>
  </si>
  <si>
    <t>Nil</t>
  </si>
  <si>
    <t>Details of Adv.Tax Deductions</t>
  </si>
  <si>
    <t>Signature of the Drawing Officer</t>
  </si>
  <si>
    <t>for Tax deducted at source from income chargeable under the head "salaries"</t>
  </si>
  <si>
    <t>NAME AND ADDRESS OF THE EMPLOYER</t>
  </si>
  <si>
    <t>NAME AND DESIGNATION OF THE EMPLOYEE</t>
  </si>
  <si>
    <t>PAN No. of Deductor</t>
  </si>
  <si>
    <t>TAN No. of Deductor</t>
  </si>
  <si>
    <t>PAN OF Employee</t>
  </si>
  <si>
    <t>Acknowledgement Nos.of allquarterly statements of TDS under sub-section 200 as provided by TIN facilitation center or NSDL web-site</t>
  </si>
  <si>
    <t>Quarter</t>
  </si>
  <si>
    <t>Acknowledgement No</t>
  </si>
  <si>
    <t>Amount</t>
  </si>
  <si>
    <t>Period</t>
  </si>
  <si>
    <t>Assessment</t>
  </si>
  <si>
    <t>From</t>
  </si>
  <si>
    <t>Year</t>
  </si>
  <si>
    <t>DETAILS OF SALARY PAID AND ANY OTHER INCOME AND TAX DEDUCTED</t>
  </si>
  <si>
    <t>Gross Salary</t>
  </si>
  <si>
    <t>Salary as per provisions cotained in section 17 (1)</t>
  </si>
  <si>
    <t>Value of percuisites under section 17(2)</t>
  </si>
  <si>
    <t>(As Per Form No. 12BA, Wherever applicable)</t>
  </si>
  <si>
    <t>Profits in lieu of salary under section 17(3)</t>
  </si>
  <si>
    <t>(as per Form No. 12BA, Wherver applicable)</t>
  </si>
  <si>
    <t>Less: Allowance to the extent exempted U/s 10</t>
  </si>
  <si>
    <t>Deductions Under Chapter VI-A</t>
  </si>
  <si>
    <t>A)</t>
  </si>
  <si>
    <t>UnderSection 80C,80CCC,80CCD,80CCF</t>
  </si>
  <si>
    <t>Qualifying</t>
  </si>
  <si>
    <t>Section 80C</t>
  </si>
  <si>
    <t>i</t>
  </si>
  <si>
    <t>A.P.G.L.I</t>
  </si>
  <si>
    <t>G.I.S</t>
  </si>
  <si>
    <t>IX</t>
  </si>
  <si>
    <t>B)</t>
  </si>
  <si>
    <t>Other Section Under Chapter VI A</t>
  </si>
  <si>
    <t>Total Under Sections 80G,80E,80DD etc…..</t>
  </si>
  <si>
    <t>TAX ON TOTAL INCOME Rs.</t>
  </si>
  <si>
    <t>Less: (a) Tax deducted at source U/S 192 (1)</t>
  </si>
  <si>
    <t>(b) Tax paid by the Employer on behalf of the Employee U/S 192 (A1) on perquisited U/S 17 (2)</t>
  </si>
  <si>
    <t>DETAILS OF TAX DEDUCTED AND DEPOSITED INTO CENTRAL GOVERNMENT ACCOUNT</t>
  </si>
  <si>
    <t>( The employer is provide tranction - wise details of tax deducted and deposited )</t>
  </si>
  <si>
    <t>Sl.</t>
  </si>
  <si>
    <t>TDS</t>
  </si>
  <si>
    <t>Surcharge</t>
  </si>
  <si>
    <t>Education</t>
  </si>
  <si>
    <t>Total Tax</t>
  </si>
  <si>
    <t>Cheque/DD</t>
  </si>
  <si>
    <t>BSR Code</t>
  </si>
  <si>
    <t xml:space="preserve">Date on </t>
  </si>
  <si>
    <t>Transfer</t>
  </si>
  <si>
    <t>No.</t>
  </si>
  <si>
    <t>Cess</t>
  </si>
  <si>
    <t>Deposited</t>
  </si>
  <si>
    <t>No. (if any)</t>
  </si>
  <si>
    <t>of Bank</t>
  </si>
  <si>
    <t>Which Tax</t>
  </si>
  <si>
    <t>vocher/chalana</t>
  </si>
  <si>
    <t>Branch</t>
  </si>
  <si>
    <t>Identification No</t>
  </si>
  <si>
    <t>Sign--</t>
  </si>
  <si>
    <t>Place:</t>
  </si>
  <si>
    <t>Signature of the person responsible for deduction of tax</t>
  </si>
  <si>
    <t>Date:</t>
  </si>
  <si>
    <t>Full Name--</t>
  </si>
  <si>
    <t>Designation-</t>
  </si>
  <si>
    <t>Basic Pay</t>
  </si>
  <si>
    <t>RECEIPT OF HOUSE RENT</t>
  </si>
  <si>
    <t>(Under Section 1 (13-A) of Income Tax Act )</t>
  </si>
  <si>
    <t>(Affix Revenue Stamp of Rs.1/-)</t>
  </si>
  <si>
    <t xml:space="preserve">                                  </t>
  </si>
  <si>
    <t>Name:</t>
  </si>
  <si>
    <t>Edu. Concession</t>
  </si>
  <si>
    <t>Total Tax Payable (15-16)</t>
  </si>
  <si>
    <t xml:space="preserve">Address: </t>
  </si>
  <si>
    <t>Recieved HRA</t>
  </si>
  <si>
    <t>Mandal</t>
  </si>
  <si>
    <t>District</t>
  </si>
  <si>
    <t>D.No.</t>
  </si>
  <si>
    <t>Street/Area</t>
  </si>
  <si>
    <t>Town/Village</t>
  </si>
  <si>
    <t xml:space="preserve">PAN No: </t>
  </si>
  <si>
    <t>With Undertaking</t>
  </si>
  <si>
    <t>Without Undertaking</t>
  </si>
  <si>
    <t>Greater Hyderabad</t>
  </si>
  <si>
    <t>Greater Vishaka &amp; Vijayawada</t>
  </si>
  <si>
    <t>Other Municipal Corporations</t>
  </si>
  <si>
    <t xml:space="preserve">Hyderabad, Secunderabad </t>
  </si>
  <si>
    <t xml:space="preserve">Visakhapatnam &amp; Vijayawada </t>
  </si>
  <si>
    <t xml:space="preserve">Other Mpl.Corporations </t>
  </si>
  <si>
    <t>CCA</t>
  </si>
  <si>
    <t>IR</t>
  </si>
  <si>
    <t>HDFC life Insurance</t>
  </si>
  <si>
    <t>No change</t>
  </si>
  <si>
    <t>A HRA</t>
  </si>
  <si>
    <t>AHRA</t>
  </si>
  <si>
    <t>RA</t>
  </si>
  <si>
    <t>Not Applicaple</t>
  </si>
  <si>
    <t>Additional HRA</t>
  </si>
  <si>
    <t>EWF , SWF &amp; CMRF</t>
  </si>
  <si>
    <t>Interest of Housing Loan</t>
  </si>
  <si>
    <t>Owner's  and Address :</t>
  </si>
  <si>
    <t>j)</t>
  </si>
  <si>
    <t xml:space="preserve">LIC Policies Monthly Premium in Salary </t>
  </si>
  <si>
    <t>SCA</t>
  </si>
  <si>
    <t>Non mandal</t>
  </si>
  <si>
    <t>Hills/Hill tops</t>
  </si>
  <si>
    <t>Nonmandal</t>
  </si>
  <si>
    <t>mandal</t>
  </si>
  <si>
    <t>Hills</t>
  </si>
  <si>
    <t>sca</t>
  </si>
  <si>
    <t>ahra</t>
  </si>
  <si>
    <t>Teachers ( Vacation Dept.)</t>
  </si>
  <si>
    <t>Others ( Non vacation Dept. )</t>
  </si>
  <si>
    <t>Select</t>
  </si>
  <si>
    <t>SWF/ EWF/  CMRF</t>
  </si>
  <si>
    <t>Rented / Own House</t>
  </si>
  <si>
    <t>Treasury Id No.</t>
  </si>
  <si>
    <t>Treasury Id. No.</t>
  </si>
  <si>
    <t>pp</t>
  </si>
  <si>
    <t>House rent paid monthly</t>
  </si>
  <si>
    <t>X 12</t>
  </si>
  <si>
    <t>10% of salary</t>
  </si>
  <si>
    <t>80DDB</t>
  </si>
  <si>
    <t>Address:</t>
  </si>
  <si>
    <t xml:space="preserve">Actual House Rent paid by you minus 10% of your Salary   </t>
  </si>
  <si>
    <t>Housing intrest</t>
  </si>
  <si>
    <t>rent property</t>
  </si>
  <si>
    <t>Municipal tax</t>
  </si>
  <si>
    <t>30% maintenance</t>
  </si>
  <si>
    <t>Muncipal Tax Paid</t>
  </si>
  <si>
    <t>30% of Income as Maintenance</t>
  </si>
  <si>
    <t xml:space="preserve"> Follow theTax Rules &amp; Informations (where applicable). Following linked ready reaconer is for your reference.  </t>
  </si>
  <si>
    <t>Some  Exempted Receipts / Special allowances &amp;  Perquisite which are not chargable to tax</t>
  </si>
  <si>
    <t xml:space="preserve">Some Exempted Income ( to be shown while Return filing) </t>
  </si>
  <si>
    <t>T A X   R U L E S  &amp;  O T H E R   U S E F U L   I N F O R M A T I O N S</t>
  </si>
  <si>
    <t>I</t>
  </si>
  <si>
    <t xml:space="preserve">HRA exemption </t>
  </si>
  <si>
    <t>II</t>
  </si>
  <si>
    <t>Transport allowance</t>
  </si>
  <si>
    <t>III</t>
  </si>
  <si>
    <t xml:space="preserve">Reimbursement of Medical bills </t>
  </si>
  <si>
    <t>IV</t>
  </si>
  <si>
    <t xml:space="preserve"> u/s(5) LTA is exempt </t>
  </si>
  <si>
    <t xml:space="preserve"> u/s 24  Exemption for interest on housing loan.</t>
  </si>
  <si>
    <t>V</t>
  </si>
  <si>
    <t xml:space="preserve">u/s 80CCE  &amp; 80CCD Maximum Exemption </t>
  </si>
  <si>
    <t>VI</t>
  </si>
  <si>
    <t>VII</t>
  </si>
  <si>
    <t>u/s 80D Medical Insurance</t>
  </si>
  <si>
    <t>VIII</t>
  </si>
  <si>
    <t>u/s 80DD Deduction in respect of medical treatment of handicapped dependents</t>
  </si>
  <si>
    <t>u/s 80DDB Deduction in respect of medical treatment for specified ailments or diseases</t>
  </si>
  <si>
    <t>X</t>
  </si>
  <si>
    <t xml:space="preserve">u/s 80E Interest repayment on education loan </t>
  </si>
  <si>
    <t>XI</t>
  </si>
  <si>
    <t xml:space="preserve">u/s 80G Donations given for certain charities </t>
  </si>
  <si>
    <t>XII</t>
  </si>
  <si>
    <t>u/s 80GG If you are not getting  HRA,  but living in rented house,</t>
  </si>
  <si>
    <t>XIII</t>
  </si>
  <si>
    <t xml:space="preserve">u/s 80U If you have a permanent physical disability </t>
  </si>
  <si>
    <t>XIV</t>
  </si>
  <si>
    <t>u/s 80TTA Deduction on interest on saving bank accounts.</t>
  </si>
  <si>
    <t xml:space="preserve"> KNOW MORE about DEDUCTION under Section 80-C</t>
  </si>
  <si>
    <t>a</t>
  </si>
  <si>
    <t>Qualifying Investments u/s 80CCE</t>
  </si>
  <si>
    <t>b</t>
  </si>
  <si>
    <t xml:space="preserve">Provident Fund (PF) &amp; Voluntary Provident Fund (VPF) </t>
  </si>
  <si>
    <t>c</t>
  </si>
  <si>
    <t>Life Insurance Premiums &amp; Unit linked Insurance Plan (ULIP)</t>
  </si>
  <si>
    <t>d</t>
  </si>
  <si>
    <t>Public Provident Fund (PPF):</t>
  </si>
  <si>
    <t>e</t>
  </si>
  <si>
    <t>National Savings Certificate (NSC):</t>
  </si>
  <si>
    <t>f</t>
  </si>
  <si>
    <t xml:space="preserve">Home Loan Principal Repayment &amp; Stamp Duty and Registration Charges for a home </t>
  </si>
  <si>
    <t>g</t>
  </si>
  <si>
    <t xml:space="preserve">Tuition  fees  for 2 children </t>
  </si>
  <si>
    <t>h</t>
  </si>
  <si>
    <t>Equity Linked Savings Scheme (ELSS)</t>
  </si>
  <si>
    <t>5-Yr bank fixed deposits (FDs)  or 5-Yr post office time deposit (POTD)</t>
  </si>
  <si>
    <t>j</t>
  </si>
  <si>
    <t xml:space="preserve">Pension Funds or Pension Policies </t>
  </si>
  <si>
    <t>k</t>
  </si>
  <si>
    <t>Stamp Duty and Registration Charges for a home:</t>
  </si>
  <si>
    <t>l</t>
  </si>
  <si>
    <t>Infrastructure Bonds: NABARD rural bonds:</t>
  </si>
  <si>
    <t>m</t>
  </si>
  <si>
    <t>Senior Citizen Savings Scheme 2004 (SCSS)</t>
  </si>
  <si>
    <t>I M P O R T A N T -  A D V I S ES</t>
  </si>
  <si>
    <r>
      <rPr>
        <b/>
        <sz val="12"/>
        <rFont val="Cambria"/>
      </rPr>
      <t xml:space="preserve"> For MALE/FEMALE ASSESSE </t>
    </r>
    <r>
      <rPr>
        <b/>
        <sz val="9"/>
        <rFont val="Cambria"/>
      </rPr>
      <t xml:space="preserve"> </t>
    </r>
  </si>
  <si>
    <t xml:space="preserve">   Net Income Range                                        Income Tax Rates</t>
  </si>
  <si>
    <t xml:space="preserve">  Up to Rs.2,50,000                                                                             Nil </t>
  </si>
  <si>
    <r>
      <t xml:space="preserve">  </t>
    </r>
    <r>
      <rPr>
        <b/>
        <sz val="9"/>
        <rFont val="Rupee Foradian Standard"/>
      </rPr>
      <t>Rs.</t>
    </r>
    <r>
      <rPr>
        <b/>
        <sz val="9"/>
        <rFont val="Arial"/>
      </rPr>
      <t>5,00,001 to Rs. 10,00,000                                     Rs25,000+20% of Total Income(-)Rs. 5,00,000</t>
    </r>
  </si>
  <si>
    <r>
      <t xml:space="preserve">  More than </t>
    </r>
    <r>
      <rPr>
        <b/>
        <sz val="9"/>
        <rFont val="Rupee Foradian Standard"/>
      </rPr>
      <t>Rs</t>
    </r>
    <r>
      <rPr>
        <b/>
        <sz val="9"/>
        <rFont val="Arial"/>
      </rPr>
      <t>10.00,000                                              Rs1,25,0,000+30% of Total Income(-)</t>
    </r>
    <r>
      <rPr>
        <b/>
        <sz val="9"/>
        <rFont val="Rupee Foradian Standard"/>
      </rPr>
      <t>Rs</t>
    </r>
    <r>
      <rPr>
        <b/>
        <sz val="9"/>
        <rFont val="Arial"/>
      </rPr>
      <t>10,00,000</t>
    </r>
  </si>
  <si>
    <r>
      <t xml:space="preserve">For SENIOR CITIZEN  ASSESSE (Above 60 Year ) </t>
    </r>
    <r>
      <rPr>
        <b/>
        <sz val="10"/>
        <rFont val="Arial"/>
      </rPr>
      <t xml:space="preserve">attaining the age during the year </t>
    </r>
  </si>
  <si>
    <t xml:space="preserve">     Net Income Range                                       Income Tax Rates</t>
  </si>
  <si>
    <r>
      <t xml:space="preserve">    Up to </t>
    </r>
    <r>
      <rPr>
        <b/>
        <sz val="9"/>
        <rFont val="Rupee Foradian Standard"/>
      </rPr>
      <t>Rs 3</t>
    </r>
    <r>
      <rPr>
        <b/>
        <sz val="9"/>
        <rFont val="Arial"/>
      </rPr>
      <t>,00,000                                                                                     Nil</t>
    </r>
  </si>
  <si>
    <r>
      <t xml:space="preserve">    </t>
    </r>
    <r>
      <rPr>
        <b/>
        <sz val="9"/>
        <rFont val="Rupee Foradian Standard"/>
      </rPr>
      <t>Rs</t>
    </r>
    <r>
      <rPr>
        <b/>
        <sz val="9"/>
        <rFont val="Arial"/>
      </rPr>
      <t>5,00,001 to 10,00,000                                          Rs20,000+20% of Total Income(-)5,00,000</t>
    </r>
  </si>
  <si>
    <t xml:space="preserve">    More than 10.00,000                                                Rs1,20,000+30% of Total Income(-)10,00,000</t>
  </si>
  <si>
    <r>
      <rPr>
        <b/>
        <sz val="12"/>
        <rFont val="Arial"/>
      </rPr>
      <t>For VERY SENIOR CITIZEN  ASSESSE (Above 80 Year )</t>
    </r>
    <r>
      <rPr>
        <b/>
        <sz val="9"/>
        <rFont val="Arial"/>
      </rPr>
      <t xml:space="preserve"> attaining the age during the year </t>
    </r>
  </si>
  <si>
    <t xml:space="preserve">    Up to Rs.5,00,000                                                                          Nil</t>
  </si>
  <si>
    <r>
      <t xml:space="preserve">    </t>
    </r>
    <r>
      <rPr>
        <b/>
        <sz val="9"/>
        <rFont val="Rupee Foradian Standard"/>
      </rPr>
      <t>Rs</t>
    </r>
    <r>
      <rPr>
        <b/>
        <sz val="9"/>
        <rFont val="Arial"/>
      </rPr>
      <t>5,00,001 to 10,00,000                                        20% of Total Income (-) Rs.10,00,000</t>
    </r>
  </si>
  <si>
    <t xml:space="preserve">     More than 10.00,000                                              Rs1,00,000+30% of Total Income(-)10,00,000</t>
  </si>
  <si>
    <r>
      <t xml:space="preserve"> </t>
    </r>
    <r>
      <rPr>
        <b/>
        <u/>
        <sz val="11"/>
        <color indexed="10"/>
        <rFont val="Arial"/>
      </rPr>
      <t xml:space="preserve">Some  Exempted Receipts /Special allowances &amp;  Perquisite which are not chargable to tax are </t>
    </r>
    <r>
      <rPr>
        <b/>
        <sz val="11"/>
        <color indexed="10"/>
        <rFont val="Arial"/>
      </rPr>
      <t xml:space="preserve"> </t>
    </r>
  </si>
  <si>
    <r>
      <t xml:space="preserve"> Exempted Receipts - 1.  Medical Reimbursement (Max </t>
    </r>
    <r>
      <rPr>
        <sz val="10"/>
        <rFont val="Rupee Foradian Standard"/>
      </rPr>
      <t>Rs</t>
    </r>
    <r>
      <rPr>
        <sz val="10"/>
        <color indexed="48"/>
        <rFont val="Arial"/>
      </rPr>
      <t xml:space="preserve">15000/- Per annum)    2.  L.T.A (as per Rule)                                                            </t>
    </r>
  </si>
  <si>
    <r>
      <t xml:space="preserve"> </t>
    </r>
    <r>
      <rPr>
        <b/>
        <u/>
        <sz val="10"/>
        <color indexed="10"/>
        <rFont val="Arial"/>
      </rPr>
      <t>Perquisite not chargable to tax</t>
    </r>
  </si>
  <si>
    <r>
      <t xml:space="preserve"> </t>
    </r>
    <r>
      <rPr>
        <b/>
        <sz val="9"/>
        <color indexed="48"/>
        <rFont val="Arial"/>
      </rPr>
      <t>Free food and beverage</t>
    </r>
    <r>
      <rPr>
        <b/>
        <sz val="9"/>
        <rFont val="Arial"/>
      </rPr>
      <t xml:space="preserve"> ( 1. Food and non-alcoholic beverages provided in working hours in remote area or an offshore instalation are exempted to tax                         2. Tea, coffee or non-alcoholic beverages and snaks in working hours are tax free perquisites.                                                                                                                                                                                                                                                            3. Meals (Lunch and / or dinner) in office hours is not taxable. If cost to the employeris  </t>
    </r>
    <r>
      <rPr>
        <b/>
        <sz val="9"/>
        <rFont val="Rupee Foradian Standard"/>
      </rPr>
      <t>₹</t>
    </r>
    <r>
      <rPr>
        <b/>
        <sz val="9"/>
        <rFont val="Arial"/>
      </rPr>
      <t xml:space="preserve">50 ( or Less) per meal.  </t>
    </r>
  </si>
  <si>
    <r>
      <t xml:space="preserve"> </t>
    </r>
    <r>
      <rPr>
        <b/>
        <u/>
        <sz val="9"/>
        <color indexed="10"/>
        <rFont val="Arial"/>
      </rPr>
      <t>Some Exempted Income are</t>
    </r>
    <r>
      <rPr>
        <b/>
        <sz val="9"/>
        <color indexed="10"/>
        <rFont val="Arial"/>
      </rPr>
      <t xml:space="preserve"> ( to be shown while Return filing) </t>
    </r>
  </si>
  <si>
    <t xml:space="preserve">         1.  Withdrawal / Maturity received from PF,PPF,Insurance Co., Agriculture. (Max up to 5000/- )</t>
  </si>
  <si>
    <t xml:space="preserve">         2    Long Term Capital Gain From Shares</t>
  </si>
  <si>
    <t xml:space="preserve">         3    Dividend on shares in companies</t>
  </si>
  <si>
    <t xml:space="preserve">         4.    Interest on Saving Bank &amp; Post Office A/c up to  Rs10,000/- ( Sec-80TTE)</t>
  </si>
  <si>
    <r>
      <rPr>
        <b/>
        <u/>
        <sz val="9"/>
        <color indexed="10"/>
        <rFont val="Arial"/>
      </rPr>
      <t>Please Note</t>
    </r>
    <r>
      <rPr>
        <b/>
        <u/>
        <sz val="9"/>
        <rFont val="Arial"/>
      </rPr>
      <t xml:space="preserve"> :</t>
    </r>
  </si>
  <si>
    <r>
      <t xml:space="preserve">(i) Interest earned from all sources is to be included. All interest (including saving Bank A/C (above </t>
    </r>
    <r>
      <rPr>
        <b/>
        <sz val="9"/>
        <rFont val="Rupee Foradian Standard"/>
      </rPr>
      <t>Rs</t>
    </r>
    <r>
      <rPr>
        <b/>
        <sz val="9"/>
        <rFont val="Arial"/>
      </rPr>
      <t>10,000) (FD) income is fully taxable.</t>
    </r>
  </si>
  <si>
    <t xml:space="preserve">(II) As per clarification from IT department, all perquisites such as rent-free accommodation, company provided car, free or concessional education facilities, employee stock option plan, free club membership, company provided credit card, gift vouchers, meal coupons, hotel stay beyond 15 days, are fully taxable. </t>
  </si>
  <si>
    <t>T A X   R U L E S  &amp;  O T H E R   U S E F U L   I N F O R M A T I O N S for</t>
  </si>
  <si>
    <r>
      <t xml:space="preserve"> HRA exemption</t>
    </r>
    <r>
      <rPr>
        <sz val="9"/>
        <rFont val="Arial"/>
      </rPr>
      <t xml:space="preserve"> = Least of (40% </t>
    </r>
    <r>
      <rPr>
        <sz val="9"/>
        <color indexed="57"/>
        <rFont val="Arial"/>
      </rPr>
      <t>(50% for metros)</t>
    </r>
    <r>
      <rPr>
        <sz val="9"/>
        <rFont val="Arial"/>
      </rPr>
      <t xml:space="preserve"> of Basic+DA </t>
    </r>
    <r>
      <rPr>
        <sz val="9"/>
        <color indexed="12"/>
        <rFont val="Arial"/>
      </rPr>
      <t>or</t>
    </r>
    <r>
      <rPr>
        <sz val="9"/>
        <rFont val="Arial"/>
      </rPr>
      <t xml:space="preserve"> HRA </t>
    </r>
    <r>
      <rPr>
        <sz val="9"/>
        <color indexed="12"/>
        <rFont val="Arial"/>
      </rPr>
      <t>or</t>
    </r>
    <r>
      <rPr>
        <sz val="9"/>
        <rFont val="Arial"/>
      </rPr>
      <t xml:space="preserve"> rent paid - 10% of Basic+DA)</t>
    </r>
  </si>
  <si>
    <r>
      <t>Transport allowance</t>
    </r>
    <r>
      <rPr>
        <sz val="9"/>
        <rFont val="Arial"/>
      </rPr>
      <t xml:space="preserve"> is exempt up to Rs.800/- per month during the month. ( </t>
    </r>
    <r>
      <rPr>
        <sz val="9"/>
        <color indexed="10"/>
        <rFont val="Arial"/>
      </rPr>
      <t xml:space="preserve">Expenditure incured for covering journey between office and residence </t>
    </r>
    <r>
      <rPr>
        <sz val="9"/>
        <rFont val="Arial"/>
      </rPr>
      <t xml:space="preserve">.)                                                                                                                                                                                                                                                                                                                               For people having permanent physical disability, the exemption is </t>
    </r>
    <r>
      <rPr>
        <sz val="9"/>
        <rFont val="Arial"/>
      </rPr>
      <t>1,600/- per month</t>
    </r>
  </si>
  <si>
    <r>
      <t xml:space="preserve"> u/s(5) LTA is exempt</t>
    </r>
    <r>
      <rPr>
        <sz val="9"/>
        <rFont val="Arial"/>
      </rPr>
      <t xml:space="preserve"> to the tune of economy class Train/ Air /Recognised public Transport fare for the family to any destination in India, by the shortest route.                      LTA can be claimed twice in a block of 4 calendar years. The current block is from 01.01.2010 to 31.12.2013. For claim, it is must to provide originals tickets etc.</t>
    </r>
  </si>
  <si>
    <t xml:space="preserve"> IV(a)</t>
  </si>
  <si>
    <t xml:space="preserve">      (b)</t>
  </si>
  <si>
    <r>
      <t>If you have rented out your house</t>
    </r>
    <r>
      <rPr>
        <sz val="9"/>
        <rFont val="Arial"/>
      </rPr>
      <t>, enter the total income / loss from the house (after deducting property tax and standard maintenance expenses).</t>
    </r>
  </si>
  <si>
    <r>
      <rPr>
        <b/>
        <u/>
        <sz val="9"/>
        <color indexed="12"/>
        <rFont val="Arial"/>
      </rPr>
      <t>u/s 80CCE- Maximum Exemption up to  Rs.150000/-</t>
    </r>
    <r>
      <rPr>
        <b/>
        <sz val="9"/>
        <color indexed="12"/>
        <rFont val="Arial"/>
      </rPr>
      <t xml:space="preserve">  I</t>
    </r>
    <r>
      <rPr>
        <sz val="9"/>
        <rFont val="Arial"/>
      </rPr>
      <t xml:space="preserve">nvestments up to Rs.1.5 lac in PF, VPF, PPF, Employee contribution in NPS,Insurance Premium, Housing loan principal repayment, NSC, ELSS, long term bank Fixed Deposit, Post Office Term Deposit, etc. are deductible from the taxable income. There is no limit on individual items, (for example) all 1 lac can be invested in NSC or PPF etc. </t>
    </r>
    <r>
      <rPr>
        <sz val="9"/>
        <color indexed="10"/>
        <rFont val="Arial"/>
      </rPr>
      <t xml:space="preserve"> </t>
    </r>
  </si>
  <si>
    <r>
      <rPr>
        <b/>
        <u/>
        <sz val="10"/>
        <color indexed="12"/>
        <rFont val="Arial"/>
      </rPr>
      <t>u/s 80CCD</t>
    </r>
    <r>
      <rPr>
        <sz val="9"/>
        <color indexed="12"/>
        <rFont val="Arial"/>
      </rPr>
      <t xml:space="preserve"> </t>
    </r>
    <r>
      <rPr>
        <sz val="9"/>
        <rFont val="Arial"/>
      </rPr>
      <t xml:space="preserve">-The Finance Act, 2011 provides that contribution made by the Central Government or any other employer to NPS (up to 10 per cent of the salary of the employee in the previous year)shall be excluded while computing the limit of </t>
    </r>
    <r>
      <rPr>
        <sz val="9"/>
        <rFont val="Rupee Foradian Standard"/>
      </rPr>
      <t>Rs</t>
    </r>
    <r>
      <rPr>
        <sz val="9"/>
        <rFont val="Arial"/>
      </rPr>
      <t xml:space="preserve">1,50,000.The contribution by the employee to the NPS will be subject to the limit of </t>
    </r>
    <r>
      <rPr>
        <sz val="9"/>
        <rFont val="Rupee Foradian Standard"/>
      </rPr>
      <t>Rs</t>
    </r>
    <r>
      <rPr>
        <sz val="9"/>
        <rFont val="Arial"/>
      </rPr>
      <t xml:space="preserve">1,00,000.
</t>
    </r>
  </si>
  <si>
    <r>
      <rPr>
        <b/>
        <u/>
        <sz val="9"/>
        <color indexed="12"/>
        <rFont val="Arial"/>
      </rPr>
      <t>u/s 80CCG - Rajiv Gandhi Equity Savings Scheme</t>
    </r>
    <r>
      <rPr>
        <sz val="9"/>
        <rFont val="Arial"/>
      </rPr>
      <t xml:space="preserve"> is a new exemption available for investment in stock markets (direct equity). Avaialble only for those with gross income less than 12 lacs and only for first time investors in stock market. Exemption available at 50% ( Rs.25,000/)of investment subject to maximum of </t>
    </r>
    <r>
      <rPr>
        <sz val="9"/>
        <rFont val="Rupee Foradian Standard"/>
      </rPr>
      <t>Rs</t>
    </r>
    <r>
      <rPr>
        <sz val="9"/>
        <rFont val="Arial"/>
      </rPr>
      <t>.50,000/- invested. Investments are locked-in for three years</t>
    </r>
  </si>
  <si>
    <r>
      <t>u/s 80DDB</t>
    </r>
    <r>
      <rPr>
        <b/>
        <sz val="9"/>
        <color indexed="12"/>
        <rFont val="Arial"/>
      </rPr>
      <t xml:space="preserve"> Deduction in respect of medical treatment for specified ailments or diseases</t>
    </r>
    <r>
      <rPr>
        <sz val="9"/>
        <rFont val="Arial"/>
      </rPr>
      <t xml:space="preserve"> for the assesse or dependent can be claimed up to </t>
    </r>
    <r>
      <rPr>
        <sz val="9"/>
        <rFont val="Rupee Foradian Standard"/>
      </rPr>
      <t>Rs</t>
    </r>
    <r>
      <rPr>
        <sz val="9"/>
        <rFont val="Arial"/>
      </rPr>
      <t xml:space="preserve">40,000/- per year. If the person being treated is a senior citizen, the exemption can go up toRs60,000/-. </t>
    </r>
    <r>
      <rPr>
        <b/>
        <sz val="9"/>
        <color indexed="10"/>
        <rFont val="Arial"/>
      </rPr>
      <t>but any amount received under Medical Insurance Policy will be reduced from the</t>
    </r>
    <r>
      <rPr>
        <sz val="9"/>
        <color indexed="10"/>
        <rFont val="Arial"/>
      </rPr>
      <t xml:space="preserve"> </t>
    </r>
    <r>
      <rPr>
        <b/>
        <sz val="9"/>
        <color indexed="10"/>
        <rFont val="Arial"/>
      </rPr>
      <t xml:space="preserve">amount of deduction allowed. </t>
    </r>
    <r>
      <rPr>
        <sz val="9"/>
        <rFont val="Arial"/>
      </rPr>
      <t>The Diseases and ailments specified under rule 11DD are.                                                                                                                                                                                                            (1)neurological diseases being demetia, dystonia musculorum deformans, motor neuron disease, ataxia, chorea, hemiballismus, aphasia and parkisons disease,          (2) cancer, (3) AIDS, (4)Chronic renal failure, (5) hemophilia, and (6) thalassaemia.</t>
    </r>
  </si>
  <si>
    <r>
      <t>u/s 80E</t>
    </r>
    <r>
      <rPr>
        <b/>
        <sz val="9"/>
        <color indexed="12"/>
        <rFont val="Arial"/>
      </rPr>
      <t xml:space="preserve"> Interest repayment on education loan </t>
    </r>
    <r>
      <rPr>
        <sz val="9"/>
        <rFont val="Arial"/>
      </rPr>
      <t>(taken for higher education from a university of self &amp; dependents) is completely tax exempt</t>
    </r>
  </si>
  <si>
    <r>
      <t>u/s 80G</t>
    </r>
    <r>
      <rPr>
        <b/>
        <sz val="9"/>
        <color indexed="12"/>
        <rFont val="Arial"/>
      </rPr>
      <t xml:space="preserve"> Donations given for certain charities</t>
    </r>
    <r>
      <rPr>
        <sz val="9"/>
        <rFont val="Arial"/>
      </rPr>
      <t xml:space="preserve"> are tax exempt. Some(NGO,Trust etc.) are exempt to the tune of 50%, whereas Govt funds are 100%. </t>
    </r>
  </si>
  <si>
    <r>
      <t>u/s 80GG</t>
    </r>
    <r>
      <rPr>
        <sz val="9"/>
        <rFont val="Arial"/>
      </rPr>
      <t xml:space="preserve"> If you are not getting  HRA, but living in rented house, an exemption is available. This will be calculated as minimum of (25% of total income </t>
    </r>
    <r>
      <rPr>
        <sz val="9"/>
        <color indexed="12"/>
        <rFont val="Arial"/>
      </rPr>
      <t>or</t>
    </r>
    <r>
      <rPr>
        <sz val="9"/>
        <rFont val="Arial"/>
      </rPr>
      <t xml:space="preserve"> rent paid - 10% of total income </t>
    </r>
    <r>
      <rPr>
        <sz val="9"/>
        <color indexed="12"/>
        <rFont val="Arial"/>
      </rPr>
      <t>or</t>
    </r>
    <r>
      <rPr>
        <sz val="9"/>
        <rFont val="Arial"/>
      </rPr>
      <t xml:space="preserve"> </t>
    </r>
    <r>
      <rPr>
        <sz val="9"/>
        <rFont val="Rupee Foradian Standard"/>
      </rPr>
      <t>Rs</t>
    </r>
    <r>
      <rPr>
        <sz val="9"/>
        <rFont val="Arial"/>
      </rPr>
      <t>24,000/- per year)</t>
    </r>
  </si>
  <si>
    <t>XV</t>
  </si>
  <si>
    <r>
      <t xml:space="preserve"> </t>
    </r>
    <r>
      <rPr>
        <b/>
        <u/>
        <sz val="12"/>
        <color indexed="61"/>
        <rFont val="Arial"/>
      </rPr>
      <t xml:space="preserve">KNOW MORE about DEDUCTION under Section 80-C and chapter VIA </t>
    </r>
  </si>
  <si>
    <r>
      <rPr>
        <b/>
        <u/>
        <sz val="11"/>
        <color indexed="10"/>
        <rFont val="Arial"/>
      </rPr>
      <t>Section 80C</t>
    </r>
    <r>
      <rPr>
        <b/>
        <sz val="10"/>
        <rFont val="Arial"/>
      </rPr>
      <t xml:space="preserve"> </t>
    </r>
    <r>
      <rPr>
        <b/>
        <sz val="10"/>
        <color indexed="12"/>
        <rFont val="Arial"/>
      </rPr>
      <t>of the Income Tax Act allows certain investments and expenditure to be deduct from total income.</t>
    </r>
    <r>
      <rPr>
        <b/>
        <sz val="10"/>
        <rFont val="Arial"/>
      </rPr>
      <t xml:space="preserve"> </t>
    </r>
    <r>
      <rPr>
        <sz val="10"/>
        <rFont val="Arial"/>
      </rPr>
      <t xml:space="preserve">                                                               One must plan investments well and spread it out across the various instruments specified under this section to avail maximum tax benefit. There are no sub-limits and is irrespective of how much you earn and under which tax bracket you fall. Most of the Income Tax payee try to save tax by saving under Section 80C of the Income Tax Act.  However, it is important to know the Section in total. so that one can make best use of the options available for deduction under income tax Act. One important point to note that one can not only save tax by undertaking the specified investments, but some expenditure which you normally incur can also give you the tax exemptions.
</t>
    </r>
  </si>
  <si>
    <t>Qualifying Investments u/s 80CCE are</t>
  </si>
  <si>
    <r>
      <rPr>
        <b/>
        <u/>
        <sz val="10"/>
        <color indexed="12"/>
        <rFont val="Arial"/>
      </rPr>
      <t>Provident Fund (PF) &amp; Voluntary Provident Fund</t>
    </r>
    <r>
      <rPr>
        <u/>
        <sz val="10"/>
        <color indexed="12"/>
        <rFont val="Arial"/>
      </rPr>
      <t xml:space="preserve"> </t>
    </r>
    <r>
      <rPr>
        <b/>
        <u/>
        <sz val="10"/>
        <color indexed="12"/>
        <rFont val="Arial"/>
      </rPr>
      <t>(VPF)</t>
    </r>
    <r>
      <rPr>
        <sz val="10"/>
        <rFont val="Arial"/>
      </rPr>
      <t xml:space="preserve"> PF is automatically deducted from your salary. your contribution [12% of Basic] (i.e., employee’s contribution) is counted towards section 80C investments. You also have the option to contribute additional amounts through voluntary contributions (VPF). Current rate of interest is 8.5% per annum (p.a.) and is tax-free.
</t>
    </r>
  </si>
  <si>
    <r>
      <rPr>
        <b/>
        <u/>
        <sz val="10"/>
        <color indexed="12"/>
        <rFont val="Arial"/>
      </rPr>
      <t>Life Insurance Premiums</t>
    </r>
    <r>
      <rPr>
        <sz val="10"/>
        <rFont val="Arial"/>
      </rPr>
      <t xml:space="preserve">: Any amount that you pay towards life insurance premium in Life Insurance Corporation (LIC) or any other Insurance CO.for yourself, your spouse or your children can also be included in Section 80C deduction. If you are paying premium for more than one insurance policy, all the premiums will be included. also premium paid for ULIP will also be treated as Premium paid for Life Insurance Policies.                                                                                                                                                                                                                        </t>
    </r>
    <r>
      <rPr>
        <b/>
        <u/>
        <sz val="10"/>
        <color indexed="12"/>
        <rFont val="Arial"/>
      </rPr>
      <t>Unit linked Insurance Plan : ULIP</t>
    </r>
    <r>
      <rPr>
        <sz val="10"/>
        <rFont val="Arial"/>
      </rPr>
      <t xml:space="preserve"> stands for Unit linked Saving Schemes. ULIPs cover Life insurance with benefits of equity investments.They have attracted the attention of investors and tax-savers not only because they help us save tax but they also perform well to give decent returns in the long-term.
</t>
    </r>
    <r>
      <rPr>
        <b/>
        <u/>
        <sz val="10"/>
        <color indexed="10"/>
        <rFont val="Arial"/>
      </rPr>
      <t>IMP</t>
    </r>
    <r>
      <rPr>
        <sz val="10"/>
        <rFont val="Arial"/>
      </rPr>
      <t xml:space="preserve"> : Total Amount Received at Maturity, Survival Benefits, , Withdrawl in Insurance Policies is Tax Free and fully exempteed u/s 10(10D).</t>
    </r>
  </si>
  <si>
    <r>
      <rPr>
        <b/>
        <u/>
        <sz val="10"/>
        <color indexed="12"/>
        <rFont val="Arial"/>
      </rPr>
      <t>Public Provident Fund</t>
    </r>
    <r>
      <rPr>
        <b/>
        <u/>
        <sz val="10"/>
        <rFont val="Arial"/>
      </rPr>
      <t xml:space="preserve"> </t>
    </r>
    <r>
      <rPr>
        <b/>
        <sz val="10"/>
        <rFont val="Arial"/>
      </rPr>
      <t>(PPF)</t>
    </r>
    <r>
      <rPr>
        <sz val="10"/>
        <rFont val="Arial"/>
      </rPr>
      <t>: Among all the assured returns small saving schemes, Public Provident Fund (PPF) is one of the best. Current rate of interest is 8% tax-free and the normal maturity period is 15 years. Minimum amount of contribution is Rs500</t>
    </r>
    <r>
      <rPr>
        <sz val="10"/>
        <color indexed="10"/>
        <rFont val="Arial"/>
      </rPr>
      <t xml:space="preserve"> and maximum is </t>
    </r>
    <r>
      <rPr>
        <sz val="10"/>
        <color indexed="10"/>
        <rFont val="Rupee Foradian Standard"/>
      </rPr>
      <t>Rs1,50</t>
    </r>
    <r>
      <rPr>
        <sz val="10"/>
        <color indexed="10"/>
        <rFont val="Arial"/>
      </rPr>
      <t>,000</t>
    </r>
    <r>
      <rPr>
        <sz val="10"/>
        <rFont val="Arial"/>
      </rPr>
      <t xml:space="preserve">.(New Change) from Budget 2014
</t>
    </r>
  </si>
  <si>
    <r>
      <rPr>
        <b/>
        <u/>
        <sz val="10"/>
        <color indexed="12"/>
        <rFont val="Arial"/>
      </rPr>
      <t>National Savings Certificat</t>
    </r>
    <r>
      <rPr>
        <sz val="10"/>
        <color indexed="12"/>
        <rFont val="Arial"/>
      </rPr>
      <t>e</t>
    </r>
    <r>
      <rPr>
        <sz val="10"/>
        <rFont val="Arial"/>
      </rPr>
      <t xml:space="preserve"> </t>
    </r>
    <r>
      <rPr>
        <b/>
        <sz val="10"/>
        <rFont val="Arial"/>
      </rPr>
      <t>(NSC):</t>
    </r>
    <r>
      <rPr>
        <sz val="10"/>
        <rFont val="Arial"/>
      </rPr>
      <t xml:space="preserve"> National Savings Certificate (NSC) is a 5-Yr small savings instrument eligible for section 80C tax benefit. Rate of interest is  8.58% compounded half-yearly, i.e. If you invest Rs.100, it becomes Rs.150.90 after five years. The interest accrued every year is liable to tax (i.e. to be included in your taxable income) but the interest is also deemed to be reinvested and thus eligible for section 80C deduction.</t>
    </r>
  </si>
  <si>
    <r>
      <rPr>
        <b/>
        <u/>
        <sz val="10"/>
        <color indexed="12"/>
        <rFont val="Arial"/>
      </rPr>
      <t>Home Loan Principal Repayment &amp; Stamp Duty and Registration Charges for a home Loan</t>
    </r>
    <r>
      <rPr>
        <sz val="10"/>
        <rFont val="Arial"/>
      </rPr>
      <t xml:space="preserve"> The Equated Monthly Installment (EMI) that you pay every month to repay your home loan consists of two components – </t>
    </r>
    <r>
      <rPr>
        <b/>
        <sz val="10"/>
        <rFont val="Arial"/>
      </rPr>
      <t>Principal</t>
    </r>
    <r>
      <rPr>
        <sz val="10"/>
        <rFont val="Arial"/>
      </rPr>
      <t xml:space="preserve"> and</t>
    </r>
    <r>
      <rPr>
        <b/>
        <sz val="10"/>
        <rFont val="Arial"/>
      </rPr>
      <t xml:space="preserve"> Interest</t>
    </r>
    <r>
      <rPr>
        <sz val="10"/>
        <rFont val="Arial"/>
      </rPr>
      <t xml:space="preserve">.The principal component of the EMI qualifies for deduction under Sec 80C. Even the interest component can save you significant income tax – but that would be under Section 24 of the Income Tax Act. The amount you pay as stamp duty when you buy a house, and the amount you pay for the registration of the documents of the house can be claimed as deduction under section 80C in the year of purchase of the house.
</t>
    </r>
  </si>
  <si>
    <r>
      <rPr>
        <b/>
        <u/>
        <sz val="10"/>
        <color indexed="12"/>
        <rFont val="Arial"/>
      </rPr>
      <t>Tuition  fees  for 2 children</t>
    </r>
    <r>
      <rPr>
        <sz val="10"/>
        <rFont val="Arial"/>
      </rPr>
      <t xml:space="preserve">  Apart form the above major investments expenses for children’s education (Only Tution Fee (for which you need receipts)), can be claimed as deductions under Sec 80C.
</t>
    </r>
  </si>
  <si>
    <r>
      <rPr>
        <b/>
        <u/>
        <sz val="10"/>
        <color indexed="12"/>
        <rFont val="Arial"/>
      </rPr>
      <t xml:space="preserve">Equity Linked Savings Scheme </t>
    </r>
    <r>
      <rPr>
        <b/>
        <sz val="10"/>
        <rFont val="Arial"/>
      </rPr>
      <t>(ELSS)</t>
    </r>
    <r>
      <rPr>
        <sz val="10"/>
        <rFont val="Arial"/>
      </rPr>
      <t xml:space="preserve">: There are some mutual fund (MF) schemes specially created for offering you tax savings, and these are called Equity Linked Savings Scheme, or ELSS. The investments that you make in ELSS are eligible for deduction under Sec 80C.
</t>
    </r>
  </si>
  <si>
    <r>
      <rPr>
        <b/>
        <u/>
        <sz val="10"/>
        <color indexed="12"/>
        <rFont val="Arial"/>
      </rPr>
      <t>5-Yr bank fixed deposits</t>
    </r>
    <r>
      <rPr>
        <sz val="10"/>
        <rFont val="Arial"/>
      </rPr>
      <t xml:space="preserve"> </t>
    </r>
    <r>
      <rPr>
        <b/>
        <sz val="10"/>
        <rFont val="Arial"/>
      </rPr>
      <t>(FDs)</t>
    </r>
    <r>
      <rPr>
        <sz val="10"/>
        <rFont val="Arial"/>
      </rPr>
      <t xml:space="preserve">: Tax-saving fixed deposits (FDs) of scheduled banks with tenure of 5 years are also entitled for section 80C deduction.              </t>
    </r>
    <r>
      <rPr>
        <b/>
        <u/>
        <sz val="10"/>
        <color indexed="12"/>
        <rFont val="Arial"/>
      </rPr>
      <t>5-Yr post office time deposit</t>
    </r>
    <r>
      <rPr>
        <sz val="10"/>
        <rFont val="Arial"/>
      </rPr>
      <t xml:space="preserve"> </t>
    </r>
    <r>
      <rPr>
        <b/>
        <sz val="10"/>
        <rFont val="Arial"/>
      </rPr>
      <t>(POTD)</t>
    </r>
    <r>
      <rPr>
        <sz val="10"/>
        <rFont val="Arial"/>
      </rPr>
      <t xml:space="preserve"> scheme: POTDs are similar to bank fixed deposits. Although available for varying time duration like one year, two year, three year and five year, only 5-Yr post-office time deposit (POTD) – which currently offers 7.5 per cent rate of interest –qualifies for tax saving under section 80C. Effective rate works out to be 7.71% per annum (p.a.) as the rate of interest is compounded quarterly but paid annually. The Interest is entirely taxable.
</t>
    </r>
  </si>
  <si>
    <r>
      <rPr>
        <b/>
        <u/>
        <sz val="10"/>
        <color indexed="12"/>
        <rFont val="Arial"/>
      </rPr>
      <t xml:space="preserve">Pension Funds or Pension Policies </t>
    </r>
    <r>
      <rPr>
        <sz val="10"/>
        <rFont val="Arial"/>
      </rPr>
      <t xml:space="preserve">– Section 80CCC: This section – Sec 80CCC – stipulates that an investment in pension funds is eligible for deduction from your income. Section 80CCC investment limit is clubbed with the limit of Section 80C – it means that the total deduction available for 80CCC and 80C is           Rs 1.5 Lakh.This also means that your investment in pension funds upto Rs.1.5 Lakh can be claimed as deduction u/s 80CCC. However, as mentioned earlier, the total deduction u/s 80C and 80CCC can not exceed  Rs.1.5 Lakh.
</t>
    </r>
  </si>
  <si>
    <r>
      <rPr>
        <b/>
        <u/>
        <sz val="10"/>
        <color indexed="12"/>
        <rFont val="Arial"/>
      </rPr>
      <t>Infrastructure Bonds</t>
    </r>
    <r>
      <rPr>
        <sz val="10"/>
        <rFont val="Arial"/>
      </rPr>
      <t xml:space="preserve">: These are also popularly called Infra Bonds. These are issued by infrastructure companies, and not the government. The amount that you invest in these bonds can also be included in Sec 80C deductions.                                                                                                                                                                
</t>
    </r>
    <r>
      <rPr>
        <b/>
        <u/>
        <sz val="10"/>
        <color indexed="12"/>
        <rFont val="Arial"/>
      </rPr>
      <t>NABARD rural bonds</t>
    </r>
    <r>
      <rPr>
        <sz val="10"/>
        <rFont val="Arial"/>
      </rPr>
      <t xml:space="preserve">: There are two types of Bonds issued by NABARD (National Bank for Agriculture and Rural Development): NABARD Rural Bonds and Bhavishya Nirman Bonds (BNB). Out of these two, only NABARD Rural Bonds qualify under section 80C.
</t>
    </r>
  </si>
  <si>
    <r>
      <rPr>
        <b/>
        <u/>
        <sz val="10"/>
        <color indexed="12"/>
        <rFont val="Arial"/>
      </rPr>
      <t>Senior Citizen Savings Scheme 2004</t>
    </r>
    <r>
      <rPr>
        <sz val="10"/>
        <rFont val="Arial"/>
      </rPr>
      <t xml:space="preserve"> </t>
    </r>
    <r>
      <rPr>
        <b/>
        <sz val="10"/>
        <rFont val="Arial"/>
      </rPr>
      <t>(SCSS)</t>
    </r>
    <r>
      <rPr>
        <sz val="10"/>
        <rFont val="Arial"/>
      </rPr>
      <t xml:space="preserve">: A recent addition to section 80C list, Senior Citizen Savings Scheme (SCSS) is the most lucrative scheme among all the small savings schemes but is meant only for senior citizens. Current rate of interest is 9% per annum payable quarterly. Please note that the interest is payable quarterly instead of compounded quarterly. Thus, unclaimed interest on these deposits won’t earn any further interest. Interest income is chargeable to tax.
</t>
    </r>
  </si>
  <si>
    <t xml:space="preserve"> Mostly people gives estimated declaration at year starting to minimise their Tax Liabilities but could not save up to last and face heavy burden in last months. Many of us start looking for investment avenues only in February or March, just before the Financial Year is getting over. This is a big mistake! One, you would end up investing your money without putting proper thought to it. And secondly, you would end up losing the interest / appreciation for the whole year. Instead, decide where you want to make the investments, and start investing right from the beginning of the financial year – from April. so it is advisable to save from start on monthly basis through  Bank ECS as a SAP . This way, you would not only make informed decisions, but would also earn the interest for the full year from April to March. 
</t>
  </si>
  <si>
    <t xml:space="preserve"> C A L L   M  E    F O R   P R E S E N T A T I O N   :  B. P. C H O U D A R Y         P h :  9 8 1 1 3 0 2 4 9 7, 9 2 1 1 1 2 5 5 8 7 or M a i l  </t>
  </si>
  <si>
    <t xml:space="preserve">                                                                                                                                                                                                                                  TOP</t>
  </si>
  <si>
    <t>Upto-2,50,000</t>
  </si>
  <si>
    <t>TS</t>
  </si>
  <si>
    <t>Andra Pradesh</t>
  </si>
  <si>
    <t>Telangana</t>
  </si>
  <si>
    <t>Others</t>
  </si>
  <si>
    <t>AP</t>
  </si>
  <si>
    <t>Health Cards Premium in AP</t>
  </si>
  <si>
    <t>EHF Deduction</t>
  </si>
  <si>
    <t>80d</t>
  </si>
  <si>
    <t>Employees Health Cards Premium in AP</t>
  </si>
  <si>
    <t>Yes</t>
  </si>
  <si>
    <t>Net Annual value</t>
  </si>
  <si>
    <t>Rent received during the year- (Annual)  = Rs.</t>
  </si>
  <si>
    <t>Muncipal Tax Paid  = Rs.</t>
  </si>
  <si>
    <t>30% of Income as Maintenance  = Rs.</t>
  </si>
  <si>
    <t>Interest paid during the year  = Rs.</t>
  </si>
  <si>
    <t>Savings U/s 80C ( Limited to Rs.1,50,000 )</t>
  </si>
  <si>
    <t>FR 22a (I)</t>
  </si>
  <si>
    <t xml:space="preserve">PRC Effect </t>
  </si>
  <si>
    <t>www.teacherNews.in</t>
  </si>
  <si>
    <r>
      <t xml:space="preserve">Prepared by: C.Ramanjaneyulu, S.A(P.S)         </t>
    </r>
    <r>
      <rPr>
        <b/>
        <sz val="9"/>
        <color indexed="12"/>
        <rFont val="Cambria"/>
      </rPr>
      <t>www.teacherNews.in</t>
    </r>
  </si>
  <si>
    <t>Prepared by: C.Ramanjaneyulu, S.A(P.S),      www.teacherNews.in</t>
  </si>
  <si>
    <r>
      <t xml:space="preserve">For update Income Tax software visit my website                         </t>
    </r>
    <r>
      <rPr>
        <sz val="14"/>
        <color indexed="30"/>
        <rFont val="Cambria"/>
      </rPr>
      <t xml:space="preserve"> </t>
    </r>
    <r>
      <rPr>
        <b/>
        <sz val="14"/>
        <color indexed="30"/>
        <rFont val="Cambria"/>
      </rPr>
      <t>www.teacherNews.in</t>
    </r>
  </si>
  <si>
    <t>Sukanya Samruddhi Yojana</t>
  </si>
  <si>
    <t xml:space="preserve">Medical treatment of dependent Below 80% </t>
  </si>
  <si>
    <t>Medical treatment of dependent above 80%</t>
  </si>
  <si>
    <t>DA NEW</t>
  </si>
  <si>
    <t>--</t>
  </si>
  <si>
    <t>EHF</t>
  </si>
  <si>
    <t xml:space="preserve">Advance Tax Paid </t>
  </si>
  <si>
    <t>A/C No:</t>
  </si>
  <si>
    <t>Total Amount of Section a and b</t>
  </si>
  <si>
    <r>
      <t>u/s 80U</t>
    </r>
    <r>
      <rPr>
        <sz val="9"/>
        <rFont val="Arial"/>
      </rPr>
      <t xml:space="preserve"> who suffers from not less than 40 per cent of any disability is eligible for deduction to the extent of Rs. 75,000/-                                                                                                  and in case of severe disability to the extent of Rs. 125,000/-</t>
    </r>
  </si>
  <si>
    <t xml:space="preserve">Medical Insurance premium for Self &amp; Family </t>
  </si>
  <si>
    <t>Total Under Section 80C,80CCC,80CCD,80CC</t>
  </si>
  <si>
    <t xml:space="preserve">CPS </t>
  </si>
  <si>
    <t>-</t>
  </si>
  <si>
    <r>
      <t>u/s 80DD</t>
    </r>
    <r>
      <rPr>
        <b/>
        <sz val="9"/>
        <color indexed="12"/>
        <rFont val="Arial"/>
      </rPr>
      <t xml:space="preserve"> Deduction in respect of medical treatment of handicapped dependents</t>
    </r>
    <r>
      <rPr>
        <sz val="9"/>
        <rFont val="Arial"/>
      </rPr>
      <t xml:space="preserve"> is limited to Rs.75,000/- per year if the disability is less than 80% and </t>
    </r>
    <r>
      <rPr>
        <sz val="9"/>
        <rFont val="Rupee Foradian Standard"/>
      </rPr>
      <t>Rs</t>
    </r>
    <r>
      <rPr>
        <sz val="9"/>
        <rFont val="Arial"/>
      </rPr>
      <t>1,25,000/- per year if the disability is more than 80%</t>
    </r>
  </si>
  <si>
    <t xml:space="preserve">u/s 80 CCG Rajiv Gandhi Equity Savings Scheme </t>
  </si>
  <si>
    <t>DDO Name</t>
  </si>
  <si>
    <t>Disignation</t>
  </si>
  <si>
    <t>DDO Office &amp; Place</t>
  </si>
  <si>
    <t xml:space="preserve">Old </t>
  </si>
  <si>
    <t xml:space="preserve">New </t>
  </si>
  <si>
    <t>Diffenrence</t>
  </si>
  <si>
    <t> 8.908%</t>
  </si>
  <si>
    <t xml:space="preserve">Total </t>
  </si>
  <si>
    <t>SP/PP/Add.   Inc.</t>
  </si>
  <si>
    <t>INCOME TAX RULES,1962</t>
  </si>
  <si>
    <t>Statement showing particulars of claims by an employee for deduction of tax under section 192</t>
  </si>
  <si>
    <t>Financial year</t>
  </si>
  <si>
    <t>Nature of claim</t>
  </si>
  <si>
    <t>Amount(Rs)</t>
  </si>
  <si>
    <t>Evidence/particulars</t>
  </si>
  <si>
    <t>House Rent Allowence:</t>
  </si>
  <si>
    <t>1)</t>
  </si>
  <si>
    <t>Rent paid to the landlord</t>
  </si>
  <si>
    <t>x12</t>
  </si>
  <si>
    <t>2)</t>
  </si>
  <si>
    <t>Name of the landlord</t>
  </si>
  <si>
    <t>3)</t>
  </si>
  <si>
    <t>Address of the landlord</t>
  </si>
  <si>
    <t>4)</t>
  </si>
  <si>
    <t>PAN number of the landlord</t>
  </si>
  <si>
    <t>Leave travel concession or assistance</t>
  </si>
  <si>
    <t>Deduction of interest on borrowing</t>
  </si>
  <si>
    <t>Interest payable/paid to the lender</t>
  </si>
  <si>
    <t>Name of the lender</t>
  </si>
  <si>
    <t>Address of the lender</t>
  </si>
  <si>
    <t>PAN number of the lender</t>
  </si>
  <si>
    <t>Financial institutions (if available)</t>
  </si>
  <si>
    <t>Employer (if available)</t>
  </si>
  <si>
    <t>Deduction under Chapter VI-A</t>
  </si>
  <si>
    <t>Other Sections (80E,80G,80TTA)ChapterVI-A</t>
  </si>
  <si>
    <t>ii)</t>
  </si>
  <si>
    <t>iii)</t>
  </si>
  <si>
    <t>iv)</t>
  </si>
  <si>
    <t>v)</t>
  </si>
  <si>
    <t>vi)</t>
  </si>
  <si>
    <t>Verification</t>
  </si>
  <si>
    <t>I,</t>
  </si>
  <si>
    <t>Place</t>
  </si>
  <si>
    <t>Date</t>
  </si>
  <si>
    <t>80C</t>
  </si>
  <si>
    <t xml:space="preserve">Infrasrtucture Bonds </t>
  </si>
  <si>
    <t>Intrest on Saving Account ( Not Fixed Deposit )</t>
  </si>
  <si>
    <t>80CCF</t>
  </si>
  <si>
    <t>80CCG</t>
  </si>
  <si>
    <t>80TTA</t>
  </si>
  <si>
    <t>Total of ( 80C,80CCC,80CCD,80CCF )</t>
  </si>
  <si>
    <t>Section 80C,80CC, 80CCC and 80CCD</t>
  </si>
  <si>
    <t>Name and address of the Employee</t>
  </si>
  <si>
    <t>Permanent Account Number of the Employee</t>
  </si>
  <si>
    <t>:</t>
  </si>
  <si>
    <t>Details of claims and Evidence thereof</t>
  </si>
  <si>
    <t>Without DA HRA Calculation</t>
  </si>
  <si>
    <t xml:space="preserve">Net </t>
  </si>
  <si>
    <t>PF/ CPS</t>
  </si>
  <si>
    <t>Form 12 BB</t>
  </si>
  <si>
    <t>2017-18</t>
  </si>
  <si>
    <t xml:space="preserve">  2,50,001 to Rs. 5,00,000                                             5% of Total Income (-) Rs.2,50,000 </t>
  </si>
  <si>
    <t xml:space="preserve">   Rs3,00,001 to 5,00,000                                             5% of Total Income(-) Rs.3,00,000</t>
  </si>
  <si>
    <t>Grand Totals</t>
  </si>
  <si>
    <t>Peapully</t>
  </si>
  <si>
    <t xml:space="preserve">Contact :  9160840947                  </t>
  </si>
  <si>
    <t>FORM NO.10E</t>
  </si>
  <si>
    <t>[ See rule 21AA ]</t>
  </si>
  <si>
    <t>Permanent Account Number</t>
  </si>
  <si>
    <t>Resident</t>
  </si>
  <si>
    <t>a.</t>
  </si>
  <si>
    <t>Salary received in arrears or in advance in accordance with the provisions of sub-rule (2) of rule 21A</t>
  </si>
  <si>
    <t>b.</t>
  </si>
  <si>
    <t>Pament in the nature of gratuity in respect of past services, extending over a period of not less than 5 years in accordance with the provisions of sub-rule (3) of rule 21A</t>
  </si>
  <si>
    <t>c.</t>
  </si>
  <si>
    <t>Payment in the nature of compensation from the employer or former employer at or in connection with termination of employment after continuous service of not less than 3 years or where the unexpired portion of term of employment is also not less than 3 years in accordancewith the provisions of sub rule (4) of the 21A</t>
  </si>
  <si>
    <t>d.</t>
  </si>
  <si>
    <t>Payment in commutation of pension in accordance with the provisions of sub-rule (5) of rule 21A</t>
  </si>
  <si>
    <t>Detailed particulars of payments refered to above may be given in Annexure-I, II, IIA, III, or IV, as the case may be</t>
  </si>
  <si>
    <t>Annexure-I</t>
  </si>
  <si>
    <t>Signature of the employee</t>
  </si>
  <si>
    <t>(See item 2 of Form No. 10E)</t>
  </si>
  <si>
    <t>ARREARS OR ADVANCE SALARY</t>
  </si>
  <si>
    <t>Total income (excluding salary received in arrars or advance)</t>
  </si>
  <si>
    <t>Salary received in arrears or advance</t>
  </si>
  <si>
    <t>Total income (as increased by salary received in arrears or advance)</t>
  </si>
  <si>
    <t>Tax on total income (as per item 3)</t>
  </si>
  <si>
    <t>Tax on total income (as per item 1)</t>
  </si>
  <si>
    <t>Tax on salary received in arrears or advance</t>
  </si>
  <si>
    <t>(Difference of item 4 and item 5)</t>
  </si>
  <si>
    <t>Tax computed in accordance with table "A"</t>
  </si>
  <si>
    <t>(Brought from column 7 of Table "A")</t>
  </si>
  <si>
    <t>TABLE "A"</t>
  </si>
  <si>
    <t>{See item 7 of Annexure I}</t>
  </si>
  <si>
    <t>Previous Year(s)</t>
  </si>
  <si>
    <t>Total income of the relevent previous year (Rs.)</t>
  </si>
  <si>
    <t>Salary received in arrears or advance relating to the previous year as mentioned in column(1) (Rs)</t>
  </si>
  <si>
    <t>Total income (as increased by salary received in arrears or advance) of the relevent previous year mentioned in column 1 (Rs.)</t>
  </si>
  <si>
    <t>Tax on total income {as per column (2)} (Rs.)</t>
  </si>
  <si>
    <t>Tax on total income {as per column (4)} (Rs.)</t>
  </si>
  <si>
    <t>Difference in tax {amount under column (6) minus amount under column (5)} (Rs.)</t>
  </si>
  <si>
    <t>2016-17</t>
  </si>
  <si>
    <t>2014-15</t>
  </si>
  <si>
    <t>2013-14</t>
  </si>
  <si>
    <t>Arrears</t>
  </si>
  <si>
    <t xml:space="preserve">                         </t>
  </si>
  <si>
    <t>Financil Year</t>
  </si>
  <si>
    <t>Taxable</t>
  </si>
  <si>
    <t>Print this page and add with Form-16</t>
  </si>
  <si>
    <t>Total Advance Tax Deductions</t>
  </si>
  <si>
    <t>Detail</t>
  </si>
  <si>
    <t>Net Taxable Income</t>
  </si>
  <si>
    <t>Total Taxable Income</t>
  </si>
  <si>
    <t>Up to Rs. 2,50,000</t>
  </si>
  <si>
    <t>above Rs.10,00,001.                     (@ 30%)</t>
  </si>
  <si>
    <t>Tax rebate U/s 87A</t>
  </si>
  <si>
    <t xml:space="preserve">Education Cess @ 1%                                                                 </t>
  </si>
  <si>
    <t>Secondary &amp; Higher Education Cess @ 2%</t>
  </si>
  <si>
    <t xml:space="preserve">Total Tax </t>
  </si>
  <si>
    <t>|</t>
  </si>
  <si>
    <t xml:space="preserve">Tax rebate U/s 87A </t>
  </si>
  <si>
    <t>Relief under section 89(1) [Indicate the difference between the amounts]</t>
  </si>
  <si>
    <t>above Rs.10,00,001.                    (@ 30%)</t>
  </si>
  <si>
    <t>Rs.5,00,001 To 10,00,000.         (@ 20%)</t>
  </si>
  <si>
    <t>Rs.2,50,001 To 5,00,000.            (@ 5%)</t>
  </si>
  <si>
    <t>Rs.2,50,001 To 5,00,000.            (@ 10%)</t>
  </si>
  <si>
    <t>Rs.5,00,001 To 10,00,000.             (@ 20%)</t>
  </si>
  <si>
    <t>Rs.5,00,001 To 10,00,000.        (@ 20%)</t>
  </si>
  <si>
    <t>Rs.2,50,001 To 5,00,000.           (@ 10%)</t>
  </si>
  <si>
    <t>Rs.5,00,001 To 10,00,000.          (@ 20%)</t>
  </si>
  <si>
    <t>Relief under section 89(1)  [Indicate the difference between the amounts mentioned against items 6 and 7]</t>
  </si>
  <si>
    <t>TAX PAYBLE (12-13)</t>
  </si>
  <si>
    <t>PLI (Postal Life Insurance)</t>
  </si>
  <si>
    <t>80CCD(1)</t>
  </si>
  <si>
    <t>National Pension Scheme U/s 80CCD (1) ( Rs. 50,000/-)</t>
  </si>
  <si>
    <t>Exide Life Insurance</t>
  </si>
  <si>
    <t xml:space="preserve">National Pension Scheme U/s 80CCD (1B) </t>
  </si>
  <si>
    <t xml:space="preserve">son/daughter of </t>
  </si>
  <si>
    <t>do hereby certify that the information given is above is complete and correct</t>
  </si>
  <si>
    <t xml:space="preserve">Arrears Received </t>
  </si>
  <si>
    <t>Arrears Received</t>
  </si>
  <si>
    <t>(b)Tax Paid by the Employer on behalf of the Employee U/S 192 (1A) on perquisited U/S 17 (2)</t>
  </si>
  <si>
    <t>Less:  (a) Tax deducted at source U/s 192(1)</t>
  </si>
  <si>
    <t>Employee Salary Deductions</t>
  </si>
  <si>
    <t xml:space="preserve">For result See in Anex-II, Serial No-20                                       </t>
  </si>
  <si>
    <t>See in Form-16 Back,Serial No-19</t>
  </si>
  <si>
    <t>Net Taxable Income (12-13) Rounded nearest 10 ruppes</t>
  </si>
  <si>
    <t>Name</t>
  </si>
  <si>
    <t>Signature of the House Owner</t>
  </si>
  <si>
    <t>2018-19</t>
  </si>
  <si>
    <t xml:space="preserve">Health Cess @ 1%                                                                 </t>
  </si>
  <si>
    <t xml:space="preserve"> Education Cess @ 3%</t>
  </si>
  <si>
    <t>DA %</t>
  </si>
  <si>
    <t>Education Cess @ 3%</t>
  </si>
  <si>
    <t>above Rs.10,00,001.                   (@ 30%)</t>
  </si>
  <si>
    <t>above Rs.10,00,001.                        (@ 30%)</t>
  </si>
  <si>
    <t>above Rs.10,00,001.                  (@ 30%)</t>
  </si>
  <si>
    <t>Rs.2,50,001 To 5,00,000.               (@ 5%)</t>
  </si>
  <si>
    <t>Please Don't Call School Hours</t>
  </si>
  <si>
    <t>Working Place</t>
  </si>
  <si>
    <t>School/Office</t>
  </si>
  <si>
    <t>Vacation / Non Vacation</t>
  </si>
  <si>
    <t>PP/SP/Addl. Inc.</t>
  </si>
  <si>
    <t>Employee Name</t>
  </si>
  <si>
    <t>Prephonement</t>
  </si>
  <si>
    <t>Stepup Month</t>
  </si>
  <si>
    <t>AAS (6/12/18/24 years)</t>
  </si>
  <si>
    <t>80EE</t>
  </si>
  <si>
    <t>*Education Cess is  2% &amp; Secondary, Higher education Cess is 1% and 1% Health Cess of income tax from all Assesse.</t>
  </si>
  <si>
    <t>H.R.A. Exemption as per eligibility U/s  10(13-A)</t>
  </si>
  <si>
    <t>Promotion ( One Increament )</t>
  </si>
  <si>
    <t>Promotion ( Two Increament )</t>
  </si>
  <si>
    <t>C.Ramanjaneyulu, S.A( P.S )</t>
  </si>
  <si>
    <t>Income From other sources</t>
  </si>
  <si>
    <t>Income From Capital Gains</t>
  </si>
  <si>
    <t>Income from Short Term Capital Gains</t>
  </si>
  <si>
    <t>Income from Long Term Capital Gains</t>
  </si>
  <si>
    <t>Surrender Leave with Pay, DA, HRA</t>
  </si>
  <si>
    <t>Other Imcome</t>
  </si>
  <si>
    <t xml:space="preserve">Other Sources Income  </t>
  </si>
  <si>
    <t>from House Property U/s 24 (vi)</t>
  </si>
  <si>
    <t>House Rent</t>
  </si>
  <si>
    <t>Net Tax</t>
  </si>
  <si>
    <t>Employee &amp; DDO  Details</t>
  </si>
  <si>
    <t>Total Saving</t>
  </si>
  <si>
    <t xml:space="preserve">Rent received during the Year </t>
  </si>
  <si>
    <t>Total Arrears</t>
  </si>
  <si>
    <t>SL</t>
  </si>
  <si>
    <t>AAS</t>
  </si>
  <si>
    <t>Promotion</t>
  </si>
  <si>
    <t>DA Jul-17 Arrears</t>
  </si>
  <si>
    <t>Tax to be Refundable</t>
  </si>
  <si>
    <t>2015-16</t>
  </si>
  <si>
    <t>REBATE AMOUNT UNDER SECTION 87A OF INCOME TAX ACT, 1961</t>
  </si>
  <si>
    <t>S. No.</t>
  </si>
  <si>
    <t>Financial Year</t>
  </si>
  <si>
    <t>Rebate Available</t>
  </si>
  <si>
    <t>2018-19 &amp; Subsequent Years unless withdrawn</t>
  </si>
  <si>
    <t>2,500/-</t>
  </si>
  <si>
    <t>5,000/-</t>
  </si>
  <si>
    <t>2,000/-</t>
  </si>
  <si>
    <t>Signature  :</t>
  </si>
  <si>
    <t>Name        :</t>
  </si>
  <si>
    <t>Designation:</t>
  </si>
  <si>
    <t>Department:</t>
  </si>
  <si>
    <t>Place :</t>
  </si>
  <si>
    <t xml:space="preserve">Tax Relief </t>
  </si>
  <si>
    <t>Prepared by: C.Ramanjaneyulu, S.A(P.S),       www.teacherNews.in</t>
  </si>
  <si>
    <t>Less: Relief under section 89 (1) (attach details)</t>
  </si>
  <si>
    <t>Less Relief  Under Section 89 (1) (Attatched details)</t>
  </si>
  <si>
    <t>Forty Seven</t>
  </si>
  <si>
    <t>Forty Eight</t>
  </si>
  <si>
    <t>Forty Nine</t>
  </si>
  <si>
    <t>DA Arrears</t>
  </si>
  <si>
    <t>Savings</t>
  </si>
  <si>
    <t>Total Salary (1-2)</t>
  </si>
  <si>
    <t>Net Income from Salary (5-6)</t>
  </si>
  <si>
    <r>
      <t xml:space="preserve">E.W.F. </t>
    </r>
    <r>
      <rPr>
        <b/>
        <sz val="9"/>
        <color indexed="10"/>
        <rFont val="Arial"/>
      </rPr>
      <t>&amp;</t>
    </r>
    <r>
      <rPr>
        <sz val="9"/>
        <color indexed="58"/>
        <rFont val="Arial"/>
      </rPr>
      <t xml:space="preserve"> S.W.F </t>
    </r>
    <r>
      <rPr>
        <b/>
        <sz val="9"/>
        <color indexed="10"/>
        <rFont val="Arial"/>
      </rPr>
      <t>&amp;</t>
    </r>
    <r>
      <rPr>
        <sz val="9"/>
        <color indexed="58"/>
        <rFont val="Arial"/>
      </rPr>
      <t xml:space="preserve"> CMRF</t>
    </r>
  </si>
  <si>
    <t>DA Jan 18 Arrears</t>
  </si>
  <si>
    <t>Net Income from Salary</t>
  </si>
  <si>
    <t>Office/ School:</t>
  </si>
  <si>
    <t>Stamp Duty and Registration Charges</t>
  </si>
  <si>
    <t>Travel concession or assistance under section 10(5)</t>
  </si>
  <si>
    <t>Death-cum-retirement gratuity under section 10(10)</t>
  </si>
  <si>
    <t>Commuted value of pension under section 10(10A)</t>
  </si>
  <si>
    <t>House rent allowance under section 10(13A)</t>
  </si>
  <si>
    <t>Standard deduction under section 16(ia)</t>
  </si>
  <si>
    <t>Entertainment allowance under section 16(ii)</t>
  </si>
  <si>
    <t>Tax on employment under section 16(iii)</t>
  </si>
  <si>
    <t>Cash equivalent of leave salary encashment u/s 10(10AA)</t>
  </si>
  <si>
    <t>PH  Allowence</t>
  </si>
  <si>
    <t>Less: Standard deduction- u/s 16</t>
  </si>
  <si>
    <t>Total amount of exemption claimed u/s 3 (a+f)</t>
  </si>
  <si>
    <t xml:space="preserve">Reported Total amount of salary received </t>
  </si>
  <si>
    <t xml:space="preserve">Income under the Head Salaries (2-3)  </t>
  </si>
  <si>
    <t>DDO PAN</t>
  </si>
  <si>
    <t>TAN</t>
  </si>
  <si>
    <t>Employees PAN No.</t>
  </si>
  <si>
    <t>IR (27%)</t>
  </si>
  <si>
    <t>Less: Standard deduction- u/s16 (Ia)</t>
  </si>
  <si>
    <r>
      <t>Income Tax Software  2019 - 20 ( Calculator )</t>
    </r>
    <r>
      <rPr>
        <b/>
        <sz val="12"/>
        <color indexed="12"/>
        <rFont val="Arial"/>
      </rPr>
      <t xml:space="preserve"> </t>
    </r>
  </si>
  <si>
    <t xml:space="preserve">Financial year 2019- 20 | Assessment Year 2020 -21                                                                             </t>
  </si>
  <si>
    <t>New Tax  Rates  for Financial-Year 2019-20, Assessment Year  2020-2021</t>
  </si>
  <si>
    <r>
      <t>u/s 24</t>
    </r>
    <r>
      <rPr>
        <sz val="9"/>
        <rFont val="Arial"/>
      </rPr>
      <t xml:space="preserve"> There is an</t>
    </r>
    <r>
      <rPr>
        <b/>
        <sz val="9"/>
        <rFont val="Arial"/>
      </rPr>
      <t xml:space="preserve"> </t>
    </r>
    <r>
      <rPr>
        <b/>
        <sz val="9"/>
        <color indexed="12"/>
        <rFont val="Arial"/>
      </rPr>
      <t>Exemption for interest on housing loan</t>
    </r>
    <r>
      <rPr>
        <sz val="9"/>
        <rFont val="Arial"/>
      </rPr>
      <t xml:space="preserve">.(for Self occupied Residence). If the loan was taken before Apr 1, 1999 exemption is limited to </t>
    </r>
    <r>
      <rPr>
        <sz val="9"/>
        <rFont val="Rupee Foradian Standard"/>
      </rPr>
      <t>Rs</t>
    </r>
    <r>
      <rPr>
        <sz val="9"/>
        <rFont val="Arial"/>
      </rPr>
      <t xml:space="preserve">30,000/- per year. If the loan was taken after Apr 1, 1999 exemption is limited to Rs 2,00,000/- per year if the house is self-occupied; There is no limit if the house is rented out
This exemption is available on accrual basis, which means if interest has accrued, you can claim exemption, irrespective of whether you've paid it or not..                            </t>
    </r>
  </si>
  <si>
    <r>
      <t>u/s 80D</t>
    </r>
    <r>
      <rPr>
        <sz val="9"/>
        <rFont val="Arial"/>
      </rPr>
      <t xml:space="preserve"> Medical Insurance Premium (such as Mediclaim &amp; Critical illness Cover)&amp; Health Check up Upto </t>
    </r>
    <r>
      <rPr>
        <sz val="9"/>
        <rFont val="Rupee Foradian Standard"/>
      </rPr>
      <t xml:space="preserve">Rs </t>
    </r>
    <r>
      <rPr>
        <sz val="9"/>
        <rFont val="Arial"/>
      </rPr>
      <t xml:space="preserve">5000,                                                                                                               </t>
    </r>
    <r>
      <rPr>
        <sz val="9"/>
        <color indexed="10"/>
        <rFont val="Arial"/>
      </rPr>
      <t xml:space="preserve">premium is exempt up to </t>
    </r>
    <r>
      <rPr>
        <sz val="9"/>
        <color indexed="10"/>
        <rFont val="Rupee Foradian Standard"/>
      </rPr>
      <t xml:space="preserve">Rs </t>
    </r>
    <r>
      <rPr>
        <sz val="9"/>
        <color indexed="10"/>
        <rFont val="Arial"/>
      </rPr>
      <t>30,000/ per year</t>
    </r>
    <r>
      <rPr>
        <sz val="9"/>
        <rFont val="Arial"/>
      </rPr>
      <t xml:space="preserve"> (Rs.2</t>
    </r>
    <r>
      <rPr>
        <sz val="9"/>
        <color indexed="57"/>
        <rFont val="Arial"/>
      </rPr>
      <t>5,000/-</t>
    </r>
    <r>
      <rPr>
        <sz val="9"/>
        <rFont val="Arial"/>
      </rPr>
      <t xml:space="preserve"> for self,spouse and children ) (Rs 15000/- for Parents. If the premium includes for a dependent who is (Senior Citizen) above 60 years of age, </t>
    </r>
    <r>
      <rPr>
        <sz val="9"/>
        <color indexed="57"/>
        <rFont val="Arial"/>
      </rPr>
      <t xml:space="preserve">an extra </t>
    </r>
    <r>
      <rPr>
        <sz val="9"/>
        <color indexed="57"/>
        <rFont val="Rupee Foradian Standard"/>
      </rPr>
      <t xml:space="preserve">Rs </t>
    </r>
    <r>
      <rPr>
        <sz val="9"/>
        <color indexed="57"/>
        <rFont val="Arial"/>
      </rPr>
      <t>5,000//- can be claimed.</t>
    </r>
  </si>
  <si>
    <t>DA &amp; Other  Arrears ( Exmption 10E)</t>
  </si>
  <si>
    <t>PP/ SP</t>
  </si>
  <si>
    <t>PH A</t>
  </si>
  <si>
    <t>PP/SP</t>
  </si>
  <si>
    <r>
      <t xml:space="preserve">Tax Rebate ( U/s 87 A)    </t>
    </r>
    <r>
      <rPr>
        <sz val="10"/>
        <color indexed="58"/>
        <rFont val="Cambria"/>
      </rPr>
      <t>( Rs. 12500/-upto  Rs.5,00,000 Taxble Income )</t>
    </r>
  </si>
  <si>
    <t>Cess  (Health  1% + Education   3% )</t>
  </si>
  <si>
    <t>Tax Rebate Rs. 12500/-upto  Rs.5,00,000 Taxble Income( U/s 87 A)</t>
  </si>
  <si>
    <t>Health Cess @ 1% +  Education Cess @ 3%</t>
  </si>
  <si>
    <r>
      <rPr>
        <b/>
        <sz val="14"/>
        <color indexed="10"/>
        <rFont val="Cambria"/>
      </rPr>
      <t xml:space="preserve"> TAX  RATES  For Financial Year 2019-20  &amp;  </t>
    </r>
    <r>
      <rPr>
        <b/>
        <sz val="14"/>
        <color indexed="17"/>
        <rFont val="Cambria"/>
      </rPr>
      <t xml:space="preserve">Assesment Year 2020 -21  </t>
    </r>
  </si>
  <si>
    <t>*Note- (u/s87A- A rebate upto Rs 12500/-  for Taxble Income below Rs. 5,00,000 )</t>
  </si>
  <si>
    <t>*Note- (u/s 87A- A rebate upto Rs 12500/-  for Taxble Income below Rs. 6,00,000 )</t>
  </si>
  <si>
    <r>
      <rPr>
        <b/>
        <sz val="10"/>
        <color indexed="10"/>
        <rFont val="Arial"/>
      </rPr>
      <t xml:space="preserve">Special allowances Exempted </t>
    </r>
    <r>
      <rPr>
        <b/>
        <sz val="10"/>
        <rFont val="Arial"/>
      </rPr>
      <t xml:space="preserve">u/s 10(14) </t>
    </r>
    <r>
      <rPr>
        <b/>
        <sz val="9"/>
        <rFont val="Arial"/>
      </rPr>
      <t xml:space="preserve">                                                                                                                                                                                                                          1.</t>
    </r>
    <r>
      <rPr>
        <b/>
        <sz val="9"/>
        <color indexed="48"/>
        <rFont val="Arial"/>
      </rPr>
      <t xml:space="preserve"> Uniform Allowance </t>
    </r>
    <r>
      <rPr>
        <b/>
        <sz val="9"/>
        <rFont val="Arial"/>
      </rPr>
      <t xml:space="preserve">(granted to meet the expenditure incurred on purchase or maintenance of uniform to be worn during performance of Official Duty)                     2 </t>
    </r>
    <r>
      <rPr>
        <b/>
        <sz val="9"/>
        <color indexed="48"/>
        <rFont val="Arial"/>
      </rPr>
      <t xml:space="preserve">Helper Allowance </t>
    </r>
    <r>
      <rPr>
        <b/>
        <sz val="9"/>
        <rFont val="Arial"/>
      </rPr>
      <t>( granted to meet exependiture incurred on helper for performance of official duty)                                                                                                                   3.</t>
    </r>
    <r>
      <rPr>
        <b/>
        <sz val="9"/>
        <color indexed="48"/>
        <rFont val="Arial"/>
      </rPr>
      <t xml:space="preserve"> Academic Allowance</t>
    </r>
    <r>
      <rPr>
        <b/>
        <sz val="9"/>
        <rFont val="Arial"/>
      </rPr>
      <t xml:space="preserve"> (granted for encouraging academic, research &amp; training pursuits) including Newspaper, Generals etc.)                                                                   4. </t>
    </r>
    <r>
      <rPr>
        <b/>
        <sz val="9"/>
        <color indexed="48"/>
        <rFont val="Arial"/>
      </rPr>
      <t xml:space="preserve">Children Education Allowance </t>
    </r>
    <r>
      <rPr>
        <b/>
        <sz val="9"/>
        <rFont val="Arial"/>
      </rPr>
      <t xml:space="preserve">( </t>
    </r>
    <r>
      <rPr>
        <b/>
        <sz val="9"/>
        <rFont val="Rupee Foradian Standard"/>
      </rPr>
      <t>Rs</t>
    </r>
    <r>
      <rPr>
        <b/>
        <sz val="9"/>
        <rFont val="Arial"/>
      </rPr>
      <t>100 P.M. per Child / (</t>
    </r>
    <r>
      <rPr>
        <b/>
        <sz val="9"/>
        <rFont val="Rupee Foradian Standard"/>
      </rPr>
      <t>Rs</t>
    </r>
    <r>
      <rPr>
        <b/>
        <sz val="9"/>
        <rFont val="Arial"/>
      </rPr>
      <t xml:space="preserve">300 for Hostel Expenditure) Max of 2 Children)                                                                                                             5. </t>
    </r>
    <r>
      <rPr>
        <b/>
        <sz val="9"/>
        <color indexed="48"/>
        <rFont val="Arial"/>
      </rPr>
      <t>Convayance allowance</t>
    </r>
    <r>
      <rPr>
        <b/>
        <sz val="9"/>
        <rFont val="Arial"/>
      </rPr>
      <t xml:space="preserve"> ( granted to meet the expenditure incurred on convayance, while performing official duty.                                                                                                     (</t>
    </r>
    <r>
      <rPr>
        <b/>
        <sz val="9"/>
        <color indexed="10"/>
        <rFont val="Arial"/>
      </rPr>
      <t xml:space="preserve"> </t>
    </r>
    <r>
      <rPr>
        <b/>
        <sz val="9"/>
        <color indexed="17"/>
        <rFont val="Arial"/>
      </rPr>
      <t>Expenditure incured for covering journey between office and residence is not treated as expenditure in performance of official duty</t>
    </r>
    <r>
      <rPr>
        <b/>
        <sz val="9"/>
        <color indexed="10"/>
        <rFont val="Arial"/>
      </rPr>
      <t>. )</t>
    </r>
    <r>
      <rPr>
        <b/>
        <sz val="9"/>
        <rFont val="Arial"/>
      </rPr>
      <t xml:space="preserve"> </t>
    </r>
  </si>
  <si>
    <r>
      <rPr>
        <b/>
        <sz val="9"/>
        <color indexed="10"/>
        <rFont val="Arial"/>
      </rPr>
      <t xml:space="preserve">Reimbursement of </t>
    </r>
    <r>
      <rPr>
        <b/>
        <sz val="9"/>
        <color indexed="12"/>
        <rFont val="Arial"/>
      </rPr>
      <t>Medical bills</t>
    </r>
    <r>
      <rPr>
        <sz val="9"/>
        <rFont val="Arial"/>
      </rPr>
      <t xml:space="preserve"> are exempt for self and dependent family, up to Rs.50,000/- per annum</t>
    </r>
  </si>
  <si>
    <t xml:space="preserve">Taxble Income </t>
  </si>
  <si>
    <t>Up to Rs. 5,00,000</t>
  </si>
  <si>
    <t>2019-20</t>
  </si>
  <si>
    <t xml:space="preserve">Total Savings (Deductions) u/s 80C, 80CCC, 80CCD </t>
  </si>
  <si>
    <t>Deductions for disabled (Blind,PH) person (40%)</t>
  </si>
  <si>
    <t>Deductions for disabled (Blind,PH) person(80%)</t>
  </si>
  <si>
    <t xml:space="preserve"> ( Under Section 80E, 80G, 80TTA, 80G, 80DD etc. )</t>
  </si>
  <si>
    <t>Gross Total Income (6+7)</t>
  </si>
  <si>
    <t>Aggregate of Deductible Amounts U/Chapter VIA (A+B)…</t>
  </si>
  <si>
    <t>TAX PAYABLE (14+15)</t>
  </si>
  <si>
    <r>
      <t>u/s 80TTA</t>
    </r>
    <r>
      <rPr>
        <sz val="9"/>
        <color indexed="12"/>
        <rFont val="Arial"/>
      </rPr>
      <t xml:space="preserve"> </t>
    </r>
    <r>
      <rPr>
        <sz val="9"/>
        <rFont val="Arial"/>
      </rPr>
      <t>introduced through Finance Act, 2012. Section 80TTA provides a deduction of up to Rs40,000 on your income from interest on saving bank accounts.</t>
    </r>
  </si>
  <si>
    <t>Income From Salary (3-4)</t>
  </si>
  <si>
    <t>Gross Total Income  (7+8+9)</t>
  </si>
  <si>
    <t xml:space="preserve">House  Address for Rent Reciept </t>
  </si>
  <si>
    <t>13-254/ A</t>
  </si>
  <si>
    <t>Near Bus Stand</t>
  </si>
  <si>
    <t>( DA Arrears FY 2019-20 )</t>
  </si>
  <si>
    <t>Every time work (Edit) with Copy Software Only from Orginal Software</t>
  </si>
  <si>
    <t>Allowances Details</t>
  </si>
  <si>
    <t>Basic Pay &amp; Benefits</t>
  </si>
  <si>
    <t xml:space="preserve">Tax Deductions </t>
  </si>
  <si>
    <t>Interest of Housing Loan Section 24</t>
  </si>
  <si>
    <t>Interest of Housing Loan 80EE</t>
  </si>
  <si>
    <t>Interest of HBA Loan 80EEA</t>
  </si>
  <si>
    <t>Salary LIC</t>
  </si>
  <si>
    <t xml:space="preserve">                                                                                                                            </t>
  </si>
  <si>
    <t>Total  (17+18)</t>
  </si>
  <si>
    <t xml:space="preserve">            </t>
  </si>
  <si>
    <t>80EEA</t>
  </si>
  <si>
    <t xml:space="preserve"> ( Vide rule 31(1)(a) of Income Tax Rules, 1962 )     </t>
  </si>
  <si>
    <t>2020-21</t>
  </si>
  <si>
    <t>DA Jul-18 Arrears</t>
  </si>
  <si>
    <t>( DA Arrears FY 2020-21 )</t>
  </si>
  <si>
    <t>Loss or Income from House property select (U/s 24)</t>
  </si>
  <si>
    <t>Surender leave</t>
  </si>
  <si>
    <t>New Tax Slab</t>
  </si>
  <si>
    <t>Old Tax Slab</t>
  </si>
  <si>
    <t xml:space="preserve">One DA </t>
  </si>
  <si>
    <t>Select CPS / PF</t>
  </si>
  <si>
    <t>Select HRA %</t>
  </si>
  <si>
    <t>Jan</t>
  </si>
  <si>
    <t>15 Days</t>
  </si>
  <si>
    <t>Feb</t>
  </si>
  <si>
    <t>Two DA</t>
  </si>
  <si>
    <t>30 Days</t>
  </si>
  <si>
    <t>Mar</t>
  </si>
  <si>
    <t>Apr</t>
  </si>
  <si>
    <t>May</t>
  </si>
  <si>
    <t>Jun</t>
  </si>
  <si>
    <t>Jul</t>
  </si>
  <si>
    <t>Aug</t>
  </si>
  <si>
    <t>Sep</t>
  </si>
  <si>
    <t>Oct</t>
  </si>
  <si>
    <t>Nov</t>
  </si>
  <si>
    <t>Dec</t>
  </si>
  <si>
    <t>PF/CPS</t>
  </si>
  <si>
    <t>New</t>
  </si>
  <si>
    <t>old</t>
  </si>
  <si>
    <t>Eligible DA</t>
  </si>
  <si>
    <t>Already Drawn DA</t>
  </si>
  <si>
    <t>DA Defference</t>
  </si>
  <si>
    <t>DA Table Developed by C.Ramanjaneyulu -www.teacherNews.in</t>
  </si>
  <si>
    <t xml:space="preserve">AAS Arrears from </t>
  </si>
  <si>
    <t>Surrender Leave Arrears Month of</t>
  </si>
  <si>
    <t>Bassic Pay</t>
  </si>
  <si>
    <t>Income Tax</t>
  </si>
  <si>
    <t>Taxble Inc</t>
  </si>
  <si>
    <t>Tax  %</t>
  </si>
  <si>
    <t>4% Cess</t>
  </si>
  <si>
    <t>Update IT Software Available at www.teacherNews.in</t>
  </si>
  <si>
    <t xml:space="preserve">Employees Contribution towards NPS U/s 80CCD (2)  </t>
  </si>
  <si>
    <t>EHS</t>
  </si>
  <si>
    <t xml:space="preserve">PHA </t>
  </si>
  <si>
    <t>SP/ PP</t>
  </si>
  <si>
    <t>CMRS</t>
  </si>
  <si>
    <t>Tax New Regime</t>
  </si>
  <si>
    <t>Tax Old Regime</t>
  </si>
  <si>
    <t>0 -250000</t>
  </si>
  <si>
    <t>250001 - 500000</t>
  </si>
  <si>
    <t>500001 - 1000000</t>
  </si>
  <si>
    <t>1000001 +</t>
  </si>
  <si>
    <t>Income Tax for General</t>
  </si>
  <si>
    <t>Tax Slabs</t>
  </si>
  <si>
    <t>Incremental</t>
  </si>
  <si>
    <t>Taxable Inc</t>
  </si>
  <si>
    <t>Tax Bracket</t>
  </si>
  <si>
    <t>0 - 2.5</t>
  </si>
  <si>
    <t>2.5 - 5</t>
  </si>
  <si>
    <t>5 - 7.5</t>
  </si>
  <si>
    <t>7.5 - 10</t>
  </si>
  <si>
    <t>10 - 12.5</t>
  </si>
  <si>
    <t>12.5 - 15</t>
  </si>
  <si>
    <t>15+</t>
  </si>
  <si>
    <t>HM A</t>
  </si>
  <si>
    <t>HM Allowance</t>
  </si>
  <si>
    <t>TS Inc</t>
  </si>
  <si>
    <t>Disabled Person (PH)-above 40% disability ( Rule 11A)</t>
  </si>
  <si>
    <t>Disabled Person (PH)-above 80% disability ( Rule 11A)</t>
  </si>
  <si>
    <t>Net Taxable Income ( Column 8- Column 10)</t>
  </si>
  <si>
    <t>Whether living in</t>
  </si>
  <si>
    <t>Details</t>
  </si>
  <si>
    <t>Verified today :</t>
  </si>
  <si>
    <t>Residential Status</t>
  </si>
  <si>
    <r>
      <rPr>
        <b/>
        <sz val="9"/>
        <color indexed="13"/>
        <rFont val="Cambria"/>
      </rPr>
      <t>HM</t>
    </r>
    <r>
      <rPr>
        <b/>
        <sz val="9"/>
        <color indexed="9"/>
        <rFont val="Cambria"/>
      </rPr>
      <t xml:space="preserve"> Allowance</t>
    </r>
  </si>
  <si>
    <r>
      <rPr>
        <b/>
        <sz val="9"/>
        <color indexed="13"/>
        <rFont val="Cambria"/>
      </rPr>
      <t>PH</t>
    </r>
    <r>
      <rPr>
        <b/>
        <sz val="9"/>
        <color indexed="9"/>
        <rFont val="Cambria"/>
      </rPr>
      <t xml:space="preserve"> Allowance</t>
    </r>
  </si>
  <si>
    <r>
      <t xml:space="preserve">Select  </t>
    </r>
    <r>
      <rPr>
        <b/>
        <sz val="9"/>
        <color indexed="13"/>
        <rFont val="Cambria"/>
      </rPr>
      <t>PF/CPS</t>
    </r>
  </si>
  <si>
    <r>
      <rPr>
        <b/>
        <sz val="9"/>
        <color indexed="13"/>
        <rFont val="Cambria"/>
      </rPr>
      <t xml:space="preserve">CCA </t>
    </r>
    <r>
      <rPr>
        <b/>
        <sz val="9"/>
        <color indexed="9"/>
        <rFont val="Cambria"/>
      </rPr>
      <t>Recived Monthly</t>
    </r>
  </si>
  <si>
    <t>Change HRA</t>
  </si>
  <si>
    <t>PF Change</t>
  </si>
  <si>
    <t>GIS Change</t>
  </si>
  <si>
    <r>
      <rPr>
        <b/>
        <sz val="9"/>
        <color indexed="13"/>
        <rFont val="Cambria"/>
      </rPr>
      <t>LIC</t>
    </r>
    <r>
      <rPr>
        <b/>
        <sz val="9"/>
        <color indexed="9"/>
        <rFont val="Cambria"/>
      </rPr>
      <t xml:space="preserve"> Change</t>
    </r>
  </si>
  <si>
    <r>
      <rPr>
        <b/>
        <sz val="8"/>
        <color indexed="13"/>
        <rFont val="Cambria"/>
      </rPr>
      <t xml:space="preserve">LIC </t>
    </r>
    <r>
      <rPr>
        <b/>
        <sz val="8"/>
        <color indexed="9"/>
        <rFont val="Cambria"/>
      </rPr>
      <t xml:space="preserve"> Paid Monthly in Salary</t>
    </r>
  </si>
  <si>
    <r>
      <rPr>
        <b/>
        <sz val="12"/>
        <color indexed="9"/>
        <rFont val="Cambria"/>
      </rPr>
      <t xml:space="preserve">If You Taken Surrender Leave </t>
    </r>
    <r>
      <rPr>
        <b/>
        <sz val="12"/>
        <color indexed="13"/>
        <rFont val="Cambria"/>
      </rPr>
      <t>(</t>
    </r>
    <r>
      <rPr>
        <b/>
        <sz val="10"/>
        <color indexed="11"/>
        <rFont val="Cambria"/>
      </rPr>
      <t>07/2018 to 12/2020</t>
    </r>
    <r>
      <rPr>
        <b/>
        <sz val="12"/>
        <color indexed="13"/>
        <rFont val="Cambria"/>
      </rPr>
      <t>)</t>
    </r>
  </si>
  <si>
    <r>
      <rPr>
        <b/>
        <sz val="11"/>
        <color indexed="9"/>
        <rFont val="Cambria"/>
      </rPr>
      <t xml:space="preserve">Are You Taken AAS (6/12/18/24 Years) </t>
    </r>
    <r>
      <rPr>
        <b/>
        <u/>
        <sz val="10"/>
        <color indexed="11"/>
        <rFont val="Cambria"/>
      </rPr>
      <t>Before Dec 2020</t>
    </r>
  </si>
  <si>
    <t xml:space="preserve">HRA Under Taking </t>
  </si>
  <si>
    <t>Net Amount</t>
  </si>
  <si>
    <t>Any other income reported by the employee under as per section 192 (2B)</t>
  </si>
  <si>
    <r>
      <rPr>
        <b/>
        <sz val="10"/>
        <color indexed="11"/>
        <rFont val="Trebuchet MS"/>
      </rPr>
      <t>If You want to Update Softwares, Please Add My WhatsApp Number</t>
    </r>
    <r>
      <rPr>
        <b/>
        <sz val="10"/>
        <color indexed="9"/>
        <rFont val="Trebuchet MS"/>
      </rPr>
      <t xml:space="preserve"> 8978531101</t>
    </r>
    <r>
      <rPr>
        <b/>
        <sz val="10"/>
        <color indexed="11"/>
        <rFont val="Trebuchet MS"/>
      </rPr>
      <t xml:space="preserve"> in Your WhatsApp Groups</t>
    </r>
  </si>
  <si>
    <t>Two</t>
  </si>
  <si>
    <t>Signature of the Tenant</t>
  </si>
  <si>
    <t>w</t>
  </si>
  <si>
    <t>Without DA in HRA Calculation</t>
  </si>
  <si>
    <t>Half  Pay Leave</t>
  </si>
  <si>
    <t xml:space="preserve">Date : </t>
  </si>
  <si>
    <t>2nd Instalment</t>
  </si>
  <si>
    <t>Housing Loan Principal Amount</t>
  </si>
  <si>
    <t>Owner Name</t>
  </si>
  <si>
    <t>PAN  No</t>
  </si>
  <si>
    <t xml:space="preserve">K Suresh </t>
  </si>
  <si>
    <t>xxxxxxxxx</t>
  </si>
  <si>
    <r>
      <t xml:space="preserve">Are You Taken Promotion (07/18 to 12/20) </t>
    </r>
    <r>
      <rPr>
        <b/>
        <sz val="10"/>
        <color indexed="11"/>
        <rFont val="Cambria"/>
      </rPr>
      <t>Before Dec 20</t>
    </r>
  </si>
  <si>
    <t>One Inc.</t>
  </si>
  <si>
    <t>Two Inc.</t>
  </si>
  <si>
    <t>Inc.</t>
  </si>
  <si>
    <t>Pro</t>
  </si>
  <si>
    <t>Ist Instalment</t>
  </si>
  <si>
    <r>
      <t xml:space="preserve">Visit More Employees Softwares at </t>
    </r>
    <r>
      <rPr>
        <b/>
        <sz val="11"/>
        <color indexed="13"/>
        <rFont val="Cambria"/>
      </rPr>
      <t>www.teacherNews.in</t>
    </r>
    <r>
      <rPr>
        <b/>
        <sz val="11"/>
        <color indexed="9"/>
        <rFont val="Cambria"/>
      </rPr>
      <t xml:space="preserve"> (C Ramanjaneyulu)</t>
    </r>
  </si>
  <si>
    <t>1 (Mar to May)</t>
  </si>
  <si>
    <t>2 (Jun to Aug)</t>
  </si>
  <si>
    <t>3 (Sep to Nov)</t>
  </si>
  <si>
    <t>4 (Dec to Feb)</t>
  </si>
  <si>
    <t>Basic Pay January - 2021</t>
  </si>
  <si>
    <t>EWF (March 2021)</t>
  </si>
  <si>
    <t>SWF (December 2021)</t>
  </si>
  <si>
    <t>HRA on Mar - 2021</t>
  </si>
  <si>
    <t>Increment after Jan-21</t>
  </si>
  <si>
    <t>Financial Year 2021-22</t>
  </si>
  <si>
    <t>Assessment year 2022-23</t>
  </si>
  <si>
    <t>2022 -2023</t>
  </si>
  <si>
    <t>2021-22</t>
  </si>
  <si>
    <r>
      <rPr>
        <b/>
        <sz val="12"/>
        <color indexed="9"/>
        <rFont val="Cambria"/>
      </rPr>
      <t>Basic Pay on</t>
    </r>
    <r>
      <rPr>
        <b/>
        <i/>
        <sz val="12"/>
        <color indexed="9"/>
        <rFont val="Cambria"/>
      </rPr>
      <t xml:space="preserve"> </t>
    </r>
    <r>
      <rPr>
        <b/>
        <u/>
        <sz val="14"/>
        <color indexed="11"/>
        <rFont val="Cambria"/>
      </rPr>
      <t>Jan 2022</t>
    </r>
  </si>
  <si>
    <r>
      <rPr>
        <b/>
        <sz val="12"/>
        <color indexed="9"/>
        <rFont val="Cambria"/>
      </rPr>
      <t>Increament Month</t>
    </r>
    <r>
      <rPr>
        <b/>
        <sz val="12"/>
        <color indexed="13"/>
        <rFont val="Cambria"/>
      </rPr>
      <t xml:space="preserve"> (</t>
    </r>
    <r>
      <rPr>
        <b/>
        <u/>
        <sz val="12"/>
        <color indexed="9"/>
        <rFont val="Cambria"/>
      </rPr>
      <t xml:space="preserve"> </t>
    </r>
    <r>
      <rPr>
        <b/>
        <u/>
        <sz val="12"/>
        <color indexed="11"/>
        <rFont val="Cambria"/>
      </rPr>
      <t>After Jan 2022</t>
    </r>
    <r>
      <rPr>
        <b/>
        <u/>
        <sz val="12"/>
        <color indexed="9"/>
        <rFont val="Cambria"/>
      </rPr>
      <t xml:space="preserve"> </t>
    </r>
    <r>
      <rPr>
        <b/>
        <sz val="12"/>
        <color indexed="13"/>
        <rFont val="Cambria"/>
      </rPr>
      <t>)</t>
    </r>
  </si>
  <si>
    <t>July 2018 DA Arrears</t>
  </si>
  <si>
    <t>Jan 2019 DA Arrears</t>
  </si>
  <si>
    <t>( DA Arrears FY 2021-22 )</t>
  </si>
  <si>
    <r>
      <rPr>
        <b/>
        <sz val="11"/>
        <color indexed="11"/>
        <rFont val="Tahoma"/>
      </rPr>
      <t xml:space="preserve">Download Update Income Tax Software at  </t>
    </r>
    <r>
      <rPr>
        <b/>
        <sz val="11"/>
        <color rgb="FFFFFFFF"/>
        <rFont val="Tahoma"/>
      </rPr>
      <t xml:space="preserve">www.teachernews.in  </t>
    </r>
  </si>
  <si>
    <r>
      <rPr>
        <sz val="10"/>
        <color indexed="10"/>
        <rFont val="Arial"/>
      </rPr>
      <t xml:space="preserve"> </t>
    </r>
    <r>
      <rPr>
        <b/>
        <sz val="10"/>
        <color indexed="10"/>
        <rFont val="Arial"/>
      </rPr>
      <t>Deduction available u/s -16</t>
    </r>
    <r>
      <rPr>
        <sz val="10"/>
        <color indexed="10"/>
        <rFont val="Arial"/>
      </rPr>
      <t xml:space="preserve"> </t>
    </r>
    <r>
      <rPr>
        <sz val="10"/>
        <rFont val="Arial"/>
      </rPr>
      <t xml:space="preserve">                                                                                                                                                                                                        1. </t>
    </r>
    <r>
      <rPr>
        <b/>
        <sz val="10"/>
        <color indexed="48"/>
        <rFont val="Arial"/>
      </rPr>
      <t>Entertainment allowance</t>
    </r>
    <r>
      <rPr>
        <sz val="10"/>
        <rFont val="Arial"/>
      </rPr>
      <t xml:space="preserve"> (for Govt Employees) Max  </t>
    </r>
    <r>
      <rPr>
        <sz val="10"/>
        <rFont val="Rupee Foradian Standard"/>
      </rPr>
      <t>Rs</t>
    </r>
    <r>
      <rPr>
        <sz val="10"/>
        <rFont val="Arial"/>
      </rPr>
      <t xml:space="preserve">5000/-                                                                                                                                           2. </t>
    </r>
    <r>
      <rPr>
        <b/>
        <sz val="10"/>
        <color indexed="48"/>
        <rFont val="Arial"/>
      </rPr>
      <t>Professional tax</t>
    </r>
    <r>
      <rPr>
        <sz val="10"/>
        <rFont val="Arial"/>
      </rPr>
      <t xml:space="preserve"> - Professional tax paid by employee is deducted. If employee pays the professional tax on behalf of employee, It is first added in gross salary as taxable perquisite and thereafter deduction isvprovided from gross salary       </t>
    </r>
  </si>
  <si>
    <t>FY 2018-19 (DA Arrears )</t>
  </si>
  <si>
    <t xml:space="preserve">FY 2020-21 (DA Arrears) </t>
  </si>
  <si>
    <t>Rs.2,50,001 To 5,00,000.           (@ 5%)</t>
  </si>
  <si>
    <t>Secondary &amp; Higher Education Cess @ 3%</t>
  </si>
  <si>
    <t>C.Ramanjaneyulu Income Tax Software 2021-22 for AP Teachers &amp; Employees</t>
  </si>
  <si>
    <t>One Instalment</t>
  </si>
  <si>
    <t>Two Instalments</t>
  </si>
  <si>
    <t>Three Instalments</t>
  </si>
  <si>
    <t>FY 2019-20 (DA Arrears)</t>
  </si>
  <si>
    <t>FY 2016-17  (Arrears)</t>
  </si>
  <si>
    <t>FY 2017-18 (Arrears)</t>
  </si>
  <si>
    <t>FY 2015-16  (Arrears)</t>
  </si>
  <si>
    <r>
      <t>PF</t>
    </r>
    <r>
      <rPr>
        <b/>
        <sz val="10"/>
        <color indexed="13"/>
        <rFont val="Cambria"/>
      </rPr>
      <t>/CPS</t>
    </r>
    <r>
      <rPr>
        <b/>
        <sz val="10"/>
        <color indexed="9"/>
        <rFont val="Cambria"/>
      </rPr>
      <t xml:space="preserve"> No</t>
    </r>
  </si>
  <si>
    <t>Select  Regime</t>
  </si>
  <si>
    <t>Surrender leave (2021-22)</t>
  </si>
  <si>
    <t xml:space="preserve">  Jul 2018 DA Arrears Taken</t>
  </si>
  <si>
    <t xml:space="preserve">  Jan 2019 DA Arrears Taken</t>
  </si>
  <si>
    <t>AAS Taken (07/2018 to 12/2020)</t>
  </si>
  <si>
    <t>Increment Month</t>
  </si>
  <si>
    <t>AAS Increment</t>
  </si>
  <si>
    <t xml:space="preserve">Mobile Income Tax Software </t>
  </si>
  <si>
    <t>Jul 2018 DA Arrears Online Calculator</t>
  </si>
  <si>
    <t>Jul 2018 DA Arrears Calculator</t>
  </si>
  <si>
    <t>ASS</t>
  </si>
  <si>
    <t>Salary  Health Insurance</t>
  </si>
  <si>
    <t>If Change</t>
  </si>
  <si>
    <r>
      <rPr>
        <b/>
        <sz val="9"/>
        <color indexed="13"/>
        <rFont val="Cambria"/>
      </rPr>
      <t>PF</t>
    </r>
    <r>
      <rPr>
        <sz val="9"/>
        <color indexed="13"/>
        <rFont val="Cambria"/>
      </rPr>
      <t xml:space="preserve"> </t>
    </r>
    <r>
      <rPr>
        <b/>
        <sz val="9"/>
        <color indexed="9"/>
        <rFont val="Cambria"/>
      </rPr>
      <t xml:space="preserve">Monthly </t>
    </r>
  </si>
  <si>
    <r>
      <rPr>
        <b/>
        <sz val="9"/>
        <color indexed="13"/>
        <rFont val="Cambria"/>
      </rPr>
      <t>GIS</t>
    </r>
    <r>
      <rPr>
        <b/>
        <sz val="9"/>
        <color indexed="53"/>
        <rFont val="Cambria"/>
      </rPr>
      <t xml:space="preserve"> </t>
    </r>
    <r>
      <rPr>
        <b/>
        <sz val="9"/>
        <color indexed="9"/>
        <rFont val="Cambria"/>
      </rPr>
      <t xml:space="preserve">Monthly </t>
    </r>
  </si>
  <si>
    <t>Adavance Tax</t>
  </si>
  <si>
    <r>
      <t xml:space="preserve">Prepared by: C.Ramanjaneyulu, S.A (P.S),               </t>
    </r>
    <r>
      <rPr>
        <b/>
        <sz val="12"/>
        <color indexed="10"/>
        <rFont val="Cambria"/>
      </rPr>
      <t xml:space="preserve"> </t>
    </r>
    <r>
      <rPr>
        <b/>
        <sz val="12"/>
        <rFont val="Cambria"/>
      </rPr>
      <t>www.teacherNews.in</t>
    </r>
  </si>
  <si>
    <t>Executive Engineer,TGP Division No.1</t>
  </si>
  <si>
    <t>Velgode</t>
  </si>
  <si>
    <t>N.C.Subbarayudu</t>
  </si>
  <si>
    <t/>
  </si>
  <si>
    <t>SEL for 15 days</t>
  </si>
  <si>
    <t>pay fixation Arrears</t>
  </si>
  <si>
    <t>July DA - 1 M</t>
  </si>
  <si>
    <t>A.Nagesh</t>
  </si>
  <si>
    <t>Deputy Executive Engineer</t>
  </si>
  <si>
    <t>DA - 1 (1,2,3)</t>
  </si>
  <si>
    <t>DA - 2 (1,2,3)</t>
  </si>
</sst>
</file>

<file path=xl/styles.xml><?xml version="1.0" encoding="utf-8"?>
<styleSheet xmlns="http://schemas.openxmlformats.org/spreadsheetml/2006/main">
  <numFmts count="18">
    <numFmt numFmtId="41" formatCode="_(* #,##0_);_(* \(#,##0\);_(* &quot;-&quot;_);_(@_)"/>
    <numFmt numFmtId="43" formatCode="_(* #,##0.00_);_(* \(#,##0.00\);_(* &quot;-&quot;??_);_(@_)"/>
    <numFmt numFmtId="164" formatCode="0_)"/>
    <numFmt numFmtId="165" formatCode="[$-409]mmm\-yy;@"/>
    <numFmt numFmtId="166" formatCode="mmm\-yy;@"/>
    <numFmt numFmtId="167" formatCode="0.000%"/>
    <numFmt numFmtId="168" formatCode="[$-409]mmm/yy;@"/>
    <numFmt numFmtId="169" formatCode="_(* #,##0_);_(* \(#,##0\);_(* \-_);_(@_)"/>
    <numFmt numFmtId="170" formatCode="m/d/yy;@"/>
    <numFmt numFmtId="171" formatCode="&quot;Rs.&quot;\ #,##0"/>
    <numFmt numFmtId="172" formatCode="#,##0\ ;&quot; (&quot;#,##0\);&quot; -&quot;#\ ;@\ "/>
    <numFmt numFmtId="173" formatCode="_(* #,##0_);_(* \(#,##0\);_(* &quot;-&quot;??_);_(@_)"/>
    <numFmt numFmtId="174" formatCode="#,##0;[Red]#,##0"/>
    <numFmt numFmtId="175" formatCode="d\-mmm\-yyyy;@"/>
    <numFmt numFmtId="176" formatCode="[$-409]d\-mmm\-yyyy;@"/>
    <numFmt numFmtId="177" formatCode="[$-409]d\-mmm\-yy;@"/>
    <numFmt numFmtId="178" formatCode="[$-409]dd\-mmm\-yy;@"/>
    <numFmt numFmtId="179" formatCode="mmm"/>
  </numFmts>
  <fonts count="347">
    <font>
      <sz val="10"/>
      <name val="Arial"/>
    </font>
    <font>
      <sz val="10"/>
      <name val="Arial"/>
    </font>
    <font>
      <b/>
      <sz val="22"/>
      <color indexed="12"/>
      <name val="Arial"/>
    </font>
    <font>
      <sz val="10"/>
      <color indexed="12"/>
      <name val="Arial"/>
    </font>
    <font>
      <sz val="10"/>
      <color indexed="15"/>
      <name val="Arial"/>
    </font>
    <font>
      <sz val="14"/>
      <color rgb="FFFF0000"/>
      <name val="Cambria"/>
    </font>
    <font>
      <b/>
      <sz val="16"/>
      <name val="Cambria"/>
    </font>
    <font>
      <sz val="9"/>
      <name val="Arial"/>
    </font>
    <font>
      <b/>
      <sz val="10"/>
      <name val="Arial"/>
    </font>
    <font>
      <u/>
      <sz val="10"/>
      <color indexed="12"/>
      <name val="Arial"/>
      <charset val="1"/>
    </font>
    <font>
      <sz val="10"/>
      <color rgb="FF3366FF"/>
      <name val="Arial"/>
    </font>
    <font>
      <u/>
      <sz val="10"/>
      <color rgb="FF0000FF"/>
      <name val="Arial"/>
    </font>
    <font>
      <b/>
      <u/>
      <sz val="10"/>
      <color rgb="FFFF0000"/>
      <name val="Arial"/>
    </font>
    <font>
      <sz val="10"/>
      <color rgb="FF3333FF"/>
      <name val="Arial"/>
    </font>
    <font>
      <b/>
      <sz val="14"/>
      <color rgb="FF0000FF"/>
      <name val="Cambria"/>
    </font>
    <font>
      <b/>
      <sz val="9"/>
      <name val="Cambria"/>
    </font>
    <font>
      <b/>
      <sz val="12"/>
      <color rgb="FFFF0000"/>
      <name val="Cambria"/>
    </font>
    <font>
      <b/>
      <sz val="9"/>
      <name val="Arial"/>
    </font>
    <font>
      <b/>
      <sz val="9"/>
      <color rgb="FF0000CC"/>
      <name val="Arial"/>
    </font>
    <font>
      <b/>
      <sz val="12"/>
      <name val="Arial"/>
    </font>
    <font>
      <b/>
      <sz val="10"/>
      <color rgb="FF000000"/>
      <name val="Cambria"/>
    </font>
    <font>
      <b/>
      <sz val="9"/>
      <color indexed="12"/>
      <name val="Arial"/>
    </font>
    <font>
      <b/>
      <sz val="11"/>
      <color rgb="FFFF0000"/>
      <name val="Arial"/>
    </font>
    <font>
      <b/>
      <sz val="10"/>
      <color rgb="FFFF0000"/>
      <name val="Arial"/>
    </font>
    <font>
      <b/>
      <sz val="9"/>
      <color rgb="FFFF0000"/>
      <name val="Arial"/>
    </font>
    <font>
      <b/>
      <u/>
      <sz val="9"/>
      <name val="Arial"/>
    </font>
    <font>
      <b/>
      <sz val="9"/>
      <color indexed="21"/>
      <name val="Arial"/>
    </font>
    <font>
      <b/>
      <u/>
      <sz val="9"/>
      <color indexed="12"/>
      <name val="Arial"/>
    </font>
    <font>
      <b/>
      <sz val="12"/>
      <color rgb="FF7030A0"/>
      <name val="Arial"/>
    </font>
    <font>
      <b/>
      <u/>
      <sz val="12"/>
      <color indexed="10"/>
      <name val="Arial"/>
    </font>
    <font>
      <b/>
      <sz val="10"/>
      <color indexed="10"/>
      <name val="Arial"/>
    </font>
    <font>
      <b/>
      <sz val="9"/>
      <color indexed="14"/>
      <name val="Arial"/>
    </font>
    <font>
      <sz val="10"/>
      <color rgb="FF0000FF"/>
      <name val="Arial"/>
    </font>
    <font>
      <b/>
      <sz val="11"/>
      <color indexed="8"/>
      <name val="Times New Roman"/>
    </font>
    <font>
      <b/>
      <sz val="11"/>
      <name val="Times New Roman"/>
    </font>
    <font>
      <b/>
      <sz val="10"/>
      <name val="Cambria"/>
    </font>
    <font>
      <sz val="10"/>
      <color indexed="8"/>
      <name val="Cambria"/>
    </font>
    <font>
      <b/>
      <sz val="11"/>
      <color rgb="FF002060"/>
      <name val="Tahoma"/>
    </font>
    <font>
      <b/>
      <u/>
      <sz val="11"/>
      <color rgb="FF00FF00"/>
      <name val="Tahoma"/>
    </font>
    <font>
      <b/>
      <sz val="12"/>
      <color rgb="FF00FF00"/>
      <name val="Cambria"/>
    </font>
    <font>
      <sz val="16"/>
      <color rgb="FFFFFF00"/>
      <name val="Cambria"/>
    </font>
    <font>
      <b/>
      <sz val="14"/>
      <color rgb="FF0000FF"/>
      <name val="Cambria"/>
    </font>
    <font>
      <sz val="14"/>
      <color rgb="FFFFFF00"/>
      <name val="Cambria"/>
    </font>
    <font>
      <b/>
      <sz val="10"/>
      <color rgb="FFFFFFFF"/>
      <name val="Cambria"/>
    </font>
    <font>
      <b/>
      <sz val="10"/>
      <color rgb="FFFFFF00"/>
      <name val="Cambria"/>
    </font>
    <font>
      <b/>
      <sz val="12"/>
      <color indexed="8"/>
      <name val="Times New Roman"/>
    </font>
    <font>
      <b/>
      <sz val="14"/>
      <color rgb="FFFF0000"/>
      <name val="Cambria"/>
    </font>
    <font>
      <b/>
      <sz val="16"/>
      <color rgb="FFFFFFFF"/>
      <name val="Cambria"/>
    </font>
    <font>
      <b/>
      <sz val="9"/>
      <color rgb="FFFFFF00"/>
      <name val="Cambria"/>
    </font>
    <font>
      <b/>
      <sz val="18"/>
      <color rgb="FFFFFFFF"/>
      <name val="Times New Roman"/>
    </font>
    <font>
      <b/>
      <sz val="11"/>
      <color rgb="FF0000FF"/>
      <name val="Cambria"/>
    </font>
    <font>
      <b/>
      <sz val="10"/>
      <color rgb="FF0000FF"/>
      <name val="Cambria"/>
    </font>
    <font>
      <sz val="14"/>
      <color rgb="FF002060"/>
      <name val="Times New Roman"/>
    </font>
    <font>
      <b/>
      <sz val="14"/>
      <color indexed="8"/>
      <name val="Times New Roman"/>
    </font>
    <font>
      <b/>
      <sz val="10"/>
      <color rgb="FF00FF00"/>
      <name val="Tahoma"/>
    </font>
    <font>
      <b/>
      <sz val="11"/>
      <color indexed="10"/>
      <name val="Times New Roman"/>
    </font>
    <font>
      <b/>
      <sz val="10"/>
      <color rgb="FFFFFFFF"/>
      <name val="Tahoma"/>
    </font>
    <font>
      <b/>
      <sz val="14"/>
      <color rgb="FF00FF00"/>
      <name val="Cambria"/>
    </font>
    <font>
      <b/>
      <sz val="14"/>
      <color indexed="56"/>
      <name val="Times New Roman"/>
    </font>
    <font>
      <b/>
      <sz val="10"/>
      <color rgb="FF00FF00"/>
      <name val="Cambria"/>
    </font>
    <font>
      <b/>
      <sz val="10"/>
      <color rgb="FFFF0000"/>
      <name val="Cambria"/>
    </font>
    <font>
      <b/>
      <sz val="11"/>
      <color rgb="FFFFFFFF"/>
      <name val="Times New Roman"/>
    </font>
    <font>
      <b/>
      <sz val="11"/>
      <color rgb="FF0000FF"/>
      <name val="Times New Roman"/>
    </font>
    <font>
      <sz val="11"/>
      <color rgb="FFFFFF00"/>
      <name val="Cambria"/>
    </font>
    <font>
      <sz val="11"/>
      <color rgb="FFFFFFFF"/>
      <name val="Cambria"/>
    </font>
    <font>
      <b/>
      <sz val="11"/>
      <color rgb="FFFF0000"/>
      <name val="Times New Roman"/>
    </font>
    <font>
      <b/>
      <sz val="9"/>
      <color rgb="FFFFFFFF"/>
      <name val="Cambria"/>
    </font>
    <font>
      <b/>
      <sz val="9"/>
      <color rgb="FF0000FF"/>
      <name val="Cambria"/>
    </font>
    <font>
      <b/>
      <sz val="11"/>
      <color rgb="FFFFFF00"/>
      <name val="Cambria"/>
    </font>
    <font>
      <b/>
      <sz val="11"/>
      <color rgb="FF00FF00"/>
      <name val="Cambria"/>
    </font>
    <font>
      <b/>
      <sz val="10"/>
      <color rgb="FFFFFF00"/>
      <name val="Times New Roman"/>
    </font>
    <font>
      <b/>
      <sz val="10"/>
      <color rgb="FFFFFFFF"/>
      <name val="Times New Roman"/>
    </font>
    <font>
      <b/>
      <sz val="9"/>
      <name val="Times New Roman"/>
    </font>
    <font>
      <b/>
      <sz val="13"/>
      <color rgb="FF0000FF"/>
      <name val="Cambria"/>
    </font>
    <font>
      <b/>
      <sz val="9"/>
      <color indexed="8"/>
      <name val="Times New Roman"/>
    </font>
    <font>
      <b/>
      <sz val="9"/>
      <color rgb="FFFFFFFF"/>
      <name val="Cambria"/>
    </font>
    <font>
      <b/>
      <sz val="9"/>
      <color rgb="FF0000FF"/>
      <name val="Times New Roman"/>
    </font>
    <font>
      <b/>
      <sz val="9"/>
      <color rgb="FF00FF00"/>
      <name val="Cambria"/>
    </font>
    <font>
      <sz val="9"/>
      <color rgb="FFFFFFFF"/>
      <name val="Cambria"/>
    </font>
    <font>
      <b/>
      <sz val="9"/>
      <color rgb="FFFFFF00"/>
      <name val="Cambria"/>
    </font>
    <font>
      <b/>
      <sz val="10"/>
      <color rgb="FF0000FF"/>
      <name val="Times New Roman"/>
    </font>
    <font>
      <sz val="9"/>
      <color rgb="FFFFFF00"/>
      <name val="Cambria"/>
    </font>
    <font>
      <b/>
      <sz val="8"/>
      <color rgb="FFFFFFFF"/>
      <name val="Cambria"/>
    </font>
    <font>
      <b/>
      <sz val="8"/>
      <color rgb="FFFFFFFF"/>
      <name val="Cambria"/>
    </font>
    <font>
      <b/>
      <sz val="10"/>
      <color rgb="FFC6D9F0"/>
      <name val="Cambria"/>
    </font>
    <font>
      <b/>
      <sz val="10"/>
      <color rgb="FF33CCFF"/>
      <name val="Cambria"/>
    </font>
    <font>
      <b/>
      <sz val="11"/>
      <color rgb="FFC6D9F0"/>
      <name val="Times New Roman"/>
    </font>
    <font>
      <b/>
      <sz val="9"/>
      <color rgb="FFFFFF00"/>
      <name val="Tahoma"/>
    </font>
    <font>
      <b/>
      <sz val="10"/>
      <color rgb="FF66FF33"/>
      <name val="Cambria"/>
    </font>
    <font>
      <b/>
      <sz val="14"/>
      <color rgb="FF003366"/>
      <name val="Times New Roman"/>
    </font>
    <font>
      <b/>
      <sz val="12"/>
      <color rgb="FFFF0000"/>
      <name val="Times New Roman"/>
    </font>
    <font>
      <b/>
      <sz val="12"/>
      <color rgb="FFFFFFFF"/>
      <name val="Times New Roman"/>
    </font>
    <font>
      <sz val="9"/>
      <color rgb="FFFFFFFF"/>
      <name val="Cambria"/>
    </font>
    <font>
      <b/>
      <sz val="9"/>
      <color indexed="9"/>
      <name val="Cambria"/>
    </font>
    <font>
      <b/>
      <sz val="8"/>
      <color rgb="FFFFFFFF"/>
      <name val="Times New Roman"/>
    </font>
    <font>
      <b/>
      <sz val="9"/>
      <color indexed="13"/>
      <name val="Cambria"/>
    </font>
    <font>
      <b/>
      <sz val="11"/>
      <color rgb="FF00B0F0"/>
      <name val="Times New Roman"/>
    </font>
    <font>
      <b/>
      <sz val="12"/>
      <color rgb="FF0000FF"/>
      <name val="Times New Roman"/>
    </font>
    <font>
      <b/>
      <sz val="8"/>
      <color rgb="FFFFFFFF"/>
      <name val="Cambria"/>
    </font>
    <font>
      <b/>
      <sz val="14"/>
      <name val="Times New Roman"/>
    </font>
    <font>
      <b/>
      <sz val="11"/>
      <color rgb="FFFFFF00"/>
      <name val="Tahoma"/>
    </font>
    <font>
      <b/>
      <sz val="11"/>
      <color rgb="FF0000FF"/>
      <name val="Tahoma"/>
    </font>
    <font>
      <sz val="9"/>
      <name val="Tahoma"/>
    </font>
    <font>
      <b/>
      <sz val="9"/>
      <color rgb="FFFFFF66"/>
      <name val="Cambria"/>
    </font>
    <font>
      <b/>
      <sz val="11"/>
      <color rgb="FFFFFFFF"/>
      <name val="Cambria"/>
    </font>
    <font>
      <b/>
      <sz val="12"/>
      <color rgb="FFFFFF00"/>
      <name val="Arial"/>
    </font>
    <font>
      <b/>
      <sz val="11"/>
      <color rgb="FFFFFF66"/>
      <name val="Cambria"/>
    </font>
    <font>
      <b/>
      <sz val="10"/>
      <color rgb="FFFFFF66"/>
      <name val="Cambria"/>
    </font>
    <font>
      <b/>
      <sz val="10"/>
      <color rgb="FFFABF8F"/>
      <name val="Cambria"/>
    </font>
    <font>
      <b/>
      <sz val="11"/>
      <color rgb="FFFABF8F"/>
      <name val="Times New Roman"/>
    </font>
    <font>
      <sz val="9"/>
      <color rgb="FFFFFF66"/>
      <name val="Cambria"/>
    </font>
    <font>
      <sz val="9"/>
      <name val="Book Antiqua"/>
    </font>
    <font>
      <b/>
      <sz val="9"/>
      <color rgb="FF00FF00"/>
      <name val="Tahoma"/>
    </font>
    <font>
      <b/>
      <sz val="9"/>
      <color indexed="10"/>
      <name val="Times New Roman"/>
    </font>
    <font>
      <b/>
      <sz val="10"/>
      <color rgb="FFFFFF00"/>
      <name val="Cambria"/>
    </font>
    <font>
      <b/>
      <sz val="12"/>
      <color rgb="FF01BCFF"/>
      <name val="Cambria"/>
    </font>
    <font>
      <sz val="12"/>
      <color rgb="FFFFFF00"/>
      <name val="Tahoma"/>
    </font>
    <font>
      <b/>
      <sz val="12"/>
      <color rgb="FFFFFF00"/>
      <name val="Cambria"/>
    </font>
    <font>
      <b/>
      <sz val="11"/>
      <color rgb="FFFF0000"/>
      <name val="Tahoma"/>
    </font>
    <font>
      <b/>
      <sz val="12"/>
      <color rgb="FFFF0000"/>
      <name val="Tahoma"/>
    </font>
    <font>
      <sz val="14"/>
      <color rgb="FFFFFF00"/>
      <name val="Arial"/>
    </font>
    <font>
      <b/>
      <sz val="14"/>
      <color rgb="FFFFFFFF"/>
      <name val="Tahoma"/>
    </font>
    <font>
      <b/>
      <sz val="11"/>
      <color rgb="FFFFFFFF"/>
      <name val="Tahoma"/>
    </font>
    <font>
      <b/>
      <sz val="11"/>
      <color rgb="FFFFFFFF"/>
      <name val="Cambria"/>
    </font>
    <font>
      <b/>
      <sz val="9"/>
      <color rgb="FFFFFFFF"/>
      <name val="Tahoma"/>
    </font>
    <font>
      <b/>
      <sz val="12"/>
      <color rgb="FFFFFFFF"/>
      <name val="Tahoma"/>
    </font>
    <font>
      <b/>
      <sz val="11"/>
      <color indexed="8"/>
      <name val="Cambria"/>
    </font>
    <font>
      <b/>
      <sz val="9"/>
      <color rgb="FFFFFF00"/>
      <name val="Times New Roman"/>
    </font>
    <font>
      <b/>
      <sz val="11"/>
      <color rgb="FFFFFF00"/>
      <name val="Times New Roman"/>
    </font>
    <font>
      <b/>
      <sz val="12"/>
      <color rgb="FF00FF00"/>
      <name val="Times New Roman"/>
    </font>
    <font>
      <b/>
      <sz val="10"/>
      <color indexed="56"/>
      <name val="Cambria"/>
    </font>
    <font>
      <sz val="12"/>
      <color rgb="FF00FF00"/>
      <name val="Cambria"/>
    </font>
    <font>
      <b/>
      <sz val="14"/>
      <color rgb="FFFFFF00"/>
      <name val="Times New Roman"/>
    </font>
    <font>
      <b/>
      <sz val="14"/>
      <color rgb="FFFFFF66"/>
      <name val="Cambria"/>
    </font>
    <font>
      <b/>
      <sz val="11"/>
      <color rgb="FFFF0000"/>
      <name val="Cambria"/>
    </font>
    <font>
      <b/>
      <sz val="11"/>
      <color rgb="FF00FF00"/>
      <name val="Times New Roman"/>
    </font>
    <font>
      <b/>
      <sz val="12"/>
      <color rgb="FFFFFFFF"/>
      <name val="Cambria"/>
    </font>
    <font>
      <b/>
      <sz val="8"/>
      <color rgb="FFFF0000"/>
      <name val="Times New Roman"/>
    </font>
    <font>
      <b/>
      <sz val="10"/>
      <color indexed="8"/>
      <name val="Times New Roman"/>
    </font>
    <font>
      <b/>
      <sz val="9"/>
      <color indexed="8"/>
      <name val="Cambria"/>
    </font>
    <font>
      <b/>
      <sz val="12"/>
      <name val="Times New Roman"/>
    </font>
    <font>
      <b/>
      <sz val="12"/>
      <color rgb="FFFFFF00"/>
      <name val="Times New Roman"/>
    </font>
    <font>
      <b/>
      <sz val="11"/>
      <name val="Cambria"/>
    </font>
    <font>
      <b/>
      <sz val="10"/>
      <color rgb="FFFF0000"/>
      <name val="Trebuchet MS"/>
    </font>
    <font>
      <sz val="11"/>
      <color indexed="8"/>
      <name val="Times New Roman"/>
    </font>
    <font>
      <sz val="11"/>
      <name val="Times New Roman"/>
    </font>
    <font>
      <sz val="11"/>
      <color rgb="FFFF0000"/>
      <name val="Times New Roman"/>
    </font>
    <font>
      <sz val="10"/>
      <name val="Times New Roman"/>
    </font>
    <font>
      <sz val="10"/>
      <color indexed="8"/>
      <name val="Times New Roman"/>
    </font>
    <font>
      <sz val="9"/>
      <color indexed="8"/>
      <name val="Times New Roman"/>
    </font>
    <font>
      <sz val="11"/>
      <color rgb="FFFFFFFF"/>
      <name val="Times New Roman"/>
    </font>
    <font>
      <sz val="11"/>
      <color rgb="FF0000FF"/>
      <name val="Times New Roman"/>
    </font>
    <font>
      <sz val="11"/>
      <color indexed="58"/>
      <name val="Times New Roman"/>
    </font>
    <font>
      <sz val="10"/>
      <name val="Arial"/>
    </font>
    <font>
      <sz val="10"/>
      <name val="Cambria"/>
    </font>
    <font>
      <sz val="10"/>
      <color rgb="FF000000"/>
      <name val="Cambria"/>
    </font>
    <font>
      <sz val="10"/>
      <name val="Arial"/>
    </font>
    <font>
      <sz val="11"/>
      <color rgb="FFFFFF00"/>
      <name val="Times New Roman"/>
    </font>
    <font>
      <sz val="11"/>
      <color indexed="8"/>
      <name val="Calibri"/>
      <charset val="1"/>
    </font>
    <font>
      <sz val="10"/>
      <color indexed="8"/>
      <name val="Calibri"/>
      <charset val="1"/>
    </font>
    <font>
      <sz val="11"/>
      <color rgb="FFFF0000"/>
      <name val="Calibri"/>
      <charset val="1"/>
    </font>
    <font>
      <sz val="11"/>
      <color rgb="FF0000FF"/>
      <name val="Calibri"/>
      <charset val="1"/>
    </font>
    <font>
      <b/>
      <sz val="14"/>
      <color rgb="FF99FF99"/>
      <name val="Cambria"/>
    </font>
    <font>
      <b/>
      <sz val="12"/>
      <color rgb="FF99FF99"/>
      <name val="Calibri"/>
      <charset val="1"/>
    </font>
    <font>
      <b/>
      <sz val="11"/>
      <color rgb="FFFFFFFF"/>
      <name val="Calibri"/>
      <charset val="1"/>
    </font>
    <font>
      <b/>
      <sz val="12"/>
      <name val="Cambria"/>
    </font>
    <font>
      <b/>
      <sz val="12"/>
      <color indexed="8"/>
      <name val="Cambria"/>
    </font>
    <font>
      <sz val="12"/>
      <color indexed="8"/>
      <name val="Cambria"/>
    </font>
    <font>
      <i/>
      <sz val="11"/>
      <color indexed="8"/>
      <name val="Calibri"/>
    </font>
    <font>
      <sz val="11"/>
      <color indexed="8"/>
      <name val="Cambria"/>
    </font>
    <font>
      <b/>
      <sz val="10"/>
      <color indexed="8"/>
      <name val="Cambria"/>
    </font>
    <font>
      <sz val="9"/>
      <color indexed="8"/>
      <name val="Cambria"/>
    </font>
    <font>
      <sz val="7"/>
      <color indexed="8"/>
      <name val="Cambria"/>
    </font>
    <font>
      <sz val="11"/>
      <color rgb="FFFF0000"/>
      <name val="Cambria"/>
    </font>
    <font>
      <sz val="11"/>
      <color rgb="FF0000FF"/>
      <name val="Cambria"/>
    </font>
    <font>
      <sz val="11"/>
      <color rgb="FF99FF99"/>
      <name val="Calibri"/>
      <charset val="1"/>
    </font>
    <font>
      <sz val="11"/>
      <color rgb="FF000000"/>
      <name val="Calibri"/>
      <charset val="1"/>
    </font>
    <font>
      <sz val="11"/>
      <name val="Calibri"/>
      <charset val="1"/>
    </font>
    <font>
      <b/>
      <sz val="11"/>
      <color rgb="FFFF0000"/>
      <name val="Calibri"/>
    </font>
    <font>
      <b/>
      <sz val="12"/>
      <name val="Calibri"/>
      <charset val="1"/>
    </font>
    <font>
      <b/>
      <sz val="12"/>
      <color rgb="FFFF0000"/>
      <name val="Calibri"/>
      <charset val="1"/>
    </font>
    <font>
      <b/>
      <sz val="11"/>
      <color rgb="FF99FF99"/>
      <name val="Calibri"/>
      <charset val="1"/>
    </font>
    <font>
      <b/>
      <sz val="11"/>
      <color rgb="FFFFFF00"/>
      <name val="Calibri"/>
    </font>
    <font>
      <b/>
      <sz val="11"/>
      <color rgb="FFFF0000"/>
      <name val="Calibri"/>
      <charset val="1"/>
    </font>
    <font>
      <sz val="11"/>
      <color rgb="FF99FF99"/>
      <name val="Times New Roman"/>
    </font>
    <font>
      <sz val="11"/>
      <color rgb="FFFFFFFF"/>
      <name val="Calibri"/>
      <charset val="1"/>
    </font>
    <font>
      <sz val="8"/>
      <color indexed="8"/>
      <name val="Cambria"/>
    </font>
    <font>
      <b/>
      <sz val="14"/>
      <color indexed="8"/>
      <name val="Cambria"/>
    </font>
    <font>
      <sz val="12"/>
      <color indexed="8"/>
      <name val="Calibri"/>
      <charset val="1"/>
    </font>
    <font>
      <sz val="12"/>
      <color rgb="FF99FF99"/>
      <name val="Calibri"/>
      <charset val="1"/>
    </font>
    <font>
      <sz val="12"/>
      <color rgb="FFFF0000"/>
      <name val="Calibri"/>
      <charset val="1"/>
    </font>
    <font>
      <sz val="12"/>
      <color rgb="FF0000FF"/>
      <name val="Calibri"/>
      <charset val="1"/>
    </font>
    <font>
      <b/>
      <sz val="16"/>
      <color rgb="FF00FF00"/>
      <name val="Cambria"/>
    </font>
    <font>
      <b/>
      <sz val="11"/>
      <color indexed="8"/>
      <name val="Cambria"/>
    </font>
    <font>
      <sz val="11"/>
      <color indexed="58"/>
      <name val="Times New Roman"/>
      <charset val="1"/>
    </font>
    <font>
      <b/>
      <sz val="11"/>
      <color indexed="58"/>
      <name val="Times New Roman"/>
    </font>
    <font>
      <b/>
      <sz val="12"/>
      <color indexed="58"/>
      <name val="Cambria"/>
    </font>
    <font>
      <b/>
      <sz val="14"/>
      <color indexed="58"/>
      <name val="Cambria"/>
    </font>
    <font>
      <b/>
      <sz val="10"/>
      <color indexed="58"/>
      <name val="Times New Roman"/>
      <charset val="1"/>
    </font>
    <font>
      <sz val="10"/>
      <color indexed="58"/>
      <name val="Times New Roman"/>
      <charset val="1"/>
    </font>
    <font>
      <b/>
      <sz val="10"/>
      <color indexed="58"/>
      <name val="Times New Roman"/>
    </font>
    <font>
      <b/>
      <sz val="9"/>
      <color indexed="58"/>
      <name val="Times New Roman"/>
    </font>
    <font>
      <b/>
      <sz val="10"/>
      <color indexed="58"/>
      <name val="Cambria"/>
    </font>
    <font>
      <sz val="9"/>
      <color indexed="8"/>
      <name val="Calibri"/>
      <charset val="1"/>
    </font>
    <font>
      <b/>
      <sz val="9"/>
      <color indexed="58"/>
      <name val="Times New Roman"/>
      <charset val="1"/>
    </font>
    <font>
      <sz val="9"/>
      <color indexed="58"/>
      <name val="Arial"/>
    </font>
    <font>
      <sz val="9"/>
      <color rgb="FFC2D69B"/>
      <name val="Calibri"/>
      <charset val="1"/>
    </font>
    <font>
      <b/>
      <sz val="9"/>
      <color rgb="FFFF0000"/>
      <name val="Cambria"/>
    </font>
    <font>
      <sz val="11"/>
      <color indexed="8"/>
      <name val="Calibri"/>
    </font>
    <font>
      <sz val="11"/>
      <color rgb="FFC2D69B"/>
      <name val="Calibri"/>
    </font>
    <font>
      <sz val="11"/>
      <color rgb="FFFF0000"/>
      <name val="Calibri"/>
    </font>
    <font>
      <b/>
      <sz val="9"/>
      <color indexed="8"/>
      <name val="Calibri"/>
      <charset val="1"/>
    </font>
    <font>
      <b/>
      <sz val="9"/>
      <color indexed="58"/>
      <name val="Arial"/>
    </font>
    <font>
      <b/>
      <sz val="11"/>
      <color indexed="8"/>
      <name val="Calibri"/>
    </font>
    <font>
      <b/>
      <sz val="11"/>
      <color rgb="FFC2D69B"/>
      <name val="Calibri"/>
    </font>
    <font>
      <sz val="11"/>
      <color rgb="FF99FF99"/>
      <name val="Calibri"/>
    </font>
    <font>
      <sz val="10"/>
      <color indexed="58"/>
      <name val="Arial"/>
    </font>
    <font>
      <b/>
      <sz val="8"/>
      <color indexed="58"/>
      <name val="Cambria"/>
    </font>
    <font>
      <b/>
      <sz val="9"/>
      <color rgb="FF0000CC"/>
      <name val="Cambria"/>
    </font>
    <font>
      <b/>
      <sz val="10"/>
      <name val="Times New Roman"/>
    </font>
    <font>
      <b/>
      <sz val="10"/>
      <color rgb="FFFF0000"/>
      <name val="Times New Roman"/>
    </font>
    <font>
      <sz val="10"/>
      <color indexed="58"/>
      <name val="Cambria"/>
    </font>
    <font>
      <sz val="9"/>
      <color rgb="FF0000CC"/>
      <name val="Cambria"/>
    </font>
    <font>
      <sz val="10"/>
      <color rgb="FF0000FF"/>
      <name val="Times New Roman"/>
    </font>
    <font>
      <sz val="10"/>
      <color indexed="58"/>
      <name val="Times New Roman"/>
    </font>
    <font>
      <b/>
      <sz val="10"/>
      <name val="Calibri"/>
    </font>
    <font>
      <b/>
      <sz val="10"/>
      <color rgb="FF0000CC"/>
      <name val="Cambria"/>
    </font>
    <font>
      <sz val="9"/>
      <name val="Calibri"/>
      <charset val="1"/>
    </font>
    <font>
      <sz val="9"/>
      <color indexed="58"/>
      <name val="Cambria"/>
    </font>
    <font>
      <sz val="10"/>
      <color rgb="FF0000FF"/>
      <name val="Cambria"/>
    </font>
    <font>
      <sz val="9"/>
      <name val="Cambria"/>
    </font>
    <font>
      <b/>
      <sz val="12"/>
      <color indexed="8"/>
      <name val="Calibri"/>
    </font>
    <font>
      <sz val="11"/>
      <color rgb="FFFFFF00"/>
      <name val="Calibri"/>
      <charset val="1"/>
    </font>
    <font>
      <sz val="11"/>
      <color rgb="FF000000"/>
      <name val="Calibri"/>
      <charset val="1"/>
    </font>
    <font>
      <b/>
      <sz val="11"/>
      <color rgb="FFFF0000"/>
      <name val="Calibri"/>
    </font>
    <font>
      <b/>
      <sz val="9"/>
      <color indexed="58"/>
      <name val="Cambria"/>
    </font>
    <font>
      <b/>
      <sz val="11"/>
      <color indexed="58"/>
      <name val="Cambria"/>
    </font>
    <font>
      <sz val="10"/>
      <name val="Book Antiqua"/>
    </font>
    <font>
      <sz val="10"/>
      <name val="Tahoma"/>
    </font>
    <font>
      <sz val="10"/>
      <color rgb="FF000000"/>
      <name val="Tahoma"/>
    </font>
    <font>
      <b/>
      <sz val="11"/>
      <name val="Calibri"/>
      <charset val="1"/>
    </font>
    <font>
      <b/>
      <sz val="12"/>
      <color rgb="FF0000CC"/>
      <name val="Cambria"/>
    </font>
    <font>
      <b/>
      <sz val="13"/>
      <color indexed="58"/>
      <name val="Cambria"/>
    </font>
    <font>
      <sz val="11"/>
      <color indexed="58"/>
      <name val="Cambria"/>
    </font>
    <font>
      <sz val="11"/>
      <color indexed="8"/>
      <name val="Times New Roman"/>
      <charset val="1"/>
    </font>
    <font>
      <b/>
      <sz val="18"/>
      <name val="Cambria"/>
    </font>
    <font>
      <b/>
      <sz val="9"/>
      <name val="Cambria"/>
    </font>
    <font>
      <sz val="10"/>
      <color indexed="8"/>
      <name val="Times New Roman"/>
      <charset val="1"/>
    </font>
    <font>
      <sz val="8"/>
      <name val="Cambria"/>
    </font>
    <font>
      <sz val="9"/>
      <color rgb="FF000000"/>
      <name val="Cambria"/>
    </font>
    <font>
      <sz val="9"/>
      <color rgb="FF0000FF"/>
      <name val="Cambria"/>
    </font>
    <font>
      <b/>
      <sz val="10"/>
      <color rgb="FF000000"/>
      <name val="Cambria"/>
    </font>
    <font>
      <sz val="10"/>
      <color rgb="FF99FF99"/>
      <name val="Arial"/>
    </font>
    <font>
      <sz val="10"/>
      <color rgb="FFC2D69B"/>
      <name val="Arial"/>
    </font>
    <font>
      <b/>
      <sz val="8"/>
      <color indexed="8"/>
      <name val="Cambria"/>
    </font>
    <font>
      <b/>
      <sz val="8"/>
      <color indexed="10"/>
      <name val="Cambria"/>
    </font>
    <font>
      <sz val="9"/>
      <color indexed="10"/>
      <name val="Cambria"/>
    </font>
    <font>
      <sz val="11"/>
      <name val="Cambria"/>
    </font>
    <font>
      <b/>
      <sz val="10"/>
      <name val="Cambria"/>
    </font>
    <font>
      <b/>
      <sz val="8"/>
      <name val="Cambria"/>
    </font>
    <font>
      <sz val="10"/>
      <color indexed="10"/>
      <name val="Cambria"/>
    </font>
    <font>
      <sz val="12"/>
      <name val="Cambria"/>
    </font>
    <font>
      <sz val="14"/>
      <color rgb="FFFFFFFF"/>
      <name val="Cambria"/>
    </font>
    <font>
      <b/>
      <sz val="16"/>
      <name val="Arial"/>
    </font>
    <font>
      <b/>
      <sz val="10"/>
      <color indexed="8"/>
      <name val="Arial"/>
    </font>
    <font>
      <b/>
      <sz val="11"/>
      <color indexed="8"/>
      <name val="Arial"/>
    </font>
    <font>
      <sz val="10"/>
      <color rgb="FFFF0000"/>
      <name val="Arial"/>
    </font>
    <font>
      <b/>
      <sz val="11"/>
      <color rgb="FF000000"/>
      <name val="Cambria"/>
    </font>
    <font>
      <b/>
      <sz val="11"/>
      <name val="Arial"/>
    </font>
    <font>
      <b/>
      <sz val="10"/>
      <color rgb="FFFFFFFF"/>
      <name val="Cambria"/>
    </font>
    <font>
      <b/>
      <sz val="11"/>
      <color rgb="FF000000"/>
      <name val="Arial"/>
    </font>
    <font>
      <sz val="28"/>
      <color rgb="FF000000"/>
      <name val="Calibri"/>
    </font>
    <font>
      <b/>
      <sz val="10"/>
      <color rgb="FF99FF99"/>
      <name val="Cambria"/>
    </font>
    <font>
      <b/>
      <sz val="14"/>
      <color rgb="FFFFFF00"/>
      <name val="Cambria"/>
    </font>
    <font>
      <b/>
      <sz val="11"/>
      <color rgb="FF000000"/>
      <name val="Arial"/>
    </font>
    <font>
      <b/>
      <u/>
      <sz val="14"/>
      <name val="Arial"/>
    </font>
    <font>
      <b/>
      <sz val="16"/>
      <color rgb="FF000000"/>
      <name val="Calibri"/>
    </font>
    <font>
      <sz val="12"/>
      <name val="Arial"/>
    </font>
    <font>
      <sz val="11"/>
      <color rgb="FF99FF99"/>
      <name val="Cambria"/>
    </font>
    <font>
      <sz val="11"/>
      <color rgb="FF000000"/>
      <name val="Cambria"/>
    </font>
    <font>
      <b/>
      <sz val="14"/>
      <name val="Arial"/>
    </font>
    <font>
      <b/>
      <sz val="12"/>
      <color rgb="FFFFFF00"/>
      <name val="Cambria"/>
    </font>
    <font>
      <b/>
      <sz val="11"/>
      <color rgb="FFFFFF00"/>
      <name val="Cambria"/>
    </font>
    <font>
      <b/>
      <u/>
      <sz val="14"/>
      <color rgb="FFFFFF00"/>
      <name val="Cambria"/>
    </font>
    <font>
      <b/>
      <sz val="12"/>
      <color rgb="FF000000"/>
      <name val="Cambria"/>
    </font>
    <font>
      <b/>
      <sz val="14"/>
      <color rgb="FF66FF66"/>
      <name val="Cambria"/>
    </font>
    <font>
      <b/>
      <u/>
      <sz val="18"/>
      <color rgb="FFFFFF00"/>
      <name val="Cambria"/>
    </font>
    <font>
      <sz val="10"/>
      <color rgb="FFFFFFFF"/>
      <name val="Arial"/>
    </font>
    <font>
      <b/>
      <sz val="14"/>
      <name val="Cambria"/>
    </font>
    <font>
      <sz val="14"/>
      <color rgb="FFFF0000"/>
      <name val="Cambria"/>
    </font>
    <font>
      <sz val="14"/>
      <color indexed="8"/>
      <name val="Cambria"/>
    </font>
    <font>
      <sz val="12"/>
      <name val="Times New Roman"/>
      <charset val="1"/>
    </font>
    <font>
      <b/>
      <sz val="9"/>
      <color indexed="8"/>
      <name val="Calibri"/>
    </font>
    <font>
      <sz val="9"/>
      <name val="Times New Roman"/>
      <charset val="1"/>
    </font>
    <font>
      <sz val="11"/>
      <color rgb="FF9C0006"/>
      <name val="Calibri"/>
    </font>
    <font>
      <b/>
      <sz val="9"/>
      <name val="Rupee Foradian Standard"/>
    </font>
    <font>
      <b/>
      <u/>
      <sz val="11"/>
      <color indexed="10"/>
      <name val="Arial"/>
    </font>
    <font>
      <b/>
      <sz val="11"/>
      <color indexed="10"/>
      <name val="Arial"/>
    </font>
    <font>
      <sz val="10"/>
      <name val="Rupee Foradian Standard"/>
    </font>
    <font>
      <sz val="10"/>
      <color indexed="48"/>
      <name val="Arial"/>
    </font>
    <font>
      <b/>
      <u/>
      <sz val="10"/>
      <color indexed="10"/>
      <name val="Arial"/>
    </font>
    <font>
      <b/>
      <sz val="9"/>
      <color indexed="48"/>
      <name val="Arial"/>
    </font>
    <font>
      <b/>
      <u/>
      <sz val="9"/>
      <color indexed="10"/>
      <name val="Arial"/>
    </font>
    <font>
      <b/>
      <sz val="9"/>
      <color indexed="10"/>
      <name val="Arial"/>
    </font>
    <font>
      <sz val="9"/>
      <color indexed="57"/>
      <name val="Arial"/>
    </font>
    <font>
      <sz val="9"/>
      <color indexed="12"/>
      <name val="Arial"/>
    </font>
    <font>
      <sz val="9"/>
      <color indexed="10"/>
      <name val="Arial"/>
    </font>
    <font>
      <b/>
      <u/>
      <sz val="10"/>
      <color indexed="12"/>
      <name val="Arial"/>
    </font>
    <font>
      <sz val="9"/>
      <name val="Rupee Foradian Standard"/>
    </font>
    <font>
      <b/>
      <u/>
      <sz val="12"/>
      <color indexed="61"/>
      <name val="Arial"/>
    </font>
    <font>
      <b/>
      <sz val="10"/>
      <color indexed="12"/>
      <name val="Arial"/>
    </font>
    <font>
      <u/>
      <sz val="10"/>
      <color indexed="12"/>
      <name val="Arial"/>
    </font>
    <font>
      <b/>
      <u/>
      <sz val="10"/>
      <name val="Arial"/>
    </font>
    <font>
      <sz val="10"/>
      <color indexed="10"/>
      <name val="Arial"/>
    </font>
    <font>
      <sz val="10"/>
      <color indexed="10"/>
      <name val="Rupee Foradian Standard"/>
    </font>
    <font>
      <b/>
      <sz val="9"/>
      <color indexed="12"/>
      <name val="Cambria"/>
    </font>
    <font>
      <sz val="14"/>
      <color indexed="30"/>
      <name val="Cambria"/>
    </font>
    <font>
      <b/>
      <sz val="14"/>
      <color indexed="30"/>
      <name val="Cambria"/>
    </font>
    <font>
      <b/>
      <sz val="12"/>
      <color indexed="12"/>
      <name val="Arial"/>
    </font>
    <font>
      <sz val="9"/>
      <color indexed="10"/>
      <name val="Rupee Foradian Standard"/>
    </font>
    <font>
      <sz val="9"/>
      <color indexed="57"/>
      <name val="Rupee Foradian Standard"/>
    </font>
    <font>
      <b/>
      <sz val="14"/>
      <color indexed="10"/>
      <name val="Cambria"/>
    </font>
    <font>
      <b/>
      <sz val="14"/>
      <color indexed="17"/>
      <name val="Cambria"/>
    </font>
    <font>
      <b/>
      <sz val="9"/>
      <color indexed="17"/>
      <name val="Arial"/>
    </font>
    <font>
      <b/>
      <sz val="8"/>
      <color indexed="13"/>
      <name val="Cambria"/>
    </font>
    <font>
      <b/>
      <sz val="8"/>
      <color indexed="9"/>
      <name val="Cambria"/>
    </font>
    <font>
      <b/>
      <sz val="12"/>
      <color indexed="9"/>
      <name val="Cambria"/>
    </font>
    <font>
      <b/>
      <sz val="12"/>
      <color indexed="13"/>
      <name val="Cambria"/>
    </font>
    <font>
      <b/>
      <sz val="10"/>
      <color indexed="11"/>
      <name val="Cambria"/>
    </font>
    <font>
      <b/>
      <sz val="11"/>
      <color indexed="9"/>
      <name val="Cambria"/>
    </font>
    <font>
      <b/>
      <u/>
      <sz val="10"/>
      <color indexed="11"/>
      <name val="Cambria"/>
    </font>
    <font>
      <b/>
      <sz val="10"/>
      <color indexed="11"/>
      <name val="Trebuchet MS"/>
    </font>
    <font>
      <b/>
      <sz val="10"/>
      <color indexed="9"/>
      <name val="Trebuchet MS"/>
    </font>
    <font>
      <b/>
      <sz val="11"/>
      <color indexed="13"/>
      <name val="Cambria"/>
    </font>
    <font>
      <b/>
      <i/>
      <sz val="12"/>
      <color indexed="9"/>
      <name val="Cambria"/>
    </font>
    <font>
      <b/>
      <u/>
      <sz val="14"/>
      <color indexed="11"/>
      <name val="Cambria"/>
    </font>
    <font>
      <b/>
      <u/>
      <sz val="12"/>
      <color indexed="9"/>
      <name val="Cambria"/>
    </font>
    <font>
      <b/>
      <u/>
      <sz val="12"/>
      <color indexed="11"/>
      <name val="Cambria"/>
    </font>
    <font>
      <b/>
      <sz val="11"/>
      <color indexed="11"/>
      <name val="Tahoma"/>
    </font>
    <font>
      <b/>
      <sz val="10"/>
      <color indexed="48"/>
      <name val="Arial"/>
    </font>
    <font>
      <b/>
      <sz val="10"/>
      <color indexed="13"/>
      <name val="Cambria"/>
    </font>
    <font>
      <b/>
      <sz val="10"/>
      <color indexed="9"/>
      <name val="Cambria"/>
    </font>
    <font>
      <sz val="9"/>
      <color indexed="13"/>
      <name val="Cambria"/>
    </font>
    <font>
      <b/>
      <sz val="9"/>
      <color indexed="53"/>
      <name val="Cambria"/>
    </font>
    <font>
      <b/>
      <sz val="12"/>
      <color indexed="10"/>
      <name val="Cambria"/>
    </font>
    <font>
      <b/>
      <sz val="9"/>
      <color indexed="81"/>
      <name val="Tahoma"/>
      <family val="2"/>
    </font>
    <font>
      <sz val="9"/>
      <color indexed="81"/>
      <name val="Tahoma"/>
      <family val="2"/>
    </font>
  </fonts>
  <fills count="79">
    <fill>
      <patternFill patternType="none"/>
    </fill>
    <fill>
      <patternFill patternType="gray125"/>
    </fill>
    <fill>
      <patternFill patternType="solid">
        <fgColor rgb="FFD6E3BC"/>
        <bgColor indexed="64"/>
      </patternFill>
    </fill>
    <fill>
      <patternFill patternType="solid">
        <fgColor rgb="FFFFFFCC"/>
        <bgColor indexed="22"/>
      </patternFill>
    </fill>
    <fill>
      <patternFill patternType="solid">
        <fgColor rgb="FF99FFCC"/>
        <bgColor indexed="22"/>
      </patternFill>
    </fill>
    <fill>
      <patternFill patternType="solid">
        <fgColor rgb="FFC2D69B"/>
        <bgColor indexed="40"/>
      </patternFill>
    </fill>
    <fill>
      <patternFill patternType="solid">
        <fgColor rgb="FFDBEEF3"/>
        <bgColor indexed="64"/>
      </patternFill>
    </fill>
    <fill>
      <patternFill patternType="solid">
        <fgColor rgb="FFFABF8F"/>
        <bgColor indexed="34"/>
      </patternFill>
    </fill>
    <fill>
      <patternFill patternType="solid">
        <fgColor rgb="FFFFFFCC"/>
        <bgColor indexed="34"/>
      </patternFill>
    </fill>
    <fill>
      <patternFill patternType="solid">
        <fgColor rgb="FFFABF8F"/>
        <bgColor indexed="27"/>
      </patternFill>
    </fill>
    <fill>
      <patternFill patternType="solid">
        <fgColor rgb="FFE5DFEC"/>
        <bgColor indexed="27"/>
      </patternFill>
    </fill>
    <fill>
      <patternFill patternType="solid">
        <fgColor rgb="FFFFFFCC"/>
        <bgColor indexed="27"/>
      </patternFill>
    </fill>
    <fill>
      <patternFill patternType="solid">
        <fgColor rgb="FFEAF1DD"/>
        <bgColor indexed="27"/>
      </patternFill>
    </fill>
    <fill>
      <patternFill patternType="solid">
        <fgColor rgb="FFFFFFCC"/>
        <bgColor indexed="41"/>
      </patternFill>
    </fill>
    <fill>
      <patternFill patternType="solid">
        <fgColor indexed="9"/>
        <bgColor indexed="26"/>
      </patternFill>
    </fill>
    <fill>
      <patternFill patternType="solid">
        <fgColor indexed="65"/>
        <bgColor indexed="64"/>
      </patternFill>
    </fill>
    <fill>
      <patternFill patternType="solid">
        <fgColor indexed="27"/>
        <bgColor indexed="41"/>
      </patternFill>
    </fill>
    <fill>
      <patternFill patternType="solid">
        <fgColor indexed="42"/>
        <bgColor indexed="27"/>
      </patternFill>
    </fill>
    <fill>
      <patternFill patternType="solid">
        <fgColor rgb="FF99FF99"/>
        <bgColor indexed="64"/>
      </patternFill>
    </fill>
    <fill>
      <patternFill patternType="solid">
        <fgColor rgb="FF000000"/>
        <bgColor indexed="27"/>
      </patternFill>
    </fill>
    <fill>
      <patternFill patternType="solid">
        <fgColor rgb="FF99FF99"/>
        <bgColor indexed="27"/>
      </patternFill>
    </fill>
    <fill>
      <patternFill patternType="solid">
        <fgColor rgb="FF000000"/>
        <bgColor indexed="64"/>
      </patternFill>
    </fill>
    <fill>
      <patternFill patternType="solid">
        <fgColor rgb="FFFFFF66"/>
        <bgColor indexed="64"/>
      </patternFill>
    </fill>
    <fill>
      <patternFill patternType="solid">
        <fgColor rgb="FFFFFF66"/>
        <bgColor indexed="47"/>
      </patternFill>
    </fill>
    <fill>
      <patternFill patternType="solid">
        <fgColor rgb="FF000000"/>
        <bgColor indexed="47"/>
      </patternFill>
    </fill>
    <fill>
      <patternFill patternType="solid">
        <fgColor rgb="FFFFFF66"/>
        <bgColor indexed="16"/>
      </patternFill>
    </fill>
    <fill>
      <patternFill patternType="solid">
        <fgColor rgb="FF254061"/>
        <bgColor indexed="27"/>
      </patternFill>
    </fill>
    <fill>
      <patternFill patternType="solid">
        <fgColor rgb="FF254061"/>
        <bgColor indexed="64"/>
      </patternFill>
    </fill>
    <fill>
      <patternFill patternType="solid">
        <fgColor rgb="FF99FF99"/>
        <bgColor indexed="16"/>
      </patternFill>
    </fill>
    <fill>
      <patternFill patternType="solid">
        <fgColor rgb="FF000000"/>
        <bgColor indexed="16"/>
      </patternFill>
    </fill>
    <fill>
      <patternFill patternType="solid">
        <fgColor rgb="FFFFFF00"/>
        <bgColor indexed="16"/>
      </patternFill>
    </fill>
    <fill>
      <patternFill patternType="solid">
        <fgColor rgb="FFFFFF66"/>
        <bgColor indexed="50"/>
      </patternFill>
    </fill>
    <fill>
      <patternFill patternType="solid">
        <fgColor rgb="FF254061"/>
        <bgColor indexed="26"/>
      </patternFill>
    </fill>
    <fill>
      <patternFill patternType="solid">
        <fgColor rgb="FF000000"/>
        <bgColor indexed="45"/>
      </patternFill>
    </fill>
    <fill>
      <patternFill patternType="solid">
        <fgColor rgb="FFFFFF66"/>
        <bgColor indexed="27"/>
      </patternFill>
    </fill>
    <fill>
      <patternFill patternType="solid">
        <fgColor rgb="FF254061"/>
        <bgColor indexed="46"/>
      </patternFill>
    </fill>
    <fill>
      <patternFill patternType="solid">
        <fgColor rgb="FFBFBFBF"/>
        <bgColor indexed="27"/>
      </patternFill>
    </fill>
    <fill>
      <patternFill patternType="solid">
        <fgColor rgb="FF244062"/>
        <bgColor indexed="46"/>
      </patternFill>
    </fill>
    <fill>
      <patternFill patternType="solid">
        <fgColor rgb="FF254061"/>
        <bgColor indexed="34"/>
      </patternFill>
    </fill>
    <fill>
      <patternFill patternType="solid">
        <fgColor rgb="FFFFFFFF"/>
        <bgColor rgb="FFEBF1DE"/>
      </patternFill>
    </fill>
    <fill>
      <patternFill patternType="solid">
        <fgColor rgb="FFFFFFFF"/>
        <bgColor indexed="64"/>
      </patternFill>
    </fill>
    <fill>
      <patternFill patternType="solid">
        <fgColor rgb="FFFFFF66"/>
        <bgColor indexed="45"/>
      </patternFill>
    </fill>
    <fill>
      <patternFill patternType="solid">
        <fgColor rgb="FF99FF99"/>
        <bgColor indexed="45"/>
      </patternFill>
    </fill>
    <fill>
      <patternFill patternType="solid">
        <fgColor rgb="FFFFFF00"/>
        <bgColor indexed="64"/>
      </patternFill>
    </fill>
    <fill>
      <patternFill patternType="solid">
        <fgColor rgb="FFFFFFFF"/>
        <bgColor indexed="26"/>
      </patternFill>
    </fill>
    <fill>
      <patternFill patternType="solid">
        <fgColor rgb="FFBFBFBF"/>
        <bgColor indexed="64"/>
      </patternFill>
    </fill>
    <fill>
      <patternFill patternType="solid">
        <fgColor rgb="FFBFBFBF"/>
        <bgColor indexed="41"/>
      </patternFill>
    </fill>
    <fill>
      <patternFill patternType="solid">
        <fgColor rgb="FF244062"/>
        <bgColor indexed="27"/>
      </patternFill>
    </fill>
    <fill>
      <patternFill patternType="solid">
        <fgColor rgb="FFFFFFFF"/>
        <bgColor indexed="27"/>
      </patternFill>
    </fill>
    <fill>
      <patternFill patternType="solid">
        <fgColor rgb="FF244062"/>
        <bgColor indexed="64"/>
      </patternFill>
    </fill>
    <fill>
      <patternFill patternType="solid">
        <fgColor indexed="43"/>
        <bgColor indexed="47"/>
      </patternFill>
    </fill>
    <fill>
      <patternFill patternType="solid">
        <fgColor rgb="FFBFBFBF"/>
        <bgColor indexed="46"/>
      </patternFill>
    </fill>
    <fill>
      <patternFill patternType="solid">
        <fgColor rgb="FFFFFF00"/>
        <bgColor indexed="46"/>
      </patternFill>
    </fill>
    <fill>
      <patternFill patternType="solid">
        <fgColor rgb="FFBFBFBF"/>
        <bgColor indexed="26"/>
      </patternFill>
    </fill>
    <fill>
      <patternFill patternType="solid">
        <fgColor rgb="FFFFFF00"/>
        <bgColor indexed="13"/>
      </patternFill>
    </fill>
    <fill>
      <patternFill patternType="solid">
        <fgColor rgb="FFBFBFBF"/>
        <bgColor indexed="13"/>
      </patternFill>
    </fill>
    <fill>
      <patternFill patternType="solid">
        <fgColor rgb="FFFFFF66"/>
        <bgColor indexed="23"/>
      </patternFill>
    </fill>
    <fill>
      <patternFill patternType="solid">
        <fgColor rgb="FFFF0000"/>
        <bgColor indexed="64"/>
      </patternFill>
    </fill>
    <fill>
      <patternFill patternType="solid">
        <fgColor rgb="FFD8D8D8"/>
        <bgColor indexed="64"/>
      </patternFill>
    </fill>
    <fill>
      <patternFill patternType="solid">
        <fgColor rgb="FF99FF99"/>
        <bgColor indexed="46"/>
      </patternFill>
    </fill>
    <fill>
      <patternFill patternType="solid">
        <fgColor indexed="10"/>
        <bgColor indexed="16"/>
      </patternFill>
    </fill>
    <fill>
      <patternFill patternType="solid">
        <fgColor indexed="13"/>
        <bgColor indexed="34"/>
      </patternFill>
    </fill>
    <fill>
      <patternFill patternType="solid">
        <fgColor indexed="16"/>
        <bgColor indexed="10"/>
      </patternFill>
    </fill>
    <fill>
      <patternFill patternType="solid">
        <fgColor rgb="FFFFC000"/>
        <bgColor indexed="64"/>
      </patternFill>
    </fill>
    <fill>
      <patternFill patternType="solid">
        <fgColor rgb="FFD99694"/>
        <bgColor indexed="64"/>
      </patternFill>
    </fill>
    <fill>
      <patternFill patternType="solid">
        <fgColor rgb="FF75923B"/>
        <bgColor indexed="64"/>
      </patternFill>
    </fill>
    <fill>
      <patternFill patternType="solid">
        <fgColor rgb="FFF79544"/>
        <bgColor indexed="64"/>
      </patternFill>
    </fill>
    <fill>
      <patternFill patternType="solid">
        <fgColor rgb="FFC2D69B"/>
        <bgColor indexed="64"/>
      </patternFill>
    </fill>
    <fill>
      <patternFill patternType="solid">
        <fgColor rgb="FFF2F2F2"/>
        <bgColor indexed="64"/>
      </patternFill>
    </fill>
    <fill>
      <patternFill patternType="solid">
        <fgColor indexed="44"/>
        <bgColor indexed="64"/>
      </patternFill>
    </fill>
    <fill>
      <patternFill patternType="solid">
        <fgColor rgb="FFFFFF99"/>
        <bgColor indexed="64"/>
      </patternFill>
    </fill>
    <fill>
      <patternFill patternType="solid">
        <fgColor rgb="FFC0C0C0"/>
        <bgColor indexed="64"/>
      </patternFill>
    </fill>
    <fill>
      <patternFill patternType="solid">
        <fgColor indexed="22"/>
        <bgColor indexed="64"/>
      </patternFill>
    </fill>
    <fill>
      <patternFill patternType="solid">
        <fgColor rgb="FFCCC1DA"/>
        <bgColor indexed="64"/>
      </patternFill>
    </fill>
    <fill>
      <patternFill patternType="solid">
        <fgColor rgb="FF002060"/>
        <bgColor indexed="64"/>
      </patternFill>
    </fill>
    <fill>
      <patternFill patternType="solid">
        <fgColor rgb="FF1F4A7E"/>
        <bgColor indexed="64"/>
      </patternFill>
    </fill>
    <fill>
      <patternFill patternType="solid">
        <fgColor rgb="FF17375E"/>
        <bgColor indexed="64"/>
      </patternFill>
    </fill>
    <fill>
      <patternFill patternType="solid">
        <fgColor rgb="FF00B0F0"/>
        <bgColor indexed="64"/>
      </patternFill>
    </fill>
    <fill>
      <patternFill patternType="solid">
        <fgColor rgb="FFFFC7CE"/>
      </patternFill>
    </fill>
  </fills>
  <borders count="325">
    <border>
      <left/>
      <right/>
      <top/>
      <bottom/>
      <diagonal/>
    </border>
    <border>
      <left style="medium">
        <color rgb="FF000000"/>
      </left>
      <right style="medium">
        <color rgb="FF000000"/>
      </right>
      <top style="medium">
        <color rgb="FF000000"/>
      </top>
      <bottom/>
      <diagonal/>
    </border>
    <border>
      <left style="medium">
        <color rgb="FF000000"/>
      </left>
      <right style="medium">
        <color rgb="FF000000"/>
      </right>
      <top style="hair">
        <color rgb="FF000000"/>
      </top>
      <bottom style="hair">
        <color rgb="FF000000"/>
      </bottom>
      <diagonal/>
    </border>
    <border>
      <left style="medium">
        <color rgb="FF000000"/>
      </left>
      <right style="medium">
        <color rgb="FF000000"/>
      </right>
      <top/>
      <bottom/>
      <diagonal/>
    </border>
    <border>
      <left style="medium">
        <color indexed="64"/>
      </left>
      <right style="medium">
        <color indexed="64"/>
      </right>
      <top style="medium">
        <color indexed="64"/>
      </top>
      <bottom style="medium">
        <color indexed="64"/>
      </bottom>
      <diagonal/>
    </border>
    <border>
      <left/>
      <right style="thick">
        <color indexed="12"/>
      </right>
      <top/>
      <bottom/>
      <diagonal/>
    </border>
    <border>
      <left/>
      <right style="thick">
        <color indexed="12"/>
      </right>
      <top style="thin">
        <color rgb="FFFF0000"/>
      </top>
      <bottom style="thin">
        <color rgb="FFFF0000"/>
      </bottom>
      <diagonal/>
    </border>
    <border>
      <left/>
      <right/>
      <top style="thin">
        <color rgb="FFFF0000"/>
      </top>
      <bottom style="thin">
        <color rgb="FFFF0000"/>
      </bottom>
      <diagonal/>
    </border>
    <border>
      <left/>
      <right/>
      <top style="thin">
        <color rgb="FFFF0000"/>
      </top>
      <bottom/>
      <diagonal/>
    </border>
    <border>
      <left/>
      <right/>
      <top/>
      <bottom style="thin">
        <color rgb="FFFFFFFF"/>
      </bottom>
      <diagonal/>
    </border>
    <border>
      <left/>
      <right style="thick">
        <color indexed="12"/>
      </right>
      <top/>
      <bottom style="thin">
        <color rgb="FFFF0000"/>
      </bottom>
      <diagonal/>
    </border>
    <border>
      <left/>
      <right/>
      <top style="thin">
        <color rgb="FFFFFFFF"/>
      </top>
      <bottom style="thin">
        <color rgb="FFFF0000"/>
      </bottom>
      <diagonal/>
    </border>
    <border>
      <left/>
      <right/>
      <top style="thin">
        <color rgb="FFFF0000"/>
      </top>
      <bottom style="thin">
        <color rgb="FFFFFFFF"/>
      </bottom>
      <diagonal/>
    </border>
    <border>
      <left/>
      <right/>
      <top style="thin">
        <color rgb="FFFFFFFF"/>
      </top>
      <bottom style="thin">
        <color rgb="FFFFFFFF"/>
      </bottom>
      <diagonal/>
    </border>
    <border>
      <left/>
      <right/>
      <top/>
      <bottom style="thin">
        <color rgb="FFFF0000"/>
      </bottom>
      <diagonal/>
    </border>
    <border>
      <left/>
      <right style="thin">
        <color indexed="8"/>
      </right>
      <top/>
      <bottom/>
      <diagonal/>
    </border>
    <border>
      <left/>
      <right/>
      <top style="thin">
        <color rgb="FFFFFFFF"/>
      </top>
      <bottom style="thin">
        <color indexed="8"/>
      </bottom>
      <diagonal/>
    </border>
    <border>
      <left/>
      <right style="thin">
        <color indexed="22"/>
      </right>
      <top style="thin">
        <color rgb="FFFF0000"/>
      </top>
      <bottom style="thin">
        <color indexed="8"/>
      </bottom>
      <diagonal/>
    </border>
    <border>
      <left style="thin">
        <color indexed="8"/>
      </left>
      <right/>
      <top style="thin">
        <color indexed="8"/>
      </top>
      <bottom style="thin">
        <color indexed="8"/>
      </bottom>
      <diagonal/>
    </border>
    <border>
      <left/>
      <right style="thin">
        <color indexed="8"/>
      </right>
      <top style="thin">
        <color indexed="8"/>
      </top>
      <bottom style="thin">
        <color indexed="8"/>
      </bottom>
      <diagonal/>
    </border>
    <border>
      <left style="thin">
        <color indexed="22"/>
      </left>
      <right/>
      <top style="thin">
        <color indexed="8"/>
      </top>
      <bottom style="thin">
        <color indexed="53"/>
      </bottom>
      <diagonal/>
    </border>
    <border>
      <left/>
      <right style="thin">
        <color indexed="8"/>
      </right>
      <top style="thin">
        <color indexed="8"/>
      </top>
      <bottom style="thin">
        <color indexed="53"/>
      </bottom>
      <diagonal/>
    </border>
    <border>
      <left style="thin">
        <color indexed="22"/>
      </left>
      <right/>
      <top style="thin">
        <color indexed="53"/>
      </top>
      <bottom style="thin">
        <color indexed="53"/>
      </bottom>
      <diagonal/>
    </border>
    <border>
      <left/>
      <right style="thin">
        <color indexed="8"/>
      </right>
      <top style="thin">
        <color indexed="53"/>
      </top>
      <bottom style="thin">
        <color indexed="53"/>
      </bottom>
      <diagonal/>
    </border>
    <border>
      <left/>
      <right style="thin">
        <color indexed="22"/>
      </right>
      <top style="thin">
        <color indexed="53"/>
      </top>
      <bottom style="thin">
        <color rgb="FFFF0000"/>
      </bottom>
      <diagonal/>
    </border>
    <border>
      <left style="thin">
        <color indexed="53"/>
      </left>
      <right/>
      <top style="thin">
        <color indexed="53"/>
      </top>
      <bottom style="thin">
        <color indexed="53"/>
      </bottom>
      <diagonal/>
    </border>
    <border>
      <left/>
      <right style="thin">
        <color indexed="22"/>
      </right>
      <top/>
      <bottom style="thin">
        <color indexed="22"/>
      </bottom>
      <diagonal/>
    </border>
    <border>
      <left/>
      <right/>
      <top style="thin">
        <color indexed="53"/>
      </top>
      <bottom style="thin">
        <color rgb="FFFF0000"/>
      </bottom>
      <diagonal/>
    </border>
    <border>
      <left/>
      <right style="thin">
        <color indexed="53"/>
      </right>
      <top style="thin">
        <color indexed="53"/>
      </top>
      <bottom style="thin">
        <color indexed="53"/>
      </bottom>
      <diagonal/>
    </border>
    <border>
      <left/>
      <right/>
      <top style="thin">
        <color indexed="53"/>
      </top>
      <bottom/>
      <diagonal/>
    </border>
    <border>
      <left/>
      <right style="thin">
        <color indexed="9"/>
      </right>
      <top/>
      <bottom style="thin">
        <color rgb="FFFF0000"/>
      </bottom>
      <diagonal/>
    </border>
    <border>
      <left/>
      <right style="thin">
        <color indexed="9"/>
      </right>
      <top style="thin">
        <color rgb="FFFF0000"/>
      </top>
      <bottom style="thin">
        <color rgb="FFFF0000"/>
      </bottom>
      <diagonal/>
    </border>
    <border>
      <left style="thin">
        <color indexed="9"/>
      </left>
      <right/>
      <top style="thin">
        <color rgb="FFFF0000"/>
      </top>
      <bottom style="thin">
        <color rgb="FFFF0000"/>
      </bottom>
      <diagonal/>
    </border>
    <border>
      <left style="thin">
        <color indexed="8"/>
      </left>
      <right/>
      <top/>
      <bottom style="thin">
        <color rgb="FFFF0000"/>
      </bottom>
      <diagonal/>
    </border>
    <border>
      <left style="thin">
        <color indexed="9"/>
      </left>
      <right style="thin">
        <color indexed="8"/>
      </right>
      <top/>
      <bottom style="thin">
        <color rgb="FFFF0000"/>
      </bottom>
      <diagonal/>
    </border>
    <border>
      <left style="thin">
        <color indexed="8"/>
      </left>
      <right style="thin">
        <color indexed="8"/>
      </right>
      <top style="thin">
        <color indexed="8"/>
      </top>
      <bottom style="thin">
        <color indexed="8"/>
      </bottom>
      <diagonal/>
    </border>
    <border>
      <left/>
      <right style="medium">
        <color rgb="FFFF0000"/>
      </right>
      <top/>
      <bottom/>
      <diagonal/>
    </border>
    <border>
      <left style="medium">
        <color rgb="FFFF0000"/>
      </left>
      <right/>
      <top style="medium">
        <color rgb="FFFF0000"/>
      </top>
      <bottom/>
      <diagonal/>
    </border>
    <border>
      <left/>
      <right/>
      <top style="medium">
        <color rgb="FFFF0000"/>
      </top>
      <bottom/>
      <diagonal/>
    </border>
    <border>
      <left/>
      <right style="medium">
        <color rgb="FFFF0000"/>
      </right>
      <top style="medium">
        <color rgb="FFFF0000"/>
      </top>
      <bottom/>
      <diagonal/>
    </border>
    <border>
      <left style="medium">
        <color rgb="FFFF0000"/>
      </left>
      <right/>
      <top/>
      <bottom style="medium">
        <color rgb="FFFF0000"/>
      </bottom>
      <diagonal/>
    </border>
    <border>
      <left/>
      <right/>
      <top/>
      <bottom style="medium">
        <color rgb="FFFF0000"/>
      </bottom>
      <diagonal/>
    </border>
    <border>
      <left/>
      <right style="medium">
        <color rgb="FFFF0000"/>
      </right>
      <top/>
      <bottom style="medium">
        <color rgb="FFFF0000"/>
      </bottom>
      <diagonal/>
    </border>
    <border>
      <left/>
      <right/>
      <top style="hair">
        <color rgb="FFFF0000"/>
      </top>
      <bottom style="hair">
        <color rgb="FFFF0000"/>
      </bottom>
      <diagonal/>
    </border>
    <border>
      <left style="medium">
        <color rgb="FFFF0000"/>
      </left>
      <right/>
      <top style="medium">
        <color rgb="FFFF0000"/>
      </top>
      <bottom style="medium">
        <color rgb="FFFF0000"/>
      </bottom>
      <diagonal/>
    </border>
    <border>
      <left/>
      <right/>
      <top style="medium">
        <color rgb="FFFF0000"/>
      </top>
      <bottom style="medium">
        <color rgb="FFFF0000"/>
      </bottom>
      <diagonal/>
    </border>
    <border>
      <left/>
      <right style="medium">
        <color rgb="FFFF0000"/>
      </right>
      <top style="medium">
        <color rgb="FFFF0000"/>
      </top>
      <bottom style="medium">
        <color rgb="FFFF0000"/>
      </bottom>
      <diagonal/>
    </border>
    <border>
      <left style="medium">
        <color rgb="FFFF0000"/>
      </left>
      <right style="medium">
        <color rgb="FFFF0000"/>
      </right>
      <top/>
      <bottom/>
      <diagonal/>
    </border>
    <border>
      <left style="medium">
        <color rgb="FFFF0000"/>
      </left>
      <right/>
      <top style="medium">
        <color rgb="FFFF0000"/>
      </top>
      <bottom style="hair">
        <color rgb="FFFF0000"/>
      </bottom>
      <diagonal/>
    </border>
    <border>
      <left/>
      <right style="medium">
        <color rgb="FFFF0000"/>
      </right>
      <top style="medium">
        <color rgb="FFFF0000"/>
      </top>
      <bottom style="hair">
        <color rgb="FFFF0000"/>
      </bottom>
      <diagonal/>
    </border>
    <border>
      <left style="hair">
        <color rgb="FFFF0000"/>
      </left>
      <right/>
      <top style="medium">
        <color rgb="FFFF0000"/>
      </top>
      <bottom/>
      <diagonal/>
    </border>
    <border>
      <left/>
      <right style="hair">
        <color rgb="FFFF0000"/>
      </right>
      <top style="medium">
        <color rgb="FFFF0000"/>
      </top>
      <bottom/>
      <diagonal/>
    </border>
    <border>
      <left style="hair">
        <color rgb="FFFF0000"/>
      </left>
      <right/>
      <top style="medium">
        <color rgb="FFFF0000"/>
      </top>
      <bottom style="hair">
        <color rgb="FFFF0000"/>
      </bottom>
      <diagonal/>
    </border>
    <border>
      <left/>
      <right/>
      <top style="medium">
        <color rgb="FFFF0000"/>
      </top>
      <bottom style="hair">
        <color rgb="FFFF0000"/>
      </bottom>
      <diagonal/>
    </border>
    <border>
      <left/>
      <right style="hair">
        <color rgb="FFFF0000"/>
      </right>
      <top style="medium">
        <color rgb="FFFF0000"/>
      </top>
      <bottom style="hair">
        <color rgb="FFFF0000"/>
      </bottom>
      <diagonal/>
    </border>
    <border>
      <left style="medium">
        <color rgb="FFFF0000"/>
      </left>
      <right/>
      <top style="hair">
        <color rgb="FFFF0000"/>
      </top>
      <bottom style="hair">
        <color rgb="FFFF0000"/>
      </bottom>
      <diagonal/>
    </border>
    <border>
      <left/>
      <right style="medium">
        <color rgb="FFFF0000"/>
      </right>
      <top style="hair">
        <color rgb="FFFF0000"/>
      </top>
      <bottom style="hair">
        <color rgb="FFFF0000"/>
      </bottom>
      <diagonal/>
    </border>
    <border>
      <left style="medium">
        <color rgb="FFFF0000"/>
      </left>
      <right/>
      <top/>
      <bottom/>
      <diagonal/>
    </border>
    <border>
      <left style="hair">
        <color rgb="FFFF0000"/>
      </left>
      <right/>
      <top/>
      <bottom/>
      <diagonal/>
    </border>
    <border>
      <left/>
      <right style="hair">
        <color rgb="FFFF0000"/>
      </right>
      <top/>
      <bottom/>
      <diagonal/>
    </border>
    <border>
      <left style="hair">
        <color rgb="FFFF0000"/>
      </left>
      <right/>
      <top style="hair">
        <color rgb="FFFF0000"/>
      </top>
      <bottom style="hair">
        <color rgb="FFFF0000"/>
      </bottom>
      <diagonal/>
    </border>
    <border>
      <left/>
      <right style="hair">
        <color rgb="FFFF0000"/>
      </right>
      <top style="hair">
        <color rgb="FFFF0000"/>
      </top>
      <bottom style="hair">
        <color rgb="FFFF0000"/>
      </bottom>
      <diagonal/>
    </border>
    <border>
      <left style="hair">
        <color rgb="FFFF0000"/>
      </left>
      <right style="hair">
        <color rgb="FFFF0000"/>
      </right>
      <top style="hair">
        <color rgb="FFFF0000"/>
      </top>
      <bottom style="hair">
        <color rgb="FFFF0000"/>
      </bottom>
      <diagonal/>
    </border>
    <border>
      <left style="medium">
        <color rgb="FFFF0000"/>
      </left>
      <right/>
      <top style="hair">
        <color rgb="FFFF0000"/>
      </top>
      <bottom style="medium">
        <color rgb="FFFF0000"/>
      </bottom>
      <diagonal/>
    </border>
    <border>
      <left/>
      <right style="medium">
        <color rgb="FFFF0000"/>
      </right>
      <top style="hair">
        <color rgb="FFFF0000"/>
      </top>
      <bottom style="medium">
        <color rgb="FFFF0000"/>
      </bottom>
      <diagonal/>
    </border>
    <border>
      <left style="medium">
        <color rgb="FFFF0000"/>
      </left>
      <right style="medium">
        <color rgb="FFFF0000"/>
      </right>
      <top/>
      <bottom style="medium">
        <color rgb="FFFF0000"/>
      </bottom>
      <diagonal/>
    </border>
    <border>
      <left style="medium">
        <color rgb="FFFF0000"/>
      </left>
      <right/>
      <top style="medium">
        <color rgb="FFFFFFFF"/>
      </top>
      <bottom style="thin">
        <color indexed="64"/>
      </bottom>
      <diagonal/>
    </border>
    <border>
      <left/>
      <right/>
      <top style="medium">
        <color rgb="FFFFFFFF"/>
      </top>
      <bottom style="thin">
        <color indexed="64"/>
      </bottom>
      <diagonal/>
    </border>
    <border>
      <left/>
      <right style="medium">
        <color rgb="FFFF0000"/>
      </right>
      <top style="medium">
        <color rgb="FFFFFFFF"/>
      </top>
      <bottom/>
      <diagonal/>
    </border>
    <border>
      <left/>
      <right style="medium">
        <color rgb="FFFF0000"/>
      </right>
      <top style="medium">
        <color rgb="FFFFFFFF"/>
      </top>
      <bottom style="thin">
        <color indexed="64"/>
      </bottom>
      <diagonal/>
    </border>
    <border>
      <left/>
      <right/>
      <top/>
      <bottom style="hair">
        <color rgb="FFFF0000"/>
      </bottom>
      <diagonal/>
    </border>
    <border>
      <left/>
      <right/>
      <top style="hair">
        <color rgb="FFFF0000"/>
      </top>
      <bottom/>
      <diagonal/>
    </border>
    <border>
      <left style="hair">
        <color rgb="FFFF0000"/>
      </left>
      <right/>
      <top/>
      <bottom style="medium">
        <color rgb="FFFF0000"/>
      </bottom>
      <diagonal/>
    </border>
    <border>
      <left/>
      <right/>
      <top style="hair">
        <color rgb="FFFF0000"/>
      </top>
      <bottom style="medium">
        <color rgb="FFFF0000"/>
      </bottom>
      <diagonal/>
    </border>
    <border>
      <left/>
      <right style="hair">
        <color rgb="FFFF0000"/>
      </right>
      <top style="hair">
        <color rgb="FFFF0000"/>
      </top>
      <bottom style="medium">
        <color rgb="FFFF0000"/>
      </bottom>
      <diagonal/>
    </border>
    <border>
      <left/>
      <right style="hair">
        <color rgb="FFFF0000"/>
      </right>
      <top/>
      <bottom style="hair">
        <color rgb="FFFF0000"/>
      </bottom>
      <diagonal/>
    </border>
    <border>
      <left style="medium">
        <color rgb="FFFF0000"/>
      </left>
      <right/>
      <top/>
      <bottom style="medium">
        <color rgb="FFFFFFFF"/>
      </bottom>
      <diagonal/>
    </border>
    <border>
      <left/>
      <right/>
      <top/>
      <bottom style="medium">
        <color rgb="FFFFFFFF"/>
      </bottom>
      <diagonal/>
    </border>
    <border>
      <left/>
      <right style="medium">
        <color rgb="FFFF0000"/>
      </right>
      <top/>
      <bottom style="medium">
        <color rgb="FFFFFFFF"/>
      </bottom>
      <diagonal/>
    </border>
    <border>
      <left style="hair">
        <color rgb="FFFF0000"/>
      </left>
      <right style="hair">
        <color rgb="FFFF0000"/>
      </right>
      <top/>
      <bottom style="hair">
        <color rgb="FFFF0000"/>
      </bottom>
      <diagonal/>
    </border>
    <border>
      <left style="hair">
        <color rgb="FFFF0000"/>
      </left>
      <right style="medium">
        <color rgb="FFFF0000"/>
      </right>
      <top/>
      <bottom style="hair">
        <color rgb="FFFF0000"/>
      </bottom>
      <diagonal/>
    </border>
    <border>
      <left style="hair">
        <color rgb="FFFF0000"/>
      </left>
      <right style="medium">
        <color rgb="FFFF0000"/>
      </right>
      <top style="hair">
        <color rgb="FFFF0000"/>
      </top>
      <bottom style="hair">
        <color rgb="FFFF0000"/>
      </bottom>
      <diagonal/>
    </border>
    <border>
      <left style="hair">
        <color rgb="FFFF0000"/>
      </left>
      <right style="hair">
        <color rgb="FFFF0000"/>
      </right>
      <top style="hair">
        <color rgb="FFFF0000"/>
      </top>
      <bottom style="medium">
        <color rgb="FFFF0000"/>
      </bottom>
      <diagonal/>
    </border>
    <border>
      <left style="hair">
        <color rgb="FFFF0000"/>
      </left>
      <right style="medium">
        <color rgb="FFFF0000"/>
      </right>
      <top style="hair">
        <color rgb="FFFF0000"/>
      </top>
      <bottom style="medium">
        <color rgb="FFFF0000"/>
      </bottom>
      <diagonal/>
    </border>
    <border>
      <left style="medium">
        <color rgb="FFFF0000"/>
      </left>
      <right/>
      <top style="medium">
        <color rgb="FFFF0000"/>
      </top>
      <bottom style="thin">
        <color indexed="8"/>
      </bottom>
      <diagonal/>
    </border>
    <border>
      <left/>
      <right/>
      <top style="medium">
        <color rgb="FFFF0000"/>
      </top>
      <bottom style="thin">
        <color indexed="8"/>
      </bottom>
      <diagonal/>
    </border>
    <border>
      <left/>
      <right style="medium">
        <color rgb="FFFF0000"/>
      </right>
      <top style="medium">
        <color rgb="FFFF0000"/>
      </top>
      <bottom style="thin">
        <color indexed="8"/>
      </bottom>
      <diagonal/>
    </border>
    <border>
      <left style="medium">
        <color rgb="FFFF0000"/>
      </left>
      <right style="medium">
        <color indexed="8"/>
      </right>
      <top style="thin">
        <color indexed="8"/>
      </top>
      <bottom style="thin">
        <color indexed="8"/>
      </bottom>
      <diagonal/>
    </border>
    <border>
      <left style="medium">
        <color indexed="10"/>
      </left>
      <right style="medium">
        <color indexed="8"/>
      </right>
      <top style="thin">
        <color indexed="8"/>
      </top>
      <bottom style="thin">
        <color indexed="8"/>
      </bottom>
      <diagonal/>
    </border>
    <border>
      <left style="medium">
        <color indexed="10"/>
      </left>
      <right style="medium">
        <color rgb="FFFF0000"/>
      </right>
      <top style="thin">
        <color indexed="8"/>
      </top>
      <bottom style="thin">
        <color indexed="8"/>
      </bottom>
      <diagonal/>
    </border>
    <border>
      <left style="medium">
        <color rgb="FFFF0000"/>
      </left>
      <right/>
      <top style="thin">
        <color indexed="8"/>
      </top>
      <bottom style="thin">
        <color indexed="8"/>
      </bottom>
      <diagonal/>
    </border>
    <border>
      <left/>
      <right/>
      <top style="thin">
        <color indexed="8"/>
      </top>
      <bottom style="thin">
        <color indexed="8"/>
      </bottom>
      <diagonal/>
    </border>
    <border>
      <left/>
      <right style="medium">
        <color rgb="FFFF0000"/>
      </right>
      <top style="thin">
        <color indexed="8"/>
      </top>
      <bottom style="thin">
        <color indexed="8"/>
      </bottom>
      <diagonal/>
    </border>
    <border>
      <left style="medium">
        <color rgb="FFFF0000"/>
      </left>
      <right/>
      <top style="thin">
        <color indexed="8"/>
      </top>
      <bottom/>
      <diagonal/>
    </border>
    <border>
      <left/>
      <right/>
      <top style="thin">
        <color indexed="8"/>
      </top>
      <bottom/>
      <diagonal/>
    </border>
    <border>
      <left/>
      <right style="medium">
        <color rgb="FFFF0000"/>
      </right>
      <top style="thin">
        <color indexed="8"/>
      </top>
      <bottom/>
      <diagonal/>
    </border>
    <border>
      <left/>
      <right style="hair">
        <color rgb="FFFF0000"/>
      </right>
      <top style="hair">
        <color rgb="FFFF0000"/>
      </top>
      <bottom/>
      <diagonal/>
    </border>
    <border>
      <left style="medium">
        <color rgb="FFFF0000"/>
      </left>
      <right/>
      <top style="hair">
        <color rgb="FFFF0000"/>
      </top>
      <bottom/>
      <diagonal/>
    </border>
    <border>
      <left style="medium">
        <color rgb="FFFF0000"/>
      </left>
      <right/>
      <top/>
      <bottom style="medium">
        <color rgb="FF0000FF"/>
      </bottom>
      <diagonal/>
    </border>
    <border>
      <left/>
      <right/>
      <top/>
      <bottom style="medium">
        <color rgb="FF0000FF"/>
      </bottom>
      <diagonal/>
    </border>
    <border>
      <left/>
      <right style="medium">
        <color rgb="FFFF0000"/>
      </right>
      <top/>
      <bottom style="medium">
        <color rgb="FF0000FF"/>
      </bottom>
      <diagonal/>
    </border>
    <border>
      <left style="medium">
        <color rgb="FFFF0000"/>
      </left>
      <right/>
      <top/>
      <bottom style="hair">
        <color rgb="FFFF0000"/>
      </bottom>
      <diagonal/>
    </border>
    <border>
      <left/>
      <right style="medium">
        <color rgb="FFFF0000"/>
      </right>
      <top/>
      <bottom style="hair">
        <color rgb="FFFF0000"/>
      </bottom>
      <diagonal/>
    </border>
    <border>
      <left style="medium">
        <color rgb="FFFF0000"/>
      </left>
      <right style="hair">
        <color rgb="FFFF0000"/>
      </right>
      <top/>
      <bottom style="hair">
        <color rgb="FFFF0000"/>
      </bottom>
      <diagonal/>
    </border>
    <border>
      <left style="medium">
        <color rgb="FFFF0000"/>
      </left>
      <right style="hair">
        <color rgb="FFFF0000"/>
      </right>
      <top style="hair">
        <color rgb="FFFF0000"/>
      </top>
      <bottom style="hair">
        <color rgb="FFFF0000"/>
      </bottom>
      <diagonal/>
    </border>
    <border>
      <left/>
      <right style="medium">
        <color rgb="FFFF0000"/>
      </right>
      <top style="hair">
        <color rgb="FFFF0000"/>
      </top>
      <bottom/>
      <diagonal/>
    </border>
    <border>
      <left style="medium">
        <color rgb="FFFF0000"/>
      </left>
      <right style="hair">
        <color rgb="FFFF0000"/>
      </right>
      <top style="hair">
        <color rgb="FFFF0000"/>
      </top>
      <bottom/>
      <diagonal/>
    </border>
    <border>
      <left style="hair">
        <color rgb="FFFF0000"/>
      </left>
      <right style="hair">
        <color rgb="FFFF0000"/>
      </right>
      <top style="hair">
        <color rgb="FFFF0000"/>
      </top>
      <bottom/>
      <diagonal/>
    </border>
    <border>
      <left style="hair">
        <color rgb="FFFF0000"/>
      </left>
      <right style="medium">
        <color rgb="FFFF0000"/>
      </right>
      <top style="hair">
        <color rgb="FFFF0000"/>
      </top>
      <bottom/>
      <diagonal/>
    </border>
    <border>
      <left style="thin">
        <color indexed="8"/>
      </left>
      <right/>
      <top style="thin">
        <color indexed="8"/>
      </top>
      <bottom/>
      <diagonal/>
    </border>
    <border>
      <left/>
      <right style="thin">
        <color indexed="8"/>
      </right>
      <top style="thin">
        <color indexed="8"/>
      </top>
      <bottom/>
      <diagonal/>
    </border>
    <border>
      <left style="thin">
        <color indexed="8"/>
      </left>
      <right/>
      <top/>
      <bottom/>
      <diagonal/>
    </border>
    <border>
      <left/>
      <right/>
      <top/>
      <bottom style="thin">
        <color indexed="64"/>
      </bottom>
      <diagonal/>
    </border>
    <border>
      <left style="medium">
        <color indexed="8"/>
      </left>
      <right/>
      <top style="medium">
        <color indexed="8"/>
      </top>
      <bottom style="medium">
        <color indexed="8"/>
      </bottom>
      <diagonal/>
    </border>
    <border>
      <left/>
      <right style="medium">
        <color indexed="8"/>
      </right>
      <top style="medium">
        <color indexed="8"/>
      </top>
      <bottom style="medium">
        <color indexed="8"/>
      </bottom>
      <diagonal/>
    </border>
    <border>
      <left style="thin">
        <color indexed="64"/>
      </left>
      <right style="thin">
        <color indexed="64"/>
      </right>
      <top style="thin">
        <color indexed="64"/>
      </top>
      <bottom style="thin">
        <color indexed="64"/>
      </bottom>
      <diagonal/>
    </border>
    <border>
      <left style="thin">
        <color indexed="8"/>
      </left>
      <right/>
      <top/>
      <bottom style="thin">
        <color indexed="8"/>
      </bottom>
      <diagonal/>
    </border>
    <border>
      <left/>
      <right style="thin">
        <color indexed="8"/>
      </right>
      <top/>
      <bottom style="thin">
        <color indexed="8"/>
      </bottom>
      <diagonal/>
    </border>
    <border>
      <left/>
      <right/>
      <top/>
      <bottom style="thin">
        <color indexed="8"/>
      </bottom>
      <diagonal/>
    </border>
    <border>
      <left/>
      <right/>
      <top style="slantDashDot">
        <color rgb="FFFF0000"/>
      </top>
      <bottom/>
      <diagonal/>
    </border>
    <border>
      <left style="thin">
        <color indexed="8"/>
      </left>
      <right style="thin">
        <color indexed="8"/>
      </right>
      <top/>
      <bottom style="thin">
        <color indexed="8"/>
      </bottom>
      <diagonal/>
    </border>
    <border>
      <left/>
      <right/>
      <top/>
      <bottom style="slantDashDot">
        <color rgb="FFFF0000"/>
      </bottom>
      <diagonal/>
    </border>
    <border>
      <left style="thin">
        <color rgb="FFFF0000"/>
      </left>
      <right/>
      <top style="thin">
        <color rgb="FFFF0000"/>
      </top>
      <bottom/>
      <diagonal/>
    </border>
    <border>
      <left/>
      <right style="thin">
        <color rgb="FFFF0000"/>
      </right>
      <top style="thin">
        <color rgb="FFFF0000"/>
      </top>
      <bottom/>
      <diagonal/>
    </border>
    <border>
      <left style="thin">
        <color rgb="FFFF0000"/>
      </left>
      <right/>
      <top/>
      <bottom/>
      <diagonal/>
    </border>
    <border>
      <left/>
      <right style="thin">
        <color rgb="FFFF0000"/>
      </right>
      <top/>
      <bottom/>
      <diagonal/>
    </border>
    <border>
      <left style="medium">
        <color indexed="8"/>
      </left>
      <right style="medium">
        <color indexed="8"/>
      </right>
      <top style="medium">
        <color indexed="8"/>
      </top>
      <bottom style="medium">
        <color indexed="8"/>
      </bottom>
      <diagonal/>
    </border>
    <border>
      <left style="medium">
        <color indexed="8"/>
      </left>
      <right style="medium">
        <color indexed="8"/>
      </right>
      <top style="medium">
        <color indexed="8"/>
      </top>
      <bottom/>
      <diagonal/>
    </border>
    <border>
      <left style="medium">
        <color indexed="8"/>
      </left>
      <right style="medium">
        <color indexed="8"/>
      </right>
      <top/>
      <bottom style="medium">
        <color indexed="8"/>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rgb="FFFF0000"/>
      </left>
      <right/>
      <top/>
      <bottom style="thin">
        <color rgb="FFFF0000"/>
      </bottom>
      <diagonal/>
    </border>
    <border>
      <left/>
      <right style="thin">
        <color rgb="FFFF0000"/>
      </right>
      <top/>
      <bottom style="thin">
        <color rgb="FFFF0000"/>
      </bottom>
      <diagonal/>
    </border>
    <border>
      <left style="thin">
        <color indexed="64"/>
      </left>
      <right/>
      <top/>
      <bottom/>
      <diagonal/>
    </border>
    <border>
      <left/>
      <right style="thin">
        <color indexed="64"/>
      </right>
      <top/>
      <bottom/>
      <diagonal/>
    </border>
    <border>
      <left style="thin">
        <color indexed="8"/>
      </left>
      <right style="thin">
        <color indexed="8"/>
      </right>
      <top style="thin">
        <color indexed="8"/>
      </top>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8"/>
      </left>
      <right/>
      <top style="medium">
        <color indexed="8"/>
      </top>
      <bottom/>
      <diagonal/>
    </border>
    <border>
      <left/>
      <right/>
      <top style="medium">
        <color indexed="8"/>
      </top>
      <bottom/>
      <diagonal/>
    </border>
    <border>
      <left/>
      <right style="medium">
        <color indexed="8"/>
      </right>
      <top style="medium">
        <color indexed="8"/>
      </top>
      <bottom/>
      <diagonal/>
    </border>
    <border>
      <left style="medium">
        <color indexed="8"/>
      </left>
      <right/>
      <top/>
      <bottom/>
      <diagonal/>
    </border>
    <border>
      <left/>
      <right style="medium">
        <color indexed="8"/>
      </right>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hair">
        <color indexed="64"/>
      </left>
      <right/>
      <top style="hair">
        <color indexed="64"/>
      </top>
      <bottom/>
      <diagonal/>
    </border>
    <border>
      <left/>
      <right/>
      <top style="hair">
        <color indexed="64"/>
      </top>
      <bottom/>
      <diagonal/>
    </border>
    <border>
      <left style="hair">
        <color indexed="64"/>
      </left>
      <right/>
      <top/>
      <bottom/>
      <diagonal/>
    </border>
    <border>
      <left style="hair">
        <color indexed="64"/>
      </left>
      <right/>
      <top/>
      <bottom style="hair">
        <color indexed="64"/>
      </bottom>
      <diagonal/>
    </border>
    <border>
      <left/>
      <right/>
      <top/>
      <bottom style="hair">
        <color indexed="64"/>
      </bottom>
      <diagonal/>
    </border>
    <border>
      <left style="thin">
        <color indexed="8"/>
      </left>
      <right style="thin">
        <color indexed="8"/>
      </right>
      <top/>
      <bottom/>
      <diagonal/>
    </border>
    <border>
      <left style="medium">
        <color indexed="8"/>
      </left>
      <right style="medium">
        <color indexed="8"/>
      </right>
      <top/>
      <bottom/>
      <diagonal/>
    </border>
    <border>
      <left/>
      <right style="hair">
        <color indexed="64"/>
      </right>
      <top style="hair">
        <color indexed="64"/>
      </top>
      <bottom/>
      <diagonal/>
    </border>
    <border>
      <left/>
      <right style="hair">
        <color indexed="64"/>
      </right>
      <top/>
      <bottom/>
      <diagonal/>
    </border>
    <border>
      <left style="hair">
        <color rgb="FFFF0000"/>
      </left>
      <right/>
      <top style="hair">
        <color rgb="FFFF0000"/>
      </top>
      <bottom/>
      <diagonal/>
    </border>
    <border>
      <left/>
      <right style="hair">
        <color indexed="64"/>
      </right>
      <top/>
      <bottom style="hair">
        <color indexed="64"/>
      </bottom>
      <diagonal/>
    </border>
    <border>
      <left style="hair">
        <color rgb="FFFF0000"/>
      </left>
      <right/>
      <top/>
      <bottom style="hair">
        <color rgb="FFFF0000"/>
      </bottom>
      <diagonal/>
    </border>
    <border>
      <left style="thin">
        <color indexed="8"/>
      </left>
      <right style="thin">
        <color indexed="8"/>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8"/>
      </left>
      <right style="thin">
        <color indexed="8"/>
      </right>
      <top style="medium">
        <color indexed="8"/>
      </top>
      <bottom style="medium">
        <color indexed="8"/>
      </bottom>
      <diagonal/>
    </border>
    <border>
      <left style="thin">
        <color indexed="8"/>
      </left>
      <right style="thin">
        <color indexed="8"/>
      </right>
      <top style="medium">
        <color indexed="8"/>
      </top>
      <bottom style="medium">
        <color indexed="8"/>
      </bottom>
      <diagonal/>
    </border>
    <border>
      <left style="thin">
        <color indexed="8"/>
      </left>
      <right style="medium">
        <color indexed="8"/>
      </right>
      <top style="medium">
        <color indexed="8"/>
      </top>
      <bottom style="medium">
        <color indexed="8"/>
      </bottom>
      <diagonal/>
    </border>
    <border>
      <left style="medium">
        <color indexed="8"/>
      </left>
      <right style="thin">
        <color indexed="8"/>
      </right>
      <top/>
      <bottom style="thin">
        <color indexed="8"/>
      </bottom>
      <diagonal/>
    </border>
    <border>
      <left style="thin">
        <color indexed="8"/>
      </left>
      <right style="medium">
        <color indexed="8"/>
      </right>
      <top/>
      <bottom style="thin">
        <color indexed="8"/>
      </bottom>
      <diagonal/>
    </border>
    <border>
      <left style="thin">
        <color indexed="8"/>
      </left>
      <right style="medium">
        <color indexed="8"/>
      </right>
      <top style="thin">
        <color indexed="8"/>
      </top>
      <bottom style="thin">
        <color indexed="8"/>
      </bottom>
      <diagonal/>
    </border>
    <border>
      <left style="medium">
        <color indexed="8"/>
      </left>
      <right style="thin">
        <color indexed="8"/>
      </right>
      <top style="thin">
        <color indexed="8"/>
      </top>
      <bottom style="thin">
        <color indexed="8"/>
      </bottom>
      <diagonal/>
    </border>
    <border>
      <left style="medium">
        <color indexed="8"/>
      </left>
      <right style="thin">
        <color indexed="8"/>
      </right>
      <top style="medium">
        <color indexed="8"/>
      </top>
      <bottom/>
      <diagonal/>
    </border>
    <border>
      <left style="thin">
        <color indexed="8"/>
      </left>
      <right style="thin">
        <color indexed="8"/>
      </right>
      <top style="medium">
        <color indexed="8"/>
      </top>
      <bottom/>
      <diagonal/>
    </border>
    <border>
      <left style="thin">
        <color indexed="8"/>
      </left>
      <right style="medium">
        <color indexed="8"/>
      </right>
      <top style="medium">
        <color indexed="8"/>
      </top>
      <bottom/>
      <diagonal/>
    </border>
    <border>
      <left style="medium">
        <color indexed="8"/>
      </left>
      <right/>
      <top/>
      <bottom style="thin">
        <color indexed="8"/>
      </bottom>
      <diagonal/>
    </border>
    <border>
      <left/>
      <right style="medium">
        <color indexed="8"/>
      </right>
      <top/>
      <bottom style="thin">
        <color indexed="8"/>
      </bottom>
      <diagonal/>
    </border>
    <border>
      <left style="medium">
        <color indexed="8"/>
      </left>
      <right/>
      <top style="thin">
        <color indexed="8"/>
      </top>
      <bottom/>
      <diagonal/>
    </border>
    <border>
      <left/>
      <right style="medium">
        <color indexed="8"/>
      </right>
      <top style="thin">
        <color indexed="8"/>
      </top>
      <bottom/>
      <diagonal/>
    </border>
    <border>
      <left style="medium">
        <color indexed="8"/>
      </left>
      <right/>
      <top style="thin">
        <color indexed="8"/>
      </top>
      <bottom style="thin">
        <color indexed="8"/>
      </bottom>
      <diagonal/>
    </border>
    <border>
      <left/>
      <right/>
      <top style="thin">
        <color indexed="8"/>
      </top>
      <bottom style="thin">
        <color indexed="64"/>
      </bottom>
      <diagonal/>
    </border>
    <border>
      <left style="thin">
        <color indexed="8"/>
      </left>
      <right/>
      <top style="thin">
        <color indexed="8"/>
      </top>
      <bottom style="thin">
        <color indexed="64"/>
      </bottom>
      <diagonal/>
    </border>
    <border>
      <left/>
      <right style="thin">
        <color indexed="8"/>
      </right>
      <top style="thin">
        <color indexed="8"/>
      </top>
      <bottom style="thin">
        <color indexed="64"/>
      </bottom>
      <diagonal/>
    </border>
    <border>
      <left style="thin">
        <color indexed="8"/>
      </left>
      <right style="medium">
        <color indexed="8"/>
      </right>
      <top style="thin">
        <color indexed="8"/>
      </top>
      <bottom style="thin">
        <color indexed="64"/>
      </bottom>
      <diagonal/>
    </border>
    <border>
      <left style="thin">
        <color indexed="8"/>
      </left>
      <right/>
      <top style="thin">
        <color indexed="64"/>
      </top>
      <bottom/>
      <diagonal/>
    </border>
    <border>
      <left/>
      <right style="thin">
        <color indexed="8"/>
      </right>
      <top style="thin">
        <color indexed="64"/>
      </top>
      <bottom/>
      <diagonal/>
    </border>
    <border>
      <left style="thin">
        <color indexed="64"/>
      </left>
      <right/>
      <top/>
      <bottom style="hair">
        <color indexed="8"/>
      </bottom>
      <diagonal/>
    </border>
    <border>
      <left/>
      <right style="thin">
        <color indexed="8"/>
      </right>
      <top/>
      <bottom style="hair">
        <color indexed="8"/>
      </bottom>
      <diagonal/>
    </border>
    <border>
      <left style="thin">
        <color indexed="64"/>
      </left>
      <right style="hair">
        <color indexed="8"/>
      </right>
      <top style="hair">
        <color indexed="8"/>
      </top>
      <bottom style="hair">
        <color indexed="8"/>
      </bottom>
      <diagonal/>
    </border>
    <border>
      <left/>
      <right style="thin">
        <color indexed="8"/>
      </right>
      <top style="hair">
        <color indexed="8"/>
      </top>
      <bottom style="hair">
        <color indexed="8"/>
      </bottom>
      <diagonal/>
    </border>
    <border>
      <left style="thin">
        <color indexed="8"/>
      </left>
      <right style="medium">
        <color indexed="8"/>
      </right>
      <top/>
      <bottom style="thin">
        <color indexed="64"/>
      </bottom>
      <diagonal/>
    </border>
    <border>
      <left style="thin">
        <color indexed="64"/>
      </left>
      <right/>
      <top style="hair">
        <color indexed="8"/>
      </top>
      <bottom style="hair">
        <color indexed="8"/>
      </bottom>
      <diagonal/>
    </border>
    <border>
      <left style="thin">
        <color indexed="64"/>
      </left>
      <right/>
      <top style="hair">
        <color indexed="8"/>
      </top>
      <bottom/>
      <diagonal/>
    </border>
    <border>
      <left/>
      <right style="thin">
        <color indexed="8"/>
      </right>
      <top style="hair">
        <color indexed="8"/>
      </top>
      <bottom/>
      <diagonal/>
    </border>
    <border>
      <left style="thin">
        <color indexed="8"/>
      </left>
      <right style="medium">
        <color indexed="8"/>
      </right>
      <top style="thin">
        <color indexed="8"/>
      </top>
      <bottom/>
      <diagonal/>
    </border>
    <border>
      <left style="thin">
        <color indexed="8"/>
      </left>
      <right style="medium">
        <color indexed="8"/>
      </right>
      <top/>
      <bottom/>
      <diagonal/>
    </border>
    <border>
      <left style="thin">
        <color indexed="64"/>
      </left>
      <right style="hair">
        <color indexed="8"/>
      </right>
      <top style="hair">
        <color indexed="8"/>
      </top>
      <bottom/>
      <diagonal/>
    </border>
    <border>
      <left style="thin">
        <color indexed="64"/>
      </left>
      <right style="hair">
        <color indexed="8"/>
      </right>
      <top/>
      <bottom/>
      <diagonal/>
    </border>
    <border>
      <left style="thin">
        <color indexed="64"/>
      </left>
      <right style="hair">
        <color indexed="8"/>
      </right>
      <top/>
      <bottom style="thin">
        <color indexed="8"/>
      </bottom>
      <diagonal/>
    </border>
    <border>
      <left style="thin">
        <color indexed="64"/>
      </left>
      <right style="hair">
        <color indexed="8"/>
      </right>
      <top style="thin">
        <color indexed="8"/>
      </top>
      <bottom style="thin">
        <color indexed="8"/>
      </bottom>
      <diagonal/>
    </border>
    <border>
      <left style="thin">
        <color indexed="64"/>
      </left>
      <right style="hair">
        <color indexed="8"/>
      </right>
      <top style="hair">
        <color indexed="8"/>
      </top>
      <bottom style="thin">
        <color indexed="8"/>
      </bottom>
      <diagonal/>
    </border>
    <border>
      <left style="thin">
        <color indexed="64"/>
      </left>
      <right/>
      <top style="thin">
        <color indexed="8"/>
      </top>
      <bottom style="thin">
        <color indexed="8"/>
      </bottom>
      <diagonal/>
    </border>
    <border>
      <left style="thin">
        <color indexed="64"/>
      </left>
      <right/>
      <top style="thin">
        <color indexed="8"/>
      </top>
      <bottom/>
      <diagonal/>
    </border>
    <border>
      <left/>
      <right style="medium">
        <color indexed="8"/>
      </right>
      <top/>
      <bottom style="hair">
        <color indexed="8"/>
      </bottom>
      <diagonal/>
    </border>
    <border>
      <left/>
      <right style="medium">
        <color indexed="8"/>
      </right>
      <top style="hair">
        <color indexed="8"/>
      </top>
      <bottom style="hair">
        <color indexed="8"/>
      </bottom>
      <diagonal/>
    </border>
    <border>
      <left style="thin">
        <color indexed="8"/>
      </left>
      <right style="medium">
        <color indexed="8"/>
      </right>
      <top style="hair">
        <color indexed="8"/>
      </top>
      <bottom style="hair">
        <color indexed="8"/>
      </bottom>
      <diagonal/>
    </border>
    <border>
      <left/>
      <right style="medium">
        <color indexed="8"/>
      </right>
      <top style="hair">
        <color indexed="8"/>
      </top>
      <bottom/>
      <diagonal/>
    </border>
    <border>
      <left style="thin">
        <color indexed="64"/>
      </left>
      <right/>
      <top style="hair">
        <color indexed="8"/>
      </top>
      <bottom style="thin">
        <color indexed="8"/>
      </bottom>
      <diagonal/>
    </border>
    <border>
      <left/>
      <right style="thin">
        <color indexed="8"/>
      </right>
      <top style="hair">
        <color indexed="8"/>
      </top>
      <bottom style="thin">
        <color indexed="8"/>
      </bottom>
      <diagonal/>
    </border>
    <border>
      <left style="thin">
        <color indexed="64"/>
      </left>
      <right/>
      <top/>
      <bottom style="thin">
        <color indexed="8"/>
      </bottom>
      <diagonal/>
    </border>
    <border>
      <left style="dotted">
        <color indexed="8"/>
      </left>
      <right style="thin">
        <color indexed="8"/>
      </right>
      <top style="thin">
        <color indexed="8"/>
      </top>
      <bottom style="thin">
        <color indexed="8"/>
      </bottom>
      <diagonal/>
    </border>
    <border>
      <left style="hair">
        <color indexed="8"/>
      </left>
      <right/>
      <top style="thin">
        <color indexed="8"/>
      </top>
      <bottom style="thin">
        <color indexed="8"/>
      </bottom>
      <diagonal/>
    </border>
    <border>
      <left/>
      <right style="medium">
        <color indexed="8"/>
      </right>
      <top style="thin">
        <color indexed="8"/>
      </top>
      <bottom style="thin">
        <color indexed="8"/>
      </bottom>
      <diagonal/>
    </border>
    <border>
      <left style="medium">
        <color indexed="8"/>
      </left>
      <right style="thin">
        <color indexed="8"/>
      </right>
      <top style="thin">
        <color indexed="8"/>
      </top>
      <bottom/>
      <diagonal/>
    </border>
    <border>
      <left style="medium">
        <color indexed="8"/>
      </left>
      <right style="medium">
        <color indexed="8"/>
      </right>
      <top style="thin">
        <color indexed="8"/>
      </top>
      <bottom style="thin">
        <color indexed="8"/>
      </bottom>
      <diagonal/>
    </border>
    <border>
      <left style="thin">
        <color indexed="8"/>
      </left>
      <right/>
      <top style="thin">
        <color indexed="8"/>
      </top>
      <bottom style="hair">
        <color indexed="8"/>
      </bottom>
      <diagonal/>
    </border>
    <border>
      <left style="hair">
        <color indexed="8"/>
      </left>
      <right style="medium">
        <color indexed="8"/>
      </right>
      <top style="thin">
        <color indexed="8"/>
      </top>
      <bottom/>
      <diagonal/>
    </border>
    <border>
      <left style="medium">
        <color indexed="8"/>
      </left>
      <right style="thin">
        <color indexed="8"/>
      </right>
      <top style="thin">
        <color indexed="8"/>
      </top>
      <bottom style="hair">
        <color indexed="8"/>
      </bottom>
      <diagonal/>
    </border>
    <border>
      <left style="thin">
        <color indexed="8"/>
      </left>
      <right style="hair">
        <color indexed="8"/>
      </right>
      <top style="hair">
        <color indexed="8"/>
      </top>
      <bottom style="thin">
        <color indexed="8"/>
      </bottom>
      <diagonal/>
    </border>
    <border>
      <left style="hair">
        <color indexed="8"/>
      </left>
      <right/>
      <top style="hair">
        <color indexed="8"/>
      </top>
      <bottom style="thin">
        <color indexed="8"/>
      </bottom>
      <diagonal/>
    </border>
    <border>
      <left style="hair">
        <color indexed="8"/>
      </left>
      <right style="medium">
        <color indexed="8"/>
      </right>
      <top/>
      <bottom style="thin">
        <color indexed="8"/>
      </bottom>
      <diagonal/>
    </border>
    <border>
      <left style="medium">
        <color indexed="8"/>
      </left>
      <right style="thin">
        <color indexed="8"/>
      </right>
      <top style="hair">
        <color indexed="8"/>
      </top>
      <bottom style="hair">
        <color indexed="8"/>
      </bottom>
      <diagonal/>
    </border>
    <border>
      <left style="thin">
        <color indexed="8"/>
      </left>
      <right/>
      <top style="hair">
        <color indexed="8"/>
      </top>
      <bottom style="hair">
        <color indexed="8"/>
      </bottom>
      <diagonal/>
    </border>
    <border>
      <left style="thin">
        <color indexed="8"/>
      </left>
      <right style="hair">
        <color indexed="8"/>
      </right>
      <top style="thin">
        <color indexed="8"/>
      </top>
      <bottom style="thin">
        <color indexed="8"/>
      </bottom>
      <diagonal/>
    </border>
    <border>
      <left style="hair">
        <color indexed="8"/>
      </left>
      <right style="hair">
        <color indexed="8"/>
      </right>
      <top style="thin">
        <color indexed="8"/>
      </top>
      <bottom style="thin">
        <color indexed="8"/>
      </bottom>
      <diagonal/>
    </border>
    <border>
      <left style="hair">
        <color indexed="8"/>
      </left>
      <right style="medium">
        <color indexed="8"/>
      </right>
      <top style="thin">
        <color indexed="8"/>
      </top>
      <bottom style="thin">
        <color indexed="8"/>
      </bottom>
      <diagonal/>
    </border>
    <border>
      <left style="thin">
        <color indexed="8"/>
      </left>
      <right style="thin">
        <color indexed="8"/>
      </right>
      <top style="thin">
        <color indexed="8"/>
      </top>
      <bottom style="hair">
        <color indexed="8"/>
      </bottom>
      <diagonal/>
    </border>
    <border>
      <left style="medium">
        <color indexed="8"/>
      </left>
      <right style="thin">
        <color indexed="8"/>
      </right>
      <top style="hair">
        <color indexed="8"/>
      </top>
      <bottom style="thin">
        <color indexed="8"/>
      </bottom>
      <diagonal/>
    </border>
    <border>
      <left style="thin">
        <color indexed="8"/>
      </left>
      <right/>
      <top style="hair">
        <color indexed="8"/>
      </top>
      <bottom style="thin">
        <color indexed="8"/>
      </bottom>
      <diagonal/>
    </border>
    <border>
      <left style="thin">
        <color indexed="8"/>
      </left>
      <right style="thin">
        <color indexed="8"/>
      </right>
      <top style="hair">
        <color indexed="8"/>
      </top>
      <bottom style="thin">
        <color indexed="8"/>
      </bottom>
      <diagonal/>
    </border>
    <border>
      <left style="thin">
        <color indexed="8"/>
      </left>
      <right/>
      <top/>
      <bottom style="hair">
        <color indexed="8"/>
      </bottom>
      <diagonal/>
    </border>
    <border>
      <left style="thin">
        <color indexed="8"/>
      </left>
      <right/>
      <top style="hair">
        <color indexed="8"/>
      </top>
      <bottom/>
      <diagonal/>
    </border>
    <border>
      <left style="thin">
        <color indexed="8"/>
      </left>
      <right style="thin">
        <color indexed="64"/>
      </right>
      <top/>
      <bottom/>
      <diagonal/>
    </border>
    <border>
      <left/>
      <right/>
      <top style="hair">
        <color indexed="8"/>
      </top>
      <bottom style="hair">
        <color indexed="8"/>
      </bottom>
      <diagonal/>
    </border>
    <border>
      <left/>
      <right style="medium">
        <color indexed="8"/>
      </right>
      <top style="thin">
        <color indexed="8"/>
      </top>
      <bottom style="hair">
        <color indexed="8"/>
      </bottom>
      <diagonal/>
    </border>
    <border>
      <left style="thin">
        <color indexed="8"/>
      </left>
      <right/>
      <top/>
      <bottom style="medium">
        <color indexed="8"/>
      </bottom>
      <diagonal/>
    </border>
    <border>
      <left/>
      <right style="thin">
        <color indexed="8"/>
      </right>
      <top/>
      <bottom style="medium">
        <color indexed="8"/>
      </bottom>
      <diagonal/>
    </border>
    <border>
      <left style="hair">
        <color indexed="8"/>
      </left>
      <right style="hair">
        <color indexed="8"/>
      </right>
      <top style="medium">
        <color indexed="8"/>
      </top>
      <bottom/>
      <diagonal/>
    </border>
    <border>
      <left style="medium">
        <color indexed="8"/>
      </left>
      <right style="thin">
        <color indexed="8"/>
      </right>
      <top/>
      <bottom/>
      <diagonal/>
    </border>
    <border>
      <left style="hair">
        <color indexed="8"/>
      </left>
      <right style="hair">
        <color indexed="8"/>
      </right>
      <top/>
      <bottom/>
      <diagonal/>
    </border>
    <border>
      <left style="hair">
        <color indexed="8"/>
      </left>
      <right/>
      <top/>
      <bottom/>
      <diagonal/>
    </border>
    <border>
      <left style="hair">
        <color indexed="8"/>
      </left>
      <right style="hair">
        <color indexed="8"/>
      </right>
      <top/>
      <bottom style="hair">
        <color indexed="8"/>
      </bottom>
      <diagonal/>
    </border>
    <border>
      <left/>
      <right style="hair">
        <color indexed="8"/>
      </right>
      <top/>
      <bottom/>
      <diagonal/>
    </border>
    <border>
      <left style="hair">
        <color indexed="8"/>
      </left>
      <right style="hair">
        <color indexed="8"/>
      </right>
      <top style="hair">
        <color indexed="8"/>
      </top>
      <bottom style="hair">
        <color indexed="8"/>
      </bottom>
      <diagonal/>
    </border>
    <border>
      <left style="hair">
        <color indexed="8"/>
      </left>
      <right/>
      <top style="hair">
        <color indexed="8"/>
      </top>
      <bottom style="hair">
        <color indexed="8"/>
      </bottom>
      <diagonal/>
    </border>
    <border>
      <left/>
      <right style="hair">
        <color indexed="8"/>
      </right>
      <top/>
      <bottom style="thin">
        <color indexed="8"/>
      </bottom>
      <diagonal/>
    </border>
    <border>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diagonal/>
    </border>
    <border>
      <left style="medium">
        <color indexed="64"/>
      </left>
      <right/>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diagonal/>
    </border>
    <border>
      <left style="thin">
        <color indexed="64"/>
      </left>
      <right/>
      <top style="medium">
        <color indexed="64"/>
      </top>
      <bottom/>
      <diagonal/>
    </border>
    <border>
      <left style="thin">
        <color indexed="64"/>
      </left>
      <right style="medium">
        <color indexed="64"/>
      </right>
      <top style="medium">
        <color indexed="64"/>
      </top>
      <bottom/>
      <diagonal/>
    </border>
    <border>
      <left style="medium">
        <color rgb="FFFF0000"/>
      </left>
      <right style="dashed">
        <color rgb="FFFF0000"/>
      </right>
      <top style="medium">
        <color indexed="64"/>
      </top>
      <bottom style="dashed">
        <color rgb="FFFF0000"/>
      </bottom>
      <diagonal/>
    </border>
    <border>
      <left style="dashed">
        <color rgb="FFFF0000"/>
      </left>
      <right style="medium">
        <color rgb="FFFF0000"/>
      </right>
      <top style="medium">
        <color indexed="64"/>
      </top>
      <bottom style="dashed">
        <color rgb="FFFF0000"/>
      </bottom>
      <diagonal/>
    </border>
    <border>
      <left style="thin">
        <color indexed="64"/>
      </left>
      <right/>
      <top/>
      <bottom style="hair">
        <color rgb="FFFF0000"/>
      </bottom>
      <diagonal/>
    </border>
    <border>
      <left style="hair">
        <color rgb="FFFF0000"/>
      </left>
      <right style="medium">
        <color indexed="64"/>
      </right>
      <top/>
      <bottom style="hair">
        <color rgb="FFFF0000"/>
      </bottom>
      <diagonal/>
    </border>
    <border>
      <left style="medium">
        <color indexed="64"/>
      </left>
      <right style="medium">
        <color rgb="FFFF0000"/>
      </right>
      <top style="medium">
        <color indexed="64"/>
      </top>
      <bottom style="medium">
        <color indexed="64"/>
      </bottom>
      <diagonal/>
    </border>
    <border>
      <left style="thin">
        <color indexed="64"/>
      </left>
      <right style="thin">
        <color indexed="64"/>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rgb="FFFF0000"/>
      </left>
      <right style="hair">
        <color rgb="FFFF0000"/>
      </right>
      <top style="hair">
        <color rgb="FFFF0000"/>
      </top>
      <bottom style="medium">
        <color rgb="FFFF0000"/>
      </bottom>
      <diagonal/>
    </border>
    <border>
      <left style="thin">
        <color indexed="64"/>
      </left>
      <right style="medium">
        <color indexed="64"/>
      </right>
      <top/>
      <bottom/>
      <diagonal/>
    </border>
    <border>
      <left/>
      <right style="thin">
        <color indexed="64"/>
      </right>
      <top/>
      <bottom style="medium">
        <color indexed="64"/>
      </bottom>
      <diagonal/>
    </border>
    <border>
      <left/>
      <right/>
      <top style="medium">
        <color indexed="64"/>
      </top>
      <bottom style="medium">
        <color indexed="64"/>
      </bottom>
      <diagonal/>
    </border>
    <border>
      <left style="medium">
        <color indexed="64"/>
      </left>
      <right/>
      <top style="hair">
        <color indexed="64"/>
      </top>
      <bottom style="hair">
        <color indexed="64"/>
      </bottom>
      <diagonal/>
    </border>
    <border>
      <left/>
      <right/>
      <top style="hair">
        <color indexed="64"/>
      </top>
      <bottom style="hair">
        <color indexed="64"/>
      </bottom>
      <diagonal/>
    </border>
    <border>
      <left/>
      <right style="medium">
        <color indexed="64"/>
      </right>
      <top style="hair">
        <color indexed="64"/>
      </top>
      <bottom style="hair">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rgb="FFFF0000"/>
      </left>
      <right style="medium">
        <color rgb="FFFF0000"/>
      </right>
      <top style="medium">
        <color rgb="FFFF0000"/>
      </top>
      <bottom style="hair">
        <color rgb="FFFF0000"/>
      </bottom>
      <diagonal/>
    </border>
    <border>
      <left style="medium">
        <color rgb="FFFF0000"/>
      </left>
      <right style="medium">
        <color rgb="FFFF0000"/>
      </right>
      <top style="hair">
        <color rgb="FFFF0000"/>
      </top>
      <bottom style="hair">
        <color rgb="FFFF0000"/>
      </bottom>
      <diagonal/>
    </border>
    <border>
      <left style="medium">
        <color rgb="FFFF0000"/>
      </left>
      <right style="medium">
        <color rgb="FFFF0000"/>
      </right>
      <top style="medium">
        <color rgb="FFFF0000"/>
      </top>
      <bottom style="medium">
        <color rgb="FFFF0000"/>
      </bottom>
      <diagonal/>
    </border>
    <border>
      <left style="medium">
        <color rgb="FFFF0000"/>
      </left>
      <right style="medium">
        <color rgb="FFFF0000"/>
      </right>
      <top/>
      <bottom style="hair">
        <color rgb="FFFF0000"/>
      </bottom>
      <diagonal/>
    </border>
    <border>
      <left style="medium">
        <color rgb="FFFF0000"/>
      </left>
      <right style="medium">
        <color rgb="FFFF0000"/>
      </right>
      <top style="hair">
        <color rgb="FFFF0000"/>
      </top>
      <bottom style="medium">
        <color rgb="FFFF0000"/>
      </bottom>
      <diagonal/>
    </border>
    <border>
      <left style="hair">
        <color rgb="FFFF0000"/>
      </left>
      <right style="hair">
        <color rgb="FFFF0000"/>
      </right>
      <top style="medium">
        <color indexed="64"/>
      </top>
      <bottom style="medium">
        <color indexed="64"/>
      </bottom>
      <diagonal/>
    </border>
    <border>
      <left style="medium">
        <color indexed="64"/>
      </left>
      <right/>
      <top/>
      <bottom style="hair">
        <color rgb="FFFF0000"/>
      </bottom>
      <diagonal/>
    </border>
    <border>
      <left style="thin">
        <color rgb="FFFF0000"/>
      </left>
      <right style="thin">
        <color rgb="FFFF0000"/>
      </right>
      <top/>
      <bottom style="hair">
        <color rgb="FFFF0000"/>
      </bottom>
      <diagonal/>
    </border>
    <border>
      <left style="thin">
        <color rgb="FFFF0000"/>
      </left>
      <right/>
      <top/>
      <bottom style="hair">
        <color rgb="FFFF0000"/>
      </bottom>
      <diagonal/>
    </border>
    <border>
      <left style="thin">
        <color rgb="FFFF0000"/>
      </left>
      <right style="medium">
        <color indexed="64"/>
      </right>
      <top/>
      <bottom style="hair">
        <color rgb="FFFF0000"/>
      </bottom>
      <diagonal/>
    </border>
    <border>
      <left style="thin">
        <color rgb="FFFF0000"/>
      </left>
      <right/>
      <top style="hair">
        <color rgb="FFFF0000"/>
      </top>
      <bottom style="hair">
        <color rgb="FFFF0000"/>
      </bottom>
      <diagonal/>
    </border>
    <border>
      <left style="thin">
        <color rgb="FFFF0000"/>
      </left>
      <right style="medium">
        <color indexed="64"/>
      </right>
      <top style="hair">
        <color rgb="FFFF0000"/>
      </top>
      <bottom style="hair">
        <color rgb="FFFF0000"/>
      </bottom>
      <diagonal/>
    </border>
    <border>
      <left style="thin">
        <color rgb="FFFF0000"/>
      </left>
      <right/>
      <top style="hair">
        <color rgb="FFFF0000"/>
      </top>
      <bottom/>
      <diagonal/>
    </border>
    <border>
      <left style="thin">
        <color rgb="FFFF0000"/>
      </left>
      <right style="medium">
        <color indexed="64"/>
      </right>
      <top style="hair">
        <color rgb="FFFF0000"/>
      </top>
      <bottom/>
      <diagonal/>
    </border>
    <border>
      <left style="medium">
        <color indexed="64"/>
      </left>
      <right/>
      <top style="hair">
        <color rgb="FFFF0000"/>
      </top>
      <bottom style="hair">
        <color rgb="FFFF0000"/>
      </bottom>
      <diagonal/>
    </border>
    <border>
      <left style="thin">
        <color rgb="FFFF0000"/>
      </left>
      <right style="thin">
        <color rgb="FFFF0000"/>
      </right>
      <top style="hair">
        <color rgb="FFFF0000"/>
      </top>
      <bottom style="hair">
        <color rgb="FFFF0000"/>
      </bottom>
      <diagonal/>
    </border>
    <border>
      <left style="medium">
        <color indexed="64"/>
      </left>
      <right/>
      <top style="hair">
        <color rgb="FFFF0000"/>
      </top>
      <bottom/>
      <diagonal/>
    </border>
    <border>
      <left style="thin">
        <color rgb="FFFF0000"/>
      </left>
      <right style="thin">
        <color rgb="FFFF0000"/>
      </right>
      <top style="hair">
        <color rgb="FFFF0000"/>
      </top>
      <bottom/>
      <diagonal/>
    </border>
    <border>
      <left style="thin">
        <color rgb="FFFF0000"/>
      </left>
      <right style="thin">
        <color rgb="FFFF0000"/>
      </right>
      <top style="medium">
        <color indexed="64"/>
      </top>
      <bottom style="medium">
        <color indexed="64"/>
      </bottom>
      <diagonal/>
    </border>
    <border>
      <left style="thin">
        <color rgb="FFFF0000"/>
      </left>
      <right style="medium">
        <color indexed="64"/>
      </right>
      <top style="medium">
        <color indexed="64"/>
      </top>
      <bottom style="medium">
        <color indexed="64"/>
      </bottom>
      <diagonal/>
    </border>
    <border>
      <left style="medium">
        <color indexed="64"/>
      </left>
      <right/>
      <top style="medium">
        <color indexed="64"/>
      </top>
      <bottom style="hair">
        <color rgb="FFFF0000"/>
      </bottom>
      <diagonal/>
    </border>
    <border>
      <left/>
      <right/>
      <top style="medium">
        <color indexed="64"/>
      </top>
      <bottom style="hair">
        <color rgb="FFFF0000"/>
      </bottom>
      <diagonal/>
    </border>
    <border>
      <left/>
      <right style="medium">
        <color indexed="64"/>
      </right>
      <top style="medium">
        <color indexed="64"/>
      </top>
      <bottom style="hair">
        <color rgb="FFFF0000"/>
      </bottom>
      <diagonal/>
    </border>
    <border>
      <left/>
      <right style="medium">
        <color indexed="64"/>
      </right>
      <top style="hair">
        <color rgb="FFFF0000"/>
      </top>
      <bottom/>
      <diagonal/>
    </border>
    <border>
      <left style="medium">
        <color indexed="64"/>
      </left>
      <right style="hair">
        <color rgb="FFFF0000"/>
      </right>
      <top/>
      <bottom style="hair">
        <color rgb="FFFF0000"/>
      </bottom>
      <diagonal/>
    </border>
    <border>
      <left style="medium">
        <color indexed="64"/>
      </left>
      <right style="hair">
        <color rgb="FFFF0000"/>
      </right>
      <top style="hair">
        <color rgb="FFFF0000"/>
      </top>
      <bottom style="medium">
        <color indexed="64"/>
      </bottom>
      <diagonal/>
    </border>
    <border>
      <left style="hair">
        <color rgb="FFFF0000"/>
      </left>
      <right style="hair">
        <color rgb="FFFF0000"/>
      </right>
      <top style="hair">
        <color rgb="FFFF0000"/>
      </top>
      <bottom style="medium">
        <color indexed="64"/>
      </bottom>
      <diagonal/>
    </border>
    <border>
      <left style="hair">
        <color rgb="FFFF0000"/>
      </left>
      <right style="medium">
        <color indexed="64"/>
      </right>
      <top style="hair">
        <color rgb="FFFF0000"/>
      </top>
      <bottom style="medium">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s>
  <cellStyleXfs count="6">
    <xf numFmtId="0" fontId="0" fillId="0" borderId="0">
      <alignment vertical="center"/>
    </xf>
    <xf numFmtId="0" fontId="9" fillId="0" borderId="0">
      <protection locked="0"/>
    </xf>
    <xf numFmtId="0" fontId="158" fillId="0" borderId="0">
      <protection locked="0"/>
    </xf>
    <xf numFmtId="0" fontId="294" fillId="78" borderId="0">
      <alignment vertical="top"/>
      <protection locked="0"/>
    </xf>
    <xf numFmtId="43" fontId="156" fillId="0" borderId="0">
      <alignment vertical="top"/>
      <protection locked="0"/>
    </xf>
    <xf numFmtId="9" fontId="156" fillId="0" borderId="0">
      <alignment vertical="top"/>
      <protection locked="0"/>
    </xf>
  </cellStyleXfs>
  <cellXfs count="2467">
    <xf numFmtId="0" fontId="0" fillId="0" borderId="0" xfId="0">
      <alignment vertical="center"/>
    </xf>
    <xf numFmtId="0" fontId="1" fillId="0" borderId="0" xfId="0" applyFont="1" applyAlignment="1" applyProtection="1">
      <protection hidden="1"/>
    </xf>
    <xf numFmtId="0" fontId="1" fillId="0" borderId="0" xfId="0" applyFont="1" applyAlignment="1" applyProtection="1">
      <alignment horizontal="center"/>
      <protection hidden="1"/>
    </xf>
    <xf numFmtId="0" fontId="1" fillId="2" borderId="0" xfId="0" applyFont="1" applyFill="1" applyAlignment="1"/>
    <xf numFmtId="0" fontId="1" fillId="0" borderId="0" xfId="0" applyFont="1" applyBorder="1" applyAlignment="1"/>
    <xf numFmtId="0" fontId="3" fillId="2" borderId="0" xfId="0" applyFont="1" applyFill="1" applyBorder="1" applyAlignment="1"/>
    <xf numFmtId="0" fontId="4" fillId="2" borderId="0" xfId="0" applyFont="1" applyFill="1" applyBorder="1" applyAlignment="1"/>
    <xf numFmtId="0" fontId="1" fillId="2" borderId="0" xfId="0" applyFont="1" applyFill="1" applyBorder="1" applyAlignment="1"/>
    <xf numFmtId="0" fontId="5" fillId="4" borderId="0" xfId="0" applyFont="1" applyFill="1" applyBorder="1" applyAlignment="1" applyProtection="1">
      <alignment horizontal="center" vertical="center" wrapText="1"/>
      <protection hidden="1"/>
    </xf>
    <xf numFmtId="0" fontId="7" fillId="0" borderId="0" xfId="0" applyFont="1" applyBorder="1" applyAlignment="1" applyProtection="1">
      <alignment horizontal="left"/>
      <protection hidden="1"/>
    </xf>
    <xf numFmtId="0" fontId="8" fillId="0" borderId="0" xfId="0" applyFont="1" applyBorder="1" applyAlignment="1" applyProtection="1">
      <alignment horizontal="left" vertical="center"/>
      <protection hidden="1"/>
    </xf>
    <xf numFmtId="0" fontId="7" fillId="0" borderId="0" xfId="0" applyFont="1" applyBorder="1" applyAlignment="1" applyProtection="1">
      <alignment horizontal="center"/>
      <protection hidden="1"/>
    </xf>
    <xf numFmtId="0" fontId="9" fillId="0" borderId="0" xfId="1" applyAlignment="1" applyProtection="1"/>
    <xf numFmtId="0" fontId="10" fillId="0" borderId="0" xfId="0" applyFont="1" applyAlignment="1"/>
    <xf numFmtId="0" fontId="10" fillId="0" borderId="0" xfId="0" applyFont="1" applyAlignment="1" applyProtection="1">
      <protection hidden="1"/>
    </xf>
    <xf numFmtId="0" fontId="11" fillId="0" borderId="0" xfId="1" applyFont="1" applyBorder="1" applyAlignment="1" applyProtection="1">
      <alignment vertical="center"/>
      <protection hidden="1"/>
    </xf>
    <xf numFmtId="0" fontId="10" fillId="2" borderId="0" xfId="0" applyFont="1" applyFill="1" applyAlignment="1"/>
    <xf numFmtId="0" fontId="12" fillId="0" borderId="0" xfId="0" applyFont="1" applyAlignment="1" applyProtection="1">
      <alignment horizontal="center"/>
      <protection hidden="1"/>
    </xf>
    <xf numFmtId="0" fontId="13" fillId="0" borderId="0" xfId="0" applyFont="1" applyAlignment="1"/>
    <xf numFmtId="0" fontId="13" fillId="0" borderId="0" xfId="0" applyFont="1" applyAlignment="1" applyProtection="1">
      <protection hidden="1"/>
    </xf>
    <xf numFmtId="0" fontId="13" fillId="2" borderId="0" xfId="0" applyFont="1" applyFill="1" applyAlignment="1"/>
    <xf numFmtId="0" fontId="12" fillId="0" borderId="0" xfId="1" applyFont="1" applyFill="1" applyBorder="1" applyAlignment="1" applyProtection="1">
      <alignment horizontal="center"/>
      <protection hidden="1"/>
    </xf>
    <xf numFmtId="0" fontId="14" fillId="6" borderId="0" xfId="1" applyFont="1" applyFill="1" applyBorder="1" applyAlignment="1" applyProtection="1">
      <alignment horizontal="center"/>
      <protection hidden="1"/>
    </xf>
    <xf numFmtId="0" fontId="15" fillId="7" borderId="1" xfId="0" applyFont="1" applyFill="1" applyBorder="1" applyAlignment="1" applyProtection="1">
      <alignment horizontal="center"/>
      <protection hidden="1"/>
    </xf>
    <xf numFmtId="0" fontId="16" fillId="0" borderId="2" xfId="0" applyFont="1" applyFill="1" applyBorder="1" applyAlignment="1" applyProtection="1">
      <alignment horizontal="left"/>
      <protection hidden="1"/>
    </xf>
    <xf numFmtId="0" fontId="17" fillId="0" borderId="2" xfId="0" applyFont="1" applyFill="1" applyBorder="1" applyAlignment="1" applyProtection="1">
      <alignment horizontal="left"/>
      <protection hidden="1"/>
    </xf>
    <xf numFmtId="0" fontId="18" fillId="8" borderId="3" xfId="0" applyFont="1" applyFill="1" applyBorder="1" applyAlignment="1" applyProtection="1">
      <alignment horizontal="left"/>
      <protection hidden="1"/>
    </xf>
    <xf numFmtId="0" fontId="19" fillId="9" borderId="3" xfId="0" applyFont="1" applyFill="1" applyBorder="1" applyAlignment="1" applyProtection="1">
      <alignment horizontal="center" vertical="center"/>
      <protection hidden="1"/>
    </xf>
    <xf numFmtId="0" fontId="16" fillId="10" borderId="2" xfId="0" applyFont="1" applyFill="1" applyBorder="1" applyAlignment="1" applyProtection="1">
      <alignment horizontal="left"/>
      <protection hidden="1"/>
    </xf>
    <xf numFmtId="0" fontId="20" fillId="0" borderId="2" xfId="0" applyFont="1" applyFill="1" applyBorder="1" applyAlignment="1" applyProtection="1">
      <alignment horizontal="left"/>
      <protection hidden="1"/>
    </xf>
    <xf numFmtId="0" fontId="18" fillId="11" borderId="3" xfId="0" applyFont="1" applyFill="1" applyBorder="1" applyAlignment="1" applyProtection="1">
      <alignment horizontal="left"/>
      <protection hidden="1"/>
    </xf>
    <xf numFmtId="0" fontId="17" fillId="9" borderId="3" xfId="0" applyFont="1" applyFill="1" applyBorder="1" applyAlignment="1" applyProtection="1">
      <alignment horizontal="center" vertical="center"/>
      <protection hidden="1"/>
    </xf>
    <xf numFmtId="0" fontId="16" fillId="12" borderId="2" xfId="0" applyFont="1" applyFill="1" applyBorder="1" applyAlignment="1" applyProtection="1">
      <alignment horizontal="left"/>
      <protection hidden="1"/>
    </xf>
    <xf numFmtId="0" fontId="17" fillId="0" borderId="3" xfId="0" applyFont="1" applyFill="1" applyBorder="1" applyAlignment="1" applyProtection="1">
      <alignment horizontal="left"/>
      <protection hidden="1"/>
    </xf>
    <xf numFmtId="0" fontId="21" fillId="13" borderId="4" xfId="0" applyFont="1" applyFill="1" applyBorder="1" applyAlignment="1" applyProtection="1">
      <alignment horizontal="left"/>
      <protection hidden="1"/>
    </xf>
    <xf numFmtId="0" fontId="22" fillId="14" borderId="5" xfId="0" applyFont="1" applyFill="1" applyBorder="1" applyProtection="1">
      <alignment vertical="center"/>
      <protection hidden="1"/>
    </xf>
    <xf numFmtId="164" fontId="7" fillId="14" borderId="0" xfId="0" applyNumberFormat="1" applyFont="1" applyFill="1" applyBorder="1" applyAlignment="1" applyProtection="1">
      <alignment horizontal="center" vertical="top" wrapText="1"/>
      <protection hidden="1"/>
    </xf>
    <xf numFmtId="0" fontId="8" fillId="0" borderId="0" xfId="0" applyFont="1" applyAlignment="1">
      <alignment vertical="top"/>
    </xf>
    <xf numFmtId="0" fontId="8" fillId="0" borderId="0" xfId="0" applyFont="1" applyAlignment="1" applyProtection="1">
      <alignment vertical="top"/>
      <protection hidden="1"/>
    </xf>
    <xf numFmtId="0" fontId="8" fillId="0" borderId="0" xfId="0" applyFont="1" applyAlignment="1" applyProtection="1">
      <alignment horizontal="center"/>
      <protection hidden="1"/>
    </xf>
    <xf numFmtId="0" fontId="17" fillId="14" borderId="6" xfId="0" applyFont="1" applyFill="1" applyBorder="1" applyAlignment="1" applyProtection="1">
      <alignment horizontal="left" vertical="center" wrapText="1"/>
      <protection hidden="1"/>
    </xf>
    <xf numFmtId="0" fontId="8" fillId="2" borderId="0" xfId="0" applyFont="1" applyFill="1" applyAlignment="1">
      <alignment vertical="top"/>
    </xf>
    <xf numFmtId="0" fontId="1" fillId="0" borderId="7" xfId="0" applyFont="1" applyBorder="1" applyAlignment="1" applyProtection="1">
      <alignment horizontal="center" vertical="top"/>
      <protection hidden="1"/>
    </xf>
    <xf numFmtId="0" fontId="1" fillId="14" borderId="6" xfId="0" applyFont="1" applyFill="1" applyBorder="1" applyAlignment="1" applyProtection="1">
      <alignment wrapText="1"/>
      <protection hidden="1"/>
    </xf>
    <xf numFmtId="0" fontId="1" fillId="0" borderId="8" xfId="0" applyFont="1" applyBorder="1" applyAlignment="1" applyProtection="1">
      <alignment horizontal="center" vertical="top"/>
      <protection hidden="1"/>
    </xf>
    <xf numFmtId="0" fontId="23" fillId="14" borderId="5" xfId="0" applyFont="1" applyFill="1" applyBorder="1" applyAlignment="1" applyProtection="1">
      <protection hidden="1"/>
    </xf>
    <xf numFmtId="0" fontId="1" fillId="0" borderId="9" xfId="0" applyFont="1" applyBorder="1" applyAlignment="1" applyProtection="1">
      <alignment horizontal="center"/>
      <protection hidden="1"/>
    </xf>
    <xf numFmtId="0" fontId="17" fillId="14" borderId="10" xfId="0" applyFont="1" applyFill="1" applyBorder="1" applyAlignment="1" applyProtection="1">
      <alignment wrapText="1"/>
      <protection hidden="1"/>
    </xf>
    <xf numFmtId="0" fontId="1" fillId="0" borderId="11" xfId="0" applyFont="1" applyBorder="1" applyAlignment="1" applyProtection="1">
      <alignment horizontal="center"/>
      <protection hidden="1"/>
    </xf>
    <xf numFmtId="0" fontId="24" fillId="14" borderId="5" xfId="0" applyFont="1" applyFill="1" applyBorder="1" applyAlignment="1" applyProtection="1">
      <protection hidden="1"/>
    </xf>
    <xf numFmtId="0" fontId="1" fillId="0" borderId="12" xfId="0" applyFont="1" applyBorder="1" applyAlignment="1" applyProtection="1">
      <alignment horizontal="center"/>
      <protection hidden="1"/>
    </xf>
    <xf numFmtId="0" fontId="17" fillId="14" borderId="5" xfId="0" applyFont="1" applyFill="1" applyBorder="1" applyAlignment="1" applyProtection="1">
      <protection hidden="1"/>
    </xf>
    <xf numFmtId="0" fontId="1" fillId="0" borderId="13" xfId="0" applyFont="1" applyBorder="1" applyAlignment="1" applyProtection="1">
      <alignment horizontal="center"/>
      <protection hidden="1"/>
    </xf>
    <xf numFmtId="0" fontId="1" fillId="0" borderId="14" xfId="0" applyFont="1" applyBorder="1" applyAlignment="1" applyProtection="1">
      <alignment horizontal="center"/>
      <protection hidden="1"/>
    </xf>
    <xf numFmtId="0" fontId="17" fillId="14" borderId="10" xfId="0" applyFont="1" applyFill="1" applyBorder="1" applyAlignment="1" applyProtection="1">
      <protection hidden="1"/>
    </xf>
    <xf numFmtId="0" fontId="25" fillId="14" borderId="0" xfId="0" applyFont="1" applyFill="1" applyBorder="1" applyAlignment="1" applyProtection="1">
      <protection hidden="1"/>
    </xf>
    <xf numFmtId="164" fontId="17" fillId="14" borderId="15" xfId="0" applyNumberFormat="1" applyFont="1" applyFill="1" applyBorder="1" applyAlignment="1" applyProtection="1">
      <alignment vertical="top" wrapText="1"/>
      <protection hidden="1"/>
    </xf>
    <xf numFmtId="0" fontId="1" fillId="0" borderId="16" xfId="0" applyFont="1" applyBorder="1" applyAlignment="1" applyProtection="1">
      <alignment horizontal="center"/>
      <protection hidden="1"/>
    </xf>
    <xf numFmtId="164" fontId="17" fillId="15" borderId="17" xfId="0" applyNumberFormat="1" applyFont="1" applyFill="1" applyBorder="1" applyAlignment="1" applyProtection="1">
      <alignment vertical="top" wrapText="1"/>
      <protection hidden="1"/>
    </xf>
    <xf numFmtId="0" fontId="26" fillId="16" borderId="18" xfId="0" applyFont="1" applyFill="1" applyBorder="1" applyAlignment="1" applyProtection="1">
      <alignment horizontal="left" vertical="top" wrapText="1"/>
      <protection hidden="1"/>
    </xf>
    <xf numFmtId="0" fontId="26" fillId="16" borderId="19" xfId="0" applyFont="1" applyFill="1" applyBorder="1" applyAlignment="1" applyProtection="1">
      <alignment horizontal="center" vertical="center" wrapText="1"/>
      <protection hidden="1"/>
    </xf>
    <xf numFmtId="164" fontId="7" fillId="14" borderId="20" xfId="0" applyNumberFormat="1" applyFont="1" applyFill="1" applyBorder="1" applyAlignment="1" applyProtection="1">
      <alignment horizontal="center" vertical="top" wrapText="1"/>
      <protection hidden="1"/>
    </xf>
    <xf numFmtId="164" fontId="21" fillId="14" borderId="21" xfId="0" applyNumberFormat="1" applyFont="1" applyFill="1" applyBorder="1" applyAlignment="1" applyProtection="1">
      <alignment vertical="top" wrapText="1"/>
      <protection hidden="1"/>
    </xf>
    <xf numFmtId="164" fontId="7" fillId="14" borderId="22" xfId="0" applyNumberFormat="1" applyFont="1" applyFill="1" applyBorder="1" applyAlignment="1" applyProtection="1">
      <alignment horizontal="center" vertical="top" wrapText="1"/>
      <protection hidden="1"/>
    </xf>
    <xf numFmtId="164" fontId="21" fillId="14" borderId="23" xfId="0" applyNumberFormat="1" applyFont="1" applyFill="1" applyBorder="1" applyAlignment="1" applyProtection="1">
      <alignment vertical="top" wrapText="1"/>
      <protection hidden="1"/>
    </xf>
    <xf numFmtId="164" fontId="27" fillId="14" borderId="23" xfId="0" applyNumberFormat="1" applyFont="1" applyFill="1" applyBorder="1" applyAlignment="1" applyProtection="1">
      <alignment vertical="top" wrapText="1"/>
      <protection hidden="1"/>
    </xf>
    <xf numFmtId="164" fontId="7" fillId="15" borderId="24" xfId="0" applyNumberFormat="1" applyFont="1" applyFill="1" applyBorder="1" applyAlignment="1" applyProtection="1">
      <alignment vertical="top" wrapText="1"/>
      <protection hidden="1"/>
    </xf>
    <xf numFmtId="164" fontId="7" fillId="14" borderId="25" xfId="0" applyNumberFormat="1" applyFont="1" applyFill="1" applyBorder="1" applyAlignment="1" applyProtection="1">
      <alignment horizontal="center" vertical="top" wrapText="1"/>
      <protection hidden="1"/>
    </xf>
    <xf numFmtId="164" fontId="7" fillId="15" borderId="14" xfId="0" applyNumberFormat="1" applyFont="1" applyFill="1" applyBorder="1" applyAlignment="1" applyProtection="1">
      <alignment vertical="top" wrapText="1"/>
      <protection hidden="1"/>
    </xf>
    <xf numFmtId="164" fontId="7" fillId="15" borderId="26" xfId="0" applyNumberFormat="1" applyFont="1" applyFill="1" applyBorder="1" applyAlignment="1" applyProtection="1">
      <alignment vertical="top" wrapText="1"/>
      <protection hidden="1"/>
    </xf>
    <xf numFmtId="0" fontId="1" fillId="0" borderId="0" xfId="0" applyFont="1" applyAlignment="1"/>
    <xf numFmtId="0" fontId="1" fillId="0" borderId="0" xfId="0" applyFont="1" applyAlignment="1" applyProtection="1">
      <protection hidden="1"/>
    </xf>
    <xf numFmtId="164" fontId="27" fillId="14" borderId="23" xfId="0" applyNumberFormat="1" applyFont="1" applyFill="1" applyBorder="1" applyAlignment="1" applyProtection="1">
      <alignment wrapText="1"/>
      <protection hidden="1"/>
    </xf>
    <xf numFmtId="0" fontId="1" fillId="2" borderId="0" xfId="0" applyFont="1" applyFill="1" applyAlignment="1"/>
    <xf numFmtId="164" fontId="27" fillId="0" borderId="23" xfId="0" applyNumberFormat="1" applyFont="1" applyBorder="1" applyAlignment="1" applyProtection="1">
      <alignment vertical="top" wrapText="1"/>
      <protection hidden="1"/>
    </xf>
    <xf numFmtId="0" fontId="7" fillId="0" borderId="27" xfId="0" applyFont="1" applyBorder="1" applyAlignment="1" applyProtection="1">
      <alignment horizontal="center"/>
      <protection hidden="1"/>
    </xf>
    <xf numFmtId="164" fontId="27" fillId="14" borderId="28" xfId="0" applyNumberFormat="1" applyFont="1" applyFill="1" applyBorder="1" applyAlignment="1" applyProtection="1">
      <alignment vertical="top" wrapText="1"/>
      <protection hidden="1"/>
    </xf>
    <xf numFmtId="164" fontId="27" fillId="14" borderId="29" xfId="0" applyNumberFormat="1" applyFont="1" applyFill="1" applyBorder="1" applyAlignment="1" applyProtection="1">
      <alignment vertical="top" wrapText="1"/>
      <protection hidden="1"/>
    </xf>
    <xf numFmtId="0" fontId="1" fillId="0" borderId="7" xfId="0" applyFont="1" applyBorder="1" applyAlignment="1" applyProtection="1">
      <alignment horizontal="center" vertical="center"/>
      <protection hidden="1"/>
    </xf>
    <xf numFmtId="0" fontId="28" fillId="14" borderId="27" xfId="0" applyFont="1" applyFill="1" applyBorder="1" applyAlignment="1" applyProtection="1">
      <alignment horizontal="center" vertical="center"/>
      <protection hidden="1"/>
    </xf>
    <xf numFmtId="0" fontId="1" fillId="0" borderId="14" xfId="0" applyFont="1" applyBorder="1" applyAlignment="1" applyProtection="1">
      <alignment horizontal="center" vertical="top"/>
      <protection hidden="1"/>
    </xf>
    <xf numFmtId="0" fontId="1" fillId="0" borderId="14" xfId="0" applyNumberFormat="1" applyFont="1" applyBorder="1" applyAlignment="1" applyProtection="1">
      <alignment vertical="top" wrapText="1"/>
      <protection hidden="1"/>
    </xf>
    <xf numFmtId="0" fontId="1" fillId="0" borderId="7" xfId="0" applyFont="1" applyBorder="1" applyAlignment="1" applyProtection="1">
      <alignment horizontal="center" vertical="top" wrapText="1"/>
      <protection hidden="1"/>
    </xf>
    <xf numFmtId="0" fontId="29" fillId="0" borderId="7" xfId="0" applyFont="1" applyBorder="1" applyAlignment="1" applyProtection="1">
      <alignment horizontal="center" vertical="center"/>
      <protection hidden="1"/>
    </xf>
    <xf numFmtId="0" fontId="1" fillId="0" borderId="0" xfId="0" applyFont="1" applyAlignment="1" applyProtection="1">
      <alignment horizontal="center" vertical="center"/>
      <protection hidden="1"/>
    </xf>
    <xf numFmtId="0" fontId="1" fillId="0" borderId="0" xfId="0" applyFont="1" applyAlignment="1" applyProtection="1">
      <alignment vertical="top" wrapText="1"/>
      <protection hidden="1"/>
    </xf>
    <xf numFmtId="0" fontId="1" fillId="0" borderId="7" xfId="0" applyFont="1" applyBorder="1" applyAlignment="1" applyProtection="1">
      <alignment vertical="top" wrapText="1"/>
      <protection hidden="1"/>
    </xf>
    <xf numFmtId="0" fontId="1" fillId="0" borderId="8" xfId="0" applyNumberFormat="1" applyFont="1" applyBorder="1" applyAlignment="1" applyProtection="1">
      <alignment vertical="top" wrapText="1"/>
      <protection hidden="1"/>
    </xf>
    <xf numFmtId="0" fontId="1" fillId="0" borderId="7" xfId="0" applyFont="1" applyBorder="1" applyAlignment="1" applyProtection="1">
      <alignment horizontal="left" vertical="top" wrapText="1"/>
      <protection hidden="1"/>
    </xf>
    <xf numFmtId="0" fontId="1" fillId="0" borderId="30" xfId="0" applyFont="1" applyBorder="1" applyAlignment="1" applyProtection="1">
      <alignment horizontal="center" vertical="top"/>
      <protection hidden="1"/>
    </xf>
    <xf numFmtId="0" fontId="1" fillId="0" borderId="8" xfId="0" applyFont="1" applyBorder="1" applyAlignment="1" applyProtection="1">
      <alignment vertical="top" wrapText="1"/>
      <protection hidden="1"/>
    </xf>
    <xf numFmtId="0" fontId="1" fillId="0" borderId="31" xfId="0" applyFont="1" applyBorder="1" applyAlignment="1" applyProtection="1">
      <alignment horizontal="center" vertical="top"/>
      <protection hidden="1"/>
    </xf>
    <xf numFmtId="0" fontId="1" fillId="0" borderId="32" xfId="0" applyFont="1" applyBorder="1" applyAlignment="1" applyProtection="1">
      <alignment vertical="top" wrapText="1"/>
      <protection hidden="1"/>
    </xf>
    <xf numFmtId="0" fontId="7" fillId="0" borderId="0" xfId="0" applyFont="1" applyAlignment="1" applyProtection="1">
      <alignment horizontal="center"/>
      <protection hidden="1"/>
    </xf>
    <xf numFmtId="0" fontId="21" fillId="16" borderId="33" xfId="0" applyFont="1" applyFill="1" applyBorder="1" applyAlignment="1" applyProtection="1">
      <alignment horizontal="center" vertical="top" wrapText="1"/>
      <protection hidden="1"/>
    </xf>
    <xf numFmtId="0" fontId="30" fillId="0" borderId="34" xfId="0" applyFont="1" applyBorder="1" applyAlignment="1" applyProtection="1">
      <alignment vertical="center" wrapText="1"/>
      <protection hidden="1"/>
    </xf>
    <xf numFmtId="0" fontId="1" fillId="2" borderId="0" xfId="0" applyFont="1" applyFill="1" applyAlignment="1" applyProtection="1">
      <protection hidden="1"/>
    </xf>
    <xf numFmtId="0" fontId="1" fillId="2" borderId="0" xfId="0" applyFont="1" applyFill="1" applyAlignment="1" applyProtection="1">
      <alignment horizontal="center"/>
      <protection hidden="1"/>
    </xf>
    <xf numFmtId="0" fontId="31" fillId="16" borderId="18" xfId="0" applyFont="1" applyFill="1" applyBorder="1" applyAlignment="1" applyProtection="1">
      <alignment horizontal="center" vertical="top" wrapText="1"/>
      <protection hidden="1"/>
    </xf>
    <xf numFmtId="0" fontId="32" fillId="17" borderId="35" xfId="1" applyFont="1" applyFill="1" applyBorder="1" applyAlignment="1" applyProtection="1">
      <protection hidden="1"/>
    </xf>
    <xf numFmtId="0" fontId="1" fillId="0" borderId="0" xfId="0" applyFont="1" applyFill="1" applyAlignment="1"/>
    <xf numFmtId="0" fontId="1" fillId="0" borderId="0" xfId="0" applyFont="1" applyFill="1" applyAlignment="1" applyProtection="1">
      <protection hidden="1"/>
    </xf>
    <xf numFmtId="0" fontId="1" fillId="0" borderId="0" xfId="0" applyFont="1" applyFill="1" applyAlignment="1" applyProtection="1">
      <alignment horizontal="center"/>
      <protection hidden="1"/>
    </xf>
    <xf numFmtId="0" fontId="1" fillId="0" borderId="0" xfId="0" applyNumberFormat="1" applyFont="1" applyAlignment="1" applyProtection="1">
      <protection hidden="1"/>
    </xf>
    <xf numFmtId="0" fontId="33" fillId="0" borderId="0" xfId="2" applyFont="1" applyAlignment="1" applyProtection="1"/>
    <xf numFmtId="0" fontId="34" fillId="0" borderId="0" xfId="2" applyFont="1" applyAlignment="1" applyProtection="1"/>
    <xf numFmtId="0" fontId="35" fillId="0" borderId="0" xfId="2" applyFont="1" applyAlignment="1" applyProtection="1"/>
    <xf numFmtId="0" fontId="33" fillId="0" borderId="0" xfId="2" applyFont="1" applyAlignment="1" applyProtection="1">
      <alignment horizontal="right"/>
    </xf>
    <xf numFmtId="0" fontId="36" fillId="0" borderId="0" xfId="2" applyFont="1" applyAlignment="1" applyProtection="1"/>
    <xf numFmtId="0" fontId="36" fillId="0" borderId="0" xfId="2" applyFont="1" applyAlignment="1" applyProtection="1">
      <alignment horizontal="center" vertical="center"/>
    </xf>
    <xf numFmtId="0" fontId="33" fillId="18" borderId="0" xfId="2" applyFont="1" applyFill="1" applyAlignment="1" applyProtection="1"/>
    <xf numFmtId="0" fontId="34" fillId="18" borderId="0" xfId="2" applyFont="1" applyFill="1" applyAlignment="1" applyProtection="1"/>
    <xf numFmtId="0" fontId="35" fillId="18" borderId="0" xfId="2" applyFont="1" applyFill="1" applyAlignment="1" applyProtection="1"/>
    <xf numFmtId="0" fontId="33" fillId="18" borderId="0" xfId="2" applyFont="1" applyFill="1" applyAlignment="1" applyProtection="1">
      <alignment horizontal="right"/>
    </xf>
    <xf numFmtId="0" fontId="36" fillId="18" borderId="0" xfId="2" applyFont="1" applyFill="1" applyAlignment="1" applyProtection="1"/>
    <xf numFmtId="0" fontId="36" fillId="18" borderId="0" xfId="2" applyFont="1" applyFill="1" applyAlignment="1" applyProtection="1">
      <alignment horizontal="center" vertical="center"/>
    </xf>
    <xf numFmtId="0" fontId="37" fillId="18" borderId="0" xfId="2" applyFont="1" applyFill="1" applyAlignment="1" applyProtection="1"/>
    <xf numFmtId="0" fontId="38" fillId="18" borderId="0" xfId="1" applyFont="1" applyFill="1" applyAlignment="1" applyProtection="1">
      <alignment vertical="center"/>
    </xf>
    <xf numFmtId="0" fontId="37" fillId="18" borderId="0" xfId="2" applyFont="1" applyFill="1" applyAlignment="1" applyProtection="1">
      <alignment horizontal="right"/>
    </xf>
    <xf numFmtId="0" fontId="38" fillId="18" borderId="0" xfId="1" applyFont="1" applyFill="1" applyAlignment="1" applyProtection="1">
      <alignment horizontal="center" vertical="center"/>
    </xf>
    <xf numFmtId="0" fontId="39" fillId="20" borderId="0" xfId="2" applyFont="1" applyFill="1" applyBorder="1" applyAlignment="1" applyProtection="1">
      <alignment horizontal="center" vertical="center"/>
      <protection hidden="1"/>
    </xf>
    <xf numFmtId="0" fontId="41" fillId="18" borderId="0" xfId="2" applyFont="1" applyFill="1" applyBorder="1" applyAlignment="1" applyProtection="1">
      <alignment vertical="center" wrapText="1"/>
    </xf>
    <xf numFmtId="0" fontId="41" fillId="18" borderId="36" xfId="2" applyFont="1" applyFill="1" applyBorder="1" applyAlignment="1" applyProtection="1">
      <alignment vertical="center" wrapText="1"/>
    </xf>
    <xf numFmtId="0" fontId="43" fillId="18" borderId="0" xfId="2" applyFont="1" applyFill="1" applyBorder="1" applyAlignment="1" applyProtection="1">
      <alignment horizontal="center" vertical="center" wrapText="1"/>
    </xf>
    <xf numFmtId="0" fontId="33" fillId="0" borderId="0" xfId="2" applyFont="1" applyAlignment="1" applyProtection="1">
      <alignment vertical="center"/>
    </xf>
    <xf numFmtId="0" fontId="33" fillId="18" borderId="0" xfId="2" applyFont="1" applyFill="1" applyAlignment="1" applyProtection="1">
      <alignment vertical="center"/>
    </xf>
    <xf numFmtId="0" fontId="34" fillId="18" borderId="0" xfId="2" applyFont="1" applyFill="1" applyAlignment="1" applyProtection="1">
      <alignment vertical="center"/>
    </xf>
    <xf numFmtId="0" fontId="45" fillId="18" borderId="0" xfId="2" applyFont="1" applyFill="1" applyAlignment="1" applyProtection="1">
      <alignment vertical="center"/>
    </xf>
    <xf numFmtId="0" fontId="33" fillId="0" borderId="0" xfId="2" applyFont="1" applyAlignment="1" applyProtection="1">
      <alignment horizontal="right" vertical="center"/>
    </xf>
    <xf numFmtId="0" fontId="36" fillId="0" borderId="0" xfId="2" applyFont="1" applyAlignment="1" applyProtection="1">
      <alignment vertical="center"/>
    </xf>
    <xf numFmtId="0" fontId="33" fillId="18" borderId="0" xfId="2" applyFont="1" applyFill="1" applyAlignment="1" applyProtection="1"/>
    <xf numFmtId="0" fontId="46" fillId="18" borderId="0" xfId="2" applyFont="1" applyFill="1" applyBorder="1" applyAlignment="1" applyProtection="1">
      <alignment horizontal="center" vertical="center"/>
    </xf>
    <xf numFmtId="0" fontId="5" fillId="18" borderId="0" xfId="2" applyFont="1" applyFill="1" applyBorder="1" applyAlignment="1" applyProtection="1">
      <alignment horizontal="center" vertical="center"/>
      <protection locked="0" hidden="1"/>
    </xf>
    <xf numFmtId="0" fontId="47" fillId="18" borderId="0" xfId="2" applyFont="1" applyFill="1" applyAlignment="1" applyProtection="1">
      <alignment horizontal="center" vertical="center"/>
    </xf>
    <xf numFmtId="0" fontId="43" fillId="18" borderId="0" xfId="2" applyFont="1" applyFill="1" applyBorder="1" applyAlignment="1" applyProtection="1">
      <alignment vertical="center" wrapText="1"/>
    </xf>
    <xf numFmtId="0" fontId="50" fillId="18" borderId="0" xfId="2" applyFont="1" applyFill="1" applyBorder="1" applyAlignment="1" applyProtection="1">
      <alignment vertical="center"/>
    </xf>
    <xf numFmtId="0" fontId="50" fillId="18" borderId="0" xfId="2" applyFont="1" applyFill="1" applyAlignment="1" applyProtection="1">
      <alignment horizontal="center" vertical="center"/>
    </xf>
    <xf numFmtId="0" fontId="50" fillId="18" borderId="0" xfId="2" applyFont="1" applyFill="1" applyAlignment="1" applyProtection="1">
      <alignment vertical="center"/>
    </xf>
    <xf numFmtId="0" fontId="33" fillId="18" borderId="0" xfId="2" applyFont="1" applyFill="1" applyAlignment="1" applyProtection="1">
      <protection locked="0" hidden="1"/>
    </xf>
    <xf numFmtId="0" fontId="33" fillId="18" borderId="0" xfId="2" applyFont="1" applyFill="1" applyBorder="1" applyAlignment="1" applyProtection="1">
      <protection locked="0" hidden="1"/>
    </xf>
    <xf numFmtId="0" fontId="33" fillId="0" borderId="0" xfId="2" applyFont="1" applyFill="1" applyAlignment="1" applyProtection="1"/>
    <xf numFmtId="0" fontId="33" fillId="0" borderId="0" xfId="2" applyFont="1" applyFill="1" applyAlignment="1" applyProtection="1">
      <alignment horizontal="right"/>
    </xf>
    <xf numFmtId="0" fontId="33" fillId="22" borderId="0" xfId="2" applyFont="1" applyFill="1" applyAlignment="1" applyProtection="1"/>
    <xf numFmtId="0" fontId="52" fillId="22" borderId="0" xfId="2" applyFont="1" applyFill="1" applyAlignment="1" applyProtection="1">
      <alignment horizontal="center"/>
    </xf>
    <xf numFmtId="0" fontId="33" fillId="22" borderId="0" xfId="2" applyFont="1" applyFill="1" applyBorder="1" applyAlignment="1" applyProtection="1"/>
    <xf numFmtId="0" fontId="34" fillId="22" borderId="0" xfId="2" applyFont="1" applyFill="1" applyAlignment="1" applyProtection="1"/>
    <xf numFmtId="0" fontId="35" fillId="18" borderId="0" xfId="2" applyFont="1" applyFill="1" applyAlignment="1" applyProtection="1">
      <alignment vertical="center"/>
    </xf>
    <xf numFmtId="0" fontId="53" fillId="23" borderId="0" xfId="2" applyFont="1" applyFill="1" applyBorder="1" applyAlignment="1" applyProtection="1">
      <alignment vertical="center"/>
      <protection hidden="1"/>
    </xf>
    <xf numFmtId="0" fontId="55" fillId="25" borderId="0" xfId="2" applyFont="1" applyFill="1" applyBorder="1" applyAlignment="1" applyProtection="1">
      <alignment horizontal="center" vertical="center"/>
      <protection hidden="1"/>
    </xf>
    <xf numFmtId="0" fontId="33" fillId="27" borderId="45" xfId="2" applyFont="1" applyFill="1" applyBorder="1" applyAlignment="1" applyProtection="1"/>
    <xf numFmtId="0" fontId="55" fillId="25" borderId="47" xfId="2" applyFont="1" applyFill="1" applyBorder="1" applyAlignment="1" applyProtection="1">
      <alignment vertical="center"/>
      <protection hidden="1"/>
    </xf>
    <xf numFmtId="0" fontId="58" fillId="25" borderId="0" xfId="2" applyFont="1" applyFill="1" applyBorder="1" applyAlignment="1" applyProtection="1">
      <alignment horizontal="center" vertical="center"/>
    </xf>
    <xf numFmtId="0" fontId="58" fillId="28" borderId="0" xfId="2" applyFont="1" applyFill="1" applyBorder="1" applyAlignment="1" applyProtection="1">
      <alignment horizontal="center" vertical="center"/>
      <protection locked="0" hidden="1"/>
    </xf>
    <xf numFmtId="0" fontId="58" fillId="28" borderId="0" xfId="2" applyFont="1" applyFill="1" applyBorder="1" applyAlignment="1" applyProtection="1">
      <alignment horizontal="center" vertical="center"/>
    </xf>
    <xf numFmtId="165" fontId="44" fillId="29" borderId="37" xfId="2" applyNumberFormat="1" applyFont="1" applyFill="1" applyBorder="1" applyAlignment="1" applyProtection="1">
      <alignment horizontal="center" vertical="center"/>
      <protection hidden="1"/>
    </xf>
    <xf numFmtId="0" fontId="59" fillId="29" borderId="38" xfId="2" applyNumberFormat="1" applyFont="1" applyFill="1" applyBorder="1" applyAlignment="1" applyProtection="1">
      <alignment horizontal="center" vertical="center"/>
      <protection hidden="1"/>
    </xf>
    <xf numFmtId="0" fontId="60" fillId="29" borderId="39" xfId="2" applyFont="1" applyFill="1" applyBorder="1" applyAlignment="1" applyProtection="1">
      <alignment horizontal="center" vertical="center"/>
      <protection hidden="1"/>
    </xf>
    <xf numFmtId="0" fontId="60" fillId="30" borderId="0" xfId="2" applyFont="1" applyFill="1" applyBorder="1" applyAlignment="1" applyProtection="1">
      <alignment horizontal="center" vertical="center"/>
      <protection hidden="1"/>
    </xf>
    <xf numFmtId="0" fontId="60" fillId="29" borderId="37" xfId="2" applyFont="1" applyFill="1" applyBorder="1" applyAlignment="1" applyProtection="1">
      <alignment horizontal="center" vertical="center"/>
      <protection hidden="1"/>
    </xf>
    <xf numFmtId="0" fontId="61" fillId="29" borderId="39" xfId="2" applyFont="1" applyFill="1" applyBorder="1" applyAlignment="1" applyProtection="1">
      <alignment horizontal="center" vertical="center"/>
      <protection hidden="1"/>
    </xf>
    <xf numFmtId="0" fontId="61" fillId="28" borderId="0" xfId="2" applyFont="1" applyFill="1" applyBorder="1" applyAlignment="1" applyProtection="1">
      <alignment horizontal="center" vertical="center"/>
      <protection hidden="1"/>
    </xf>
    <xf numFmtId="0" fontId="62" fillId="28" borderId="0" xfId="2" applyFont="1" applyFill="1" applyBorder="1" applyAlignment="1" applyProtection="1">
      <alignment horizontal="center" vertical="center"/>
      <protection hidden="1"/>
    </xf>
    <xf numFmtId="0" fontId="62" fillId="18" borderId="0" xfId="2" applyFont="1" applyFill="1" applyAlignment="1" applyProtection="1">
      <protection locked="0" hidden="1"/>
    </xf>
    <xf numFmtId="0" fontId="61" fillId="18" borderId="0" xfId="2" applyFont="1" applyFill="1" applyBorder="1" applyAlignment="1" applyProtection="1">
      <protection locked="0" hidden="1"/>
    </xf>
    <xf numFmtId="165" fontId="63" fillId="18" borderId="0" xfId="2" applyNumberFormat="1" applyFont="1" applyFill="1" applyBorder="1" applyAlignment="1" applyProtection="1">
      <alignment horizontal="center" vertical="center"/>
      <protection hidden="1"/>
    </xf>
    <xf numFmtId="0" fontId="64" fillId="18" borderId="0" xfId="2" applyFont="1" applyFill="1" applyBorder="1" applyAlignment="1" applyProtection="1">
      <alignment horizontal="center" vertical="center"/>
      <protection hidden="1"/>
    </xf>
    <xf numFmtId="3" fontId="65" fillId="18" borderId="0" xfId="2" applyNumberFormat="1" applyFont="1" applyFill="1" applyAlignment="1" applyProtection="1">
      <protection hidden="1"/>
    </xf>
    <xf numFmtId="0" fontId="62" fillId="18" borderId="0" xfId="2" applyFont="1" applyFill="1" applyAlignment="1" applyProtection="1">
      <protection hidden="1"/>
    </xf>
    <xf numFmtId="0" fontId="33" fillId="18" borderId="0" xfId="2" applyFont="1" applyFill="1" applyAlignment="1" applyProtection="1">
      <protection hidden="1"/>
    </xf>
    <xf numFmtId="0" fontId="33" fillId="18" borderId="0" xfId="2" applyFont="1" applyFill="1" applyBorder="1" applyAlignment="1" applyProtection="1"/>
    <xf numFmtId="0" fontId="33" fillId="31" borderId="0" xfId="2" applyFont="1" applyFill="1" applyBorder="1" applyAlignment="1" applyProtection="1">
      <protection hidden="1"/>
    </xf>
    <xf numFmtId="0" fontId="55" fillId="25" borderId="0" xfId="2" applyFont="1" applyFill="1" applyBorder="1" applyAlignment="1" applyProtection="1">
      <alignment horizontal="center" vertical="center"/>
      <protection hidden="1"/>
    </xf>
    <xf numFmtId="0" fontId="69" fillId="26" borderId="0" xfId="2" applyFont="1" applyFill="1" applyBorder="1" applyAlignment="1" applyProtection="1">
      <alignment vertical="center"/>
      <protection hidden="1"/>
    </xf>
    <xf numFmtId="165" fontId="44" fillId="29" borderId="57" xfId="2" applyNumberFormat="1" applyFont="1" applyFill="1" applyBorder="1" applyAlignment="1" applyProtection="1">
      <alignment horizontal="center" vertical="center"/>
      <protection hidden="1"/>
    </xf>
    <xf numFmtId="0" fontId="59" fillId="29" borderId="0" xfId="2" applyNumberFormat="1" applyFont="1" applyFill="1" applyBorder="1" applyAlignment="1" applyProtection="1">
      <alignment horizontal="center" vertical="center"/>
      <protection hidden="1"/>
    </xf>
    <xf numFmtId="0" fontId="60" fillId="29" borderId="36" xfId="2" applyFont="1" applyFill="1" applyBorder="1" applyAlignment="1" applyProtection="1">
      <alignment horizontal="center" vertical="center"/>
      <protection hidden="1"/>
    </xf>
    <xf numFmtId="0" fontId="60" fillId="29" borderId="57" xfId="2" applyFont="1" applyFill="1" applyBorder="1" applyAlignment="1" applyProtection="1">
      <alignment horizontal="center" vertical="center"/>
      <protection hidden="1"/>
    </xf>
    <xf numFmtId="0" fontId="61" fillId="29" borderId="36" xfId="2" applyFont="1" applyFill="1" applyBorder="1" applyAlignment="1" applyProtection="1">
      <alignment horizontal="center" vertical="center"/>
      <protection hidden="1"/>
    </xf>
    <xf numFmtId="0" fontId="70" fillId="18" borderId="0" xfId="2" applyFont="1" applyFill="1" applyBorder="1" applyAlignment="1" applyProtection="1">
      <alignment vertical="center" wrapText="1"/>
      <protection hidden="1"/>
    </xf>
    <xf numFmtId="0" fontId="71" fillId="18" borderId="0" xfId="2" applyFont="1" applyFill="1" applyBorder="1" applyAlignment="1" applyProtection="1">
      <alignment vertical="center" wrapText="1"/>
      <protection hidden="1"/>
    </xf>
    <xf numFmtId="0" fontId="65" fillId="18" borderId="0" xfId="2" applyFont="1" applyFill="1" applyAlignment="1" applyProtection="1">
      <protection hidden="1"/>
    </xf>
    <xf numFmtId="0" fontId="33" fillId="0" borderId="48" xfId="2" applyFont="1" applyBorder="1" applyAlignment="1" applyProtection="1">
      <alignment horizontal="center" vertical="center"/>
      <protection locked="0" hidden="1"/>
    </xf>
    <xf numFmtId="0" fontId="72" fillId="27" borderId="0" xfId="2" applyFont="1" applyFill="1" applyBorder="1" applyAlignment="1" applyProtection="1">
      <alignment vertical="top" wrapText="1"/>
      <protection hidden="1"/>
    </xf>
    <xf numFmtId="0" fontId="66" fillId="32" borderId="58" xfId="2" applyFont="1" applyFill="1" applyBorder="1" applyAlignment="1" applyProtection="1">
      <alignment horizontal="left" vertical="center"/>
      <protection hidden="1"/>
    </xf>
    <xf numFmtId="166" fontId="66" fillId="27" borderId="0" xfId="2" applyNumberFormat="1" applyFont="1" applyFill="1" applyBorder="1" applyAlignment="1" applyProtection="1">
      <alignment horizontal="left" vertical="center"/>
      <protection locked="0" hidden="1"/>
    </xf>
    <xf numFmtId="0" fontId="33" fillId="0" borderId="55" xfId="2" applyFont="1" applyBorder="1" applyAlignment="1" applyProtection="1">
      <alignment horizontal="center" vertical="center"/>
      <protection locked="0" hidden="1"/>
    </xf>
    <xf numFmtId="0" fontId="74" fillId="27" borderId="0" xfId="2" applyFont="1" applyFill="1" applyBorder="1" applyAlignment="1" applyProtection="1"/>
    <xf numFmtId="0" fontId="62" fillId="18" borderId="0" xfId="2" applyFont="1" applyFill="1" applyBorder="1" applyAlignment="1" applyProtection="1">
      <alignment vertical="center" wrapText="1"/>
      <protection hidden="1"/>
    </xf>
    <xf numFmtId="0" fontId="61" fillId="18" borderId="0" xfId="2" applyFont="1" applyFill="1" applyBorder="1" applyAlignment="1" applyProtection="1">
      <alignment vertical="center" wrapText="1"/>
      <protection hidden="1"/>
    </xf>
    <xf numFmtId="0" fontId="33" fillId="18" borderId="0" xfId="2" applyNumberFormat="1" applyFont="1" applyFill="1" applyAlignment="1" applyProtection="1">
      <protection hidden="1"/>
    </xf>
    <xf numFmtId="0" fontId="62" fillId="0" borderId="55" xfId="2" applyFont="1" applyBorder="1" applyAlignment="1" applyProtection="1">
      <alignment horizontal="center" vertical="center"/>
      <protection locked="0" hidden="1"/>
    </xf>
    <xf numFmtId="0" fontId="74" fillId="27" borderId="0" xfId="2" applyFont="1" applyFill="1" applyBorder="1" applyAlignment="1" applyProtection="1"/>
    <xf numFmtId="0" fontId="76" fillId="0" borderId="55" xfId="2" applyFont="1" applyBorder="1" applyAlignment="1" applyProtection="1">
      <alignment horizontal="left" vertical="center"/>
      <protection locked="0" hidden="1"/>
    </xf>
    <xf numFmtId="0" fontId="78" fillId="27" borderId="0" xfId="0" applyFont="1" applyFill="1" applyBorder="1" applyAlignment="1"/>
    <xf numFmtId="49" fontId="79" fillId="27" borderId="0" xfId="3" applyNumberFormat="1" applyFont="1" applyFill="1" applyBorder="1" applyAlignment="1" applyProtection="1">
      <alignment vertical="center"/>
      <protection locked="0" hidden="1"/>
    </xf>
    <xf numFmtId="0" fontId="64" fillId="18" borderId="0" xfId="2" applyFont="1" applyFill="1" applyBorder="1" applyAlignment="1" applyProtection="1">
      <alignment horizontal="center"/>
      <protection hidden="1"/>
    </xf>
    <xf numFmtId="0" fontId="62" fillId="0" borderId="55" xfId="2" applyFont="1" applyFill="1" applyBorder="1" applyAlignment="1" applyProtection="1">
      <alignment horizontal="center" vertical="center"/>
      <protection locked="0" hidden="1"/>
    </xf>
    <xf numFmtId="0" fontId="59" fillId="29" borderId="57" xfId="2" applyFont="1" applyFill="1" applyBorder="1" applyAlignment="1" applyProtection="1">
      <alignment horizontal="center" vertical="center"/>
      <protection hidden="1"/>
    </xf>
    <xf numFmtId="0" fontId="65" fillId="29" borderId="36" xfId="2" applyFont="1" applyFill="1" applyBorder="1" applyAlignment="1" applyProtection="1">
      <alignment horizontal="center" vertical="center"/>
      <protection hidden="1"/>
    </xf>
    <xf numFmtId="0" fontId="61" fillId="18" borderId="0" xfId="2" applyFont="1" applyFill="1" applyBorder="1" applyAlignment="1" applyProtection="1">
      <protection hidden="1"/>
    </xf>
    <xf numFmtId="0" fontId="33" fillId="31" borderId="0" xfId="2" applyFont="1" applyFill="1" applyBorder="1" applyAlignment="1" applyProtection="1">
      <protection hidden="1"/>
    </xf>
    <xf numFmtId="0" fontId="80" fillId="0" borderId="55" xfId="2" applyFont="1" applyBorder="1" applyAlignment="1" applyProtection="1">
      <alignment horizontal="left"/>
      <protection locked="0" hidden="1"/>
    </xf>
    <xf numFmtId="0" fontId="77" fillId="21" borderId="57" xfId="2" applyFont="1" applyFill="1" applyBorder="1" applyAlignment="1" applyProtection="1">
      <alignment horizontal="left" vertical="center"/>
    </xf>
    <xf numFmtId="0" fontId="39" fillId="21" borderId="0" xfId="2" applyFont="1" applyFill="1" applyBorder="1" applyAlignment="1" applyProtection="1">
      <alignment vertical="center"/>
    </xf>
    <xf numFmtId="0" fontId="77" fillId="21" borderId="36" xfId="2" applyFont="1" applyFill="1" applyBorder="1" applyAlignment="1" applyProtection="1">
      <alignment horizontal="center" vertical="center"/>
    </xf>
    <xf numFmtId="0" fontId="39" fillId="22" borderId="57" xfId="2" applyFont="1" applyFill="1" applyBorder="1" applyAlignment="1" applyProtection="1">
      <alignment horizontal="center" vertical="center"/>
    </xf>
    <xf numFmtId="0" fontId="69" fillId="21" borderId="37" xfId="2" applyFont="1" applyFill="1" applyBorder="1" applyAlignment="1" applyProtection="1">
      <alignment horizontal="center" vertical="center"/>
    </xf>
    <xf numFmtId="0" fontId="39" fillId="21" borderId="39" xfId="2" applyFont="1" applyFill="1" applyBorder="1" applyAlignment="1" applyProtection="1">
      <alignment horizontal="center" vertical="center"/>
    </xf>
    <xf numFmtId="0" fontId="81" fillId="22" borderId="0" xfId="2" applyFont="1" applyFill="1" applyBorder="1" applyAlignment="1" applyProtection="1">
      <alignment vertical="center"/>
    </xf>
    <xf numFmtId="0" fontId="81" fillId="18" borderId="0" xfId="2" applyFont="1" applyFill="1" applyBorder="1" applyAlignment="1" applyProtection="1">
      <alignment vertical="center"/>
    </xf>
    <xf numFmtId="0" fontId="33" fillId="18" borderId="0" xfId="2" applyFont="1" applyFill="1" applyBorder="1" applyAlignment="1" applyProtection="1">
      <alignment horizontal="center" vertical="center"/>
      <protection locked="0" hidden="1"/>
    </xf>
    <xf numFmtId="0" fontId="61" fillId="18" borderId="0" xfId="2" applyFont="1" applyFill="1" applyBorder="1" applyAlignment="1" applyProtection="1">
      <alignment horizontal="center" vertical="center"/>
      <protection locked="0" hidden="1"/>
    </xf>
    <xf numFmtId="0" fontId="65" fillId="18" borderId="0" xfId="2" applyFont="1" applyFill="1" applyAlignment="1" applyProtection="1">
      <protection hidden="1"/>
    </xf>
    <xf numFmtId="0" fontId="33" fillId="18" borderId="0" xfId="2" applyFont="1" applyFill="1" applyAlignment="1" applyProtection="1">
      <alignment horizontal="center"/>
    </xf>
    <xf numFmtId="0" fontId="34" fillId="34" borderId="0" xfId="2" applyFont="1" applyFill="1" applyBorder="1" applyAlignment="1" applyProtection="1">
      <alignment vertical="center" wrapText="1"/>
      <protection hidden="1"/>
    </xf>
    <xf numFmtId="0" fontId="62" fillId="0" borderId="55" xfId="2" applyFont="1" applyBorder="1" applyAlignment="1" applyProtection="1">
      <alignment horizontal="left" vertical="center"/>
      <protection locked="0" hidden="1"/>
    </xf>
    <xf numFmtId="0" fontId="43" fillId="21" borderId="42" xfId="2" applyFont="1" applyFill="1" applyBorder="1" applyAlignment="1" applyProtection="1">
      <alignment vertical="center"/>
    </xf>
    <xf numFmtId="0" fontId="43" fillId="22" borderId="65" xfId="2" applyFont="1" applyFill="1" applyBorder="1" applyAlignment="1" applyProtection="1">
      <alignment vertical="center"/>
    </xf>
    <xf numFmtId="0" fontId="43" fillId="21" borderId="40" xfId="2" applyFont="1" applyFill="1" applyBorder="1" applyAlignment="1" applyProtection="1">
      <alignment vertical="center"/>
    </xf>
    <xf numFmtId="165" fontId="44" fillId="29" borderId="66" xfId="2" applyNumberFormat="1" applyFont="1" applyFill="1" applyBorder="1" applyAlignment="1" applyProtection="1">
      <alignment horizontal="center" vertical="center"/>
      <protection hidden="1"/>
    </xf>
    <xf numFmtId="0" fontId="59" fillId="29" borderId="67" xfId="2" applyNumberFormat="1" applyFont="1" applyFill="1" applyBorder="1" applyAlignment="1" applyProtection="1">
      <alignment horizontal="center" vertical="center"/>
      <protection hidden="1"/>
    </xf>
    <xf numFmtId="0" fontId="84" fillId="29" borderId="68" xfId="2" applyFont="1" applyFill="1" applyBorder="1" applyAlignment="1" applyProtection="1">
      <alignment horizontal="center" vertical="center"/>
      <protection hidden="1"/>
    </xf>
    <xf numFmtId="0" fontId="85" fillId="30" borderId="47" xfId="2" applyFont="1" applyFill="1" applyBorder="1" applyAlignment="1" applyProtection="1">
      <alignment horizontal="center" vertical="center"/>
      <protection hidden="1"/>
    </xf>
    <xf numFmtId="0" fontId="59" fillId="29" borderId="66" xfId="2" applyFont="1" applyFill="1" applyBorder="1" applyAlignment="1" applyProtection="1">
      <alignment horizontal="center" vertical="center"/>
      <protection hidden="1"/>
    </xf>
    <xf numFmtId="0" fontId="86" fillId="29" borderId="69" xfId="2" applyFont="1" applyFill="1" applyBorder="1" applyAlignment="1" applyProtection="1">
      <alignment horizontal="center" vertical="center"/>
      <protection hidden="1"/>
    </xf>
    <xf numFmtId="0" fontId="66" fillId="35" borderId="58" xfId="2" applyFont="1" applyFill="1" applyBorder="1" applyAlignment="1" applyProtection="1">
      <alignment vertical="center"/>
      <protection hidden="1"/>
    </xf>
    <xf numFmtId="0" fontId="87" fillId="35" borderId="0" xfId="2" applyFont="1" applyFill="1" applyBorder="1" applyAlignment="1" applyProtection="1">
      <alignment vertical="center"/>
      <protection hidden="1"/>
    </xf>
    <xf numFmtId="0" fontId="62" fillId="0" borderId="63" xfId="2" applyFont="1" applyFill="1" applyBorder="1" applyAlignment="1" applyProtection="1">
      <alignment horizontal="left" vertical="center"/>
      <protection locked="0" hidden="1"/>
    </xf>
    <xf numFmtId="0" fontId="88" fillId="36" borderId="37" xfId="2" applyFont="1" applyFill="1" applyBorder="1" applyAlignment="1" applyProtection="1">
      <alignment vertical="center" wrapText="1"/>
      <protection hidden="1"/>
    </xf>
    <xf numFmtId="0" fontId="88" fillId="36" borderId="38" xfId="2" applyFont="1" applyFill="1" applyBorder="1" applyAlignment="1" applyProtection="1">
      <alignment vertical="center" wrapText="1"/>
      <protection hidden="1"/>
    </xf>
    <xf numFmtId="0" fontId="68" fillId="36" borderId="0" xfId="2" applyFont="1" applyFill="1" applyBorder="1" applyAlignment="1" applyProtection="1">
      <alignment vertical="center" wrapText="1"/>
      <protection hidden="1"/>
    </xf>
    <xf numFmtId="0" fontId="68" fillId="36" borderId="0" xfId="2" applyFont="1" applyFill="1" applyBorder="1" applyAlignment="1" applyProtection="1">
      <alignment vertical="center" wrapText="1"/>
      <protection hidden="1"/>
    </xf>
    <xf numFmtId="0" fontId="68" fillId="36" borderId="36" xfId="2" applyFont="1" applyFill="1" applyBorder="1" applyAlignment="1" applyProtection="1">
      <alignment vertical="center" wrapText="1"/>
      <protection hidden="1"/>
    </xf>
    <xf numFmtId="0" fontId="84" fillId="29" borderId="36" xfId="2" applyFont="1" applyFill="1" applyBorder="1" applyAlignment="1" applyProtection="1">
      <alignment horizontal="center" vertical="center"/>
      <protection hidden="1"/>
    </xf>
    <xf numFmtId="0" fontId="85" fillId="30" borderId="57" xfId="2" applyFont="1" applyFill="1" applyBorder="1" applyAlignment="1" applyProtection="1">
      <alignment horizontal="center" vertical="center"/>
      <protection hidden="1"/>
    </xf>
    <xf numFmtId="0" fontId="86" fillId="29" borderId="36" xfId="2" applyFont="1" applyFill="1" applyBorder="1" applyAlignment="1" applyProtection="1">
      <alignment horizontal="center" vertical="center"/>
      <protection hidden="1"/>
    </xf>
    <xf numFmtId="0" fontId="66" fillId="32" borderId="58" xfId="2" applyFont="1" applyFill="1" applyBorder="1" applyAlignment="1" applyProtection="1">
      <alignment horizontal="left" vertical="center"/>
      <protection hidden="1"/>
    </xf>
    <xf numFmtId="0" fontId="66" fillId="32" borderId="0" xfId="2" applyFont="1" applyFill="1" applyBorder="1" applyAlignment="1" applyProtection="1">
      <alignment horizontal="left" vertical="center"/>
      <protection hidden="1"/>
    </xf>
    <xf numFmtId="0" fontId="62" fillId="27" borderId="0" xfId="2" applyFont="1" applyFill="1" applyBorder="1" applyAlignment="1" applyProtection="1">
      <alignment horizontal="center" vertical="center"/>
      <protection hidden="1"/>
    </xf>
    <xf numFmtId="0" fontId="89" fillId="25" borderId="0" xfId="2" applyFont="1" applyFill="1" applyBorder="1" applyAlignment="1" applyProtection="1">
      <alignment horizontal="center" vertical="center"/>
    </xf>
    <xf numFmtId="0" fontId="90" fillId="18" borderId="0" xfId="2" applyFont="1" applyFill="1" applyAlignment="1" applyProtection="1">
      <protection hidden="1"/>
    </xf>
    <xf numFmtId="0" fontId="91" fillId="18" borderId="0" xfId="2" applyFont="1" applyFill="1" applyBorder="1" applyAlignment="1" applyProtection="1">
      <protection hidden="1"/>
    </xf>
    <xf numFmtId="0" fontId="75" fillId="37" borderId="58" xfId="2" applyFont="1" applyFill="1" applyBorder="1" applyAlignment="1" applyProtection="1">
      <alignment vertical="center"/>
      <protection hidden="1"/>
    </xf>
    <xf numFmtId="0" fontId="66" fillId="35" borderId="0" xfId="2" applyFont="1" applyFill="1" applyBorder="1" applyAlignment="1" applyProtection="1">
      <alignment vertical="center"/>
      <protection hidden="1"/>
    </xf>
    <xf numFmtId="0" fontId="50" fillId="0" borderId="48" xfId="2" applyFont="1" applyBorder="1" applyAlignment="1" applyProtection="1">
      <alignment horizontal="center" vertical="center"/>
      <protection locked="0" hidden="1"/>
    </xf>
    <xf numFmtId="0" fontId="51" fillId="0" borderId="70" xfId="2" applyFont="1" applyBorder="1" applyAlignment="1" applyProtection="1">
      <alignment horizontal="center" vertical="center"/>
      <protection locked="0" hidden="1"/>
    </xf>
    <xf numFmtId="166" fontId="74" fillId="0" borderId="36" xfId="2" applyNumberFormat="1" applyFont="1" applyFill="1" applyBorder="1" applyAlignment="1" applyProtection="1">
      <alignment horizontal="center" vertical="center"/>
      <protection locked="0" hidden="1"/>
    </xf>
    <xf numFmtId="0" fontId="34" fillId="22" borderId="0" xfId="2" applyFont="1" applyFill="1" applyBorder="1" applyAlignment="1" applyProtection="1">
      <alignment vertical="center" wrapText="1"/>
      <protection hidden="1"/>
    </xf>
    <xf numFmtId="0" fontId="93" fillId="32" borderId="58" xfId="2" applyFont="1" applyFill="1" applyBorder="1" applyAlignment="1" applyProtection="1">
      <alignment wrapText="1"/>
      <protection hidden="1"/>
    </xf>
    <xf numFmtId="0" fontId="93" fillId="32" borderId="0" xfId="2" applyFont="1" applyFill="1" applyBorder="1" applyAlignment="1" applyProtection="1">
      <alignment wrapText="1"/>
      <protection hidden="1"/>
    </xf>
    <xf numFmtId="0" fontId="50" fillId="0" borderId="55" xfId="2" applyFont="1" applyFill="1" applyBorder="1" applyAlignment="1" applyProtection="1">
      <alignment horizontal="center" vertical="center" wrapText="1"/>
      <protection locked="0" hidden="1"/>
    </xf>
    <xf numFmtId="0" fontId="51" fillId="0" borderId="43" xfId="2" applyFont="1" applyBorder="1" applyAlignment="1" applyProtection="1">
      <alignment horizontal="center" vertical="center"/>
      <protection locked="0" hidden="1"/>
    </xf>
    <xf numFmtId="0" fontId="74" fillId="0" borderId="36" xfId="2" applyFont="1" applyFill="1" applyBorder="1" applyAlignment="1" applyProtection="1">
      <alignment horizontal="center" vertical="center"/>
      <protection hidden="1"/>
    </xf>
    <xf numFmtId="0" fontId="95" fillId="27" borderId="58" xfId="2" applyFont="1" applyFill="1" applyBorder="1" applyAlignment="1" applyProtection="1">
      <alignment horizontal="left" vertical="center"/>
      <protection hidden="1"/>
    </xf>
    <xf numFmtId="0" fontId="79" fillId="27" borderId="0" xfId="2" applyFont="1" applyFill="1" applyBorder="1" applyAlignment="1" applyProtection="1">
      <alignment horizontal="left" vertical="center"/>
      <protection hidden="1"/>
    </xf>
    <xf numFmtId="0" fontId="62" fillId="0" borderId="57" xfId="2" applyFont="1" applyBorder="1" applyAlignment="1" applyProtection="1">
      <alignment horizontal="left" vertical="center"/>
      <protection locked="0" hidden="1"/>
    </xf>
    <xf numFmtId="0" fontId="51" fillId="0" borderId="0" xfId="2" applyFont="1" applyBorder="1" applyAlignment="1" applyProtection="1">
      <alignment horizontal="center" vertical="center"/>
      <protection locked="0" hidden="1"/>
    </xf>
    <xf numFmtId="0" fontId="66" fillId="38" borderId="58" xfId="2" applyFont="1" applyFill="1" applyBorder="1" applyAlignment="1" applyProtection="1">
      <alignment vertical="center"/>
      <protection hidden="1"/>
    </xf>
    <xf numFmtId="0" fontId="67" fillId="0" borderId="43" xfId="2" applyFont="1" applyFill="1" applyBorder="1" applyAlignment="1" applyProtection="1">
      <alignment horizontal="center" vertical="center"/>
      <protection locked="0" hidden="1"/>
    </xf>
    <xf numFmtId="0" fontId="66" fillId="38" borderId="0" xfId="2" applyFont="1" applyFill="1" applyBorder="1" applyAlignment="1" applyProtection="1">
      <alignment horizontal="center" vertical="center"/>
      <protection hidden="1"/>
    </xf>
    <xf numFmtId="0" fontId="95" fillId="32" borderId="58" xfId="2" applyFont="1" applyFill="1" applyBorder="1" applyAlignment="1" applyProtection="1">
      <alignment horizontal="left" vertical="center"/>
      <protection hidden="1"/>
    </xf>
    <xf numFmtId="0" fontId="43" fillId="32" borderId="57" xfId="2" applyFont="1" applyFill="1" applyBorder="1" applyAlignment="1" applyProtection="1">
      <alignment horizontal="left" vertical="center" wrapText="1"/>
      <protection hidden="1"/>
    </xf>
    <xf numFmtId="0" fontId="96" fillId="28" borderId="0" xfId="2" applyFont="1" applyFill="1" applyBorder="1" applyAlignment="1" applyProtection="1">
      <alignment horizontal="center" vertical="center"/>
      <protection hidden="1"/>
    </xf>
    <xf numFmtId="0" fontId="33" fillId="0" borderId="0" xfId="2" applyFont="1" applyAlignment="1" applyProtection="1">
      <alignment horizontal="center" vertical="center"/>
    </xf>
    <xf numFmtId="0" fontId="33" fillId="18" borderId="0" xfId="2" applyFont="1" applyFill="1" applyAlignment="1" applyProtection="1">
      <alignment horizontal="center" vertical="center"/>
    </xf>
    <xf numFmtId="0" fontId="34" fillId="22" borderId="0" xfId="2" applyFont="1" applyFill="1" applyBorder="1" applyAlignment="1" applyProtection="1">
      <alignment horizontal="center" vertical="center" wrapText="1"/>
      <protection hidden="1"/>
    </xf>
    <xf numFmtId="0" fontId="43" fillId="27" borderId="72" xfId="2" applyFont="1" applyFill="1" applyBorder="1" applyAlignment="1" applyProtection="1">
      <alignment horizontal="left" vertical="center"/>
    </xf>
    <xf numFmtId="0" fontId="43" fillId="27" borderId="41" xfId="2" applyFont="1" applyFill="1" applyBorder="1" applyAlignment="1" applyProtection="1">
      <alignment horizontal="left" vertical="center"/>
    </xf>
    <xf numFmtId="0" fontId="97" fillId="39" borderId="63" xfId="2" applyFont="1" applyFill="1" applyBorder="1" applyAlignment="1" applyProtection="1">
      <alignment horizontal="center" vertical="center" wrapText="1"/>
      <protection locked="0" hidden="1"/>
    </xf>
    <xf numFmtId="0" fontId="55" fillId="30" borderId="47" xfId="2" applyFont="1" applyFill="1" applyBorder="1" applyAlignment="1" applyProtection="1">
      <alignment vertical="center"/>
      <protection hidden="1"/>
    </xf>
    <xf numFmtId="0" fontId="51" fillId="0" borderId="43" xfId="2" applyFont="1" applyFill="1" applyBorder="1" applyAlignment="1" applyProtection="1">
      <alignment horizontal="center" vertical="center"/>
      <protection locked="0" hidden="1"/>
    </xf>
    <xf numFmtId="0" fontId="51" fillId="40" borderId="43" xfId="2" applyFont="1" applyFill="1" applyBorder="1" applyAlignment="1" applyProtection="1">
      <alignment horizontal="center" vertical="center" wrapText="1"/>
      <protection locked="0" hidden="1"/>
    </xf>
    <xf numFmtId="0" fontId="74" fillId="0" borderId="56" xfId="2" applyFont="1" applyBorder="1" applyAlignment="1" applyProtection="1">
      <alignment horizontal="center" vertical="center"/>
      <protection locked="0" hidden="1"/>
    </xf>
    <xf numFmtId="0" fontId="99" fillId="42" borderId="0" xfId="2" applyFont="1" applyFill="1" applyBorder="1" applyAlignment="1" applyProtection="1">
      <alignment horizontal="center" vertical="center" wrapText="1"/>
      <protection hidden="1"/>
    </xf>
    <xf numFmtId="0" fontId="62" fillId="42" borderId="0" xfId="2" applyFont="1" applyFill="1" applyBorder="1" applyAlignment="1" applyProtection="1">
      <alignment horizontal="center" vertical="center" wrapText="1"/>
      <protection hidden="1"/>
    </xf>
    <xf numFmtId="0" fontId="33" fillId="18" borderId="0" xfId="2" applyFont="1" applyFill="1" applyAlignment="1" applyProtection="1">
      <alignment horizontal="center" vertical="center"/>
      <protection hidden="1"/>
    </xf>
    <xf numFmtId="0" fontId="33" fillId="43" borderId="47" xfId="2" applyFont="1" applyFill="1" applyBorder="1" applyAlignment="1" applyProtection="1"/>
    <xf numFmtId="0" fontId="51" fillId="0" borderId="56" xfId="2" applyNumberFormat="1" applyFont="1" applyBorder="1" applyAlignment="1" applyProtection="1">
      <alignment horizontal="center" vertical="center"/>
      <protection locked="0" hidden="1"/>
    </xf>
    <xf numFmtId="0" fontId="100" fillId="42" borderId="0" xfId="2" applyFont="1" applyFill="1" applyBorder="1" applyAlignment="1" applyProtection="1">
      <alignment vertical="center" wrapText="1"/>
      <protection hidden="1"/>
    </xf>
    <xf numFmtId="0" fontId="101" fillId="42" borderId="0" xfId="2" applyFont="1" applyFill="1" applyBorder="1" applyAlignment="1" applyProtection="1">
      <alignment horizontal="center" vertical="center" wrapText="1"/>
      <protection hidden="1"/>
    </xf>
    <xf numFmtId="0" fontId="101" fillId="18" borderId="0" xfId="2" applyFont="1" applyFill="1" applyBorder="1" applyAlignment="1" applyProtection="1">
      <alignment horizontal="center" vertical="center" wrapText="1"/>
      <protection hidden="1"/>
    </xf>
    <xf numFmtId="0" fontId="100" fillId="18" borderId="0" xfId="2" applyFont="1" applyFill="1" applyBorder="1" applyAlignment="1" applyProtection="1">
      <alignment vertical="center" wrapText="1"/>
      <protection hidden="1"/>
    </xf>
    <xf numFmtId="0" fontId="33" fillId="22" borderId="47" xfId="2" applyFont="1" applyFill="1" applyBorder="1" applyAlignment="1" applyProtection="1"/>
    <xf numFmtId="0" fontId="51" fillId="44" borderId="73" xfId="2" applyFont="1" applyFill="1" applyBorder="1" applyAlignment="1" applyProtection="1">
      <alignment horizontal="center" vertical="center" wrapText="1"/>
      <protection locked="0" hidden="1"/>
    </xf>
    <xf numFmtId="0" fontId="103" fillId="0" borderId="36" xfId="2" applyFont="1" applyFill="1" applyBorder="1" applyAlignment="1" applyProtection="1">
      <alignment vertical="center" wrapText="1"/>
      <protection hidden="1"/>
    </xf>
    <xf numFmtId="165" fontId="61" fillId="28" borderId="0" xfId="2" applyNumberFormat="1" applyFont="1" applyFill="1" applyBorder="1" applyAlignment="1" applyProtection="1">
      <alignment vertical="center"/>
    </xf>
    <xf numFmtId="165" fontId="62" fillId="28" borderId="0" xfId="2" applyNumberFormat="1" applyFont="1" applyFill="1" applyBorder="1" applyAlignment="1" applyProtection="1">
      <alignment horizontal="center" vertical="center"/>
    </xf>
    <xf numFmtId="165" fontId="62" fillId="18" borderId="0" xfId="2" applyNumberFormat="1" applyFont="1" applyFill="1" applyBorder="1" applyAlignment="1" applyProtection="1">
      <alignment horizontal="center" vertical="center"/>
      <protection hidden="1"/>
    </xf>
    <xf numFmtId="17" fontId="61" fillId="18" borderId="0" xfId="2" applyNumberFormat="1" applyFont="1" applyFill="1" applyBorder="1" applyAlignment="1" applyProtection="1">
      <alignment horizontal="left" vertical="center"/>
      <protection hidden="1"/>
    </xf>
    <xf numFmtId="0" fontId="74" fillId="0" borderId="55" xfId="2" applyFont="1" applyBorder="1" applyAlignment="1" applyProtection="1">
      <alignment horizontal="left"/>
      <protection locked="0" hidden="1"/>
    </xf>
    <xf numFmtId="0" fontId="74" fillId="0" borderId="43" xfId="2" applyFont="1" applyBorder="1" applyAlignment="1" applyProtection="1">
      <alignment horizontal="left"/>
      <protection locked="0" hidden="1"/>
    </xf>
    <xf numFmtId="0" fontId="74" fillId="0" borderId="56" xfId="2" applyFont="1" applyBorder="1" applyAlignment="1" applyProtection="1">
      <alignment horizontal="left"/>
      <protection locked="0" hidden="1"/>
    </xf>
    <xf numFmtId="0" fontId="33" fillId="45" borderId="37" xfId="2" applyFont="1" applyFill="1" applyBorder="1" applyAlignment="1" applyProtection="1"/>
    <xf numFmtId="0" fontId="33" fillId="45" borderId="38" xfId="2" applyFont="1" applyFill="1" applyBorder="1" applyAlignment="1" applyProtection="1"/>
    <xf numFmtId="0" fontId="33" fillId="45" borderId="0" xfId="2" applyFont="1" applyFill="1" applyBorder="1" applyAlignment="1" applyProtection="1"/>
    <xf numFmtId="166" fontId="104" fillId="46" borderId="38" xfId="2" applyNumberFormat="1" applyFont="1" applyFill="1" applyBorder="1" applyAlignment="1" applyProtection="1">
      <alignment horizontal="center" vertical="center"/>
      <protection hidden="1"/>
    </xf>
    <xf numFmtId="165" fontId="59" fillId="45" borderId="38" xfId="2" applyNumberFormat="1" applyFont="1" applyFill="1" applyBorder="1" applyAlignment="1" applyProtection="1">
      <alignment horizontal="center" vertical="center"/>
      <protection hidden="1"/>
    </xf>
    <xf numFmtId="0" fontId="50" fillId="45" borderId="39" xfId="2" applyFont="1" applyFill="1" applyBorder="1" applyAlignment="1" applyProtection="1">
      <alignment horizontal="center" vertical="center"/>
      <protection locked="0" hidden="1"/>
    </xf>
    <xf numFmtId="17" fontId="61" fillId="18" borderId="0" xfId="2" applyNumberFormat="1" applyFont="1" applyFill="1" applyBorder="1" applyAlignment="1" applyProtection="1">
      <alignment horizontal="left"/>
      <protection hidden="1"/>
    </xf>
    <xf numFmtId="0" fontId="33" fillId="45" borderId="57" xfId="2" applyFont="1" applyFill="1" applyBorder="1" applyAlignment="1" applyProtection="1"/>
    <xf numFmtId="165" fontId="44" fillId="29" borderId="76" xfId="2" applyNumberFormat="1" applyFont="1" applyFill="1" applyBorder="1" applyAlignment="1" applyProtection="1">
      <alignment horizontal="center" vertical="center"/>
      <protection hidden="1"/>
    </xf>
    <xf numFmtId="0" fontId="59" fillId="29" borderId="77" xfId="2" applyNumberFormat="1" applyFont="1" applyFill="1" applyBorder="1" applyAlignment="1" applyProtection="1">
      <alignment horizontal="center" vertical="center"/>
      <protection hidden="1"/>
    </xf>
    <xf numFmtId="0" fontId="84" fillId="29" borderId="78" xfId="2" applyFont="1" applyFill="1" applyBorder="1" applyAlignment="1" applyProtection="1">
      <alignment horizontal="center" vertical="center"/>
      <protection hidden="1"/>
    </xf>
    <xf numFmtId="0" fontId="59" fillId="29" borderId="76" xfId="2" applyFont="1" applyFill="1" applyBorder="1" applyAlignment="1" applyProtection="1">
      <alignment horizontal="center" vertical="center"/>
      <protection hidden="1"/>
    </xf>
    <xf numFmtId="0" fontId="86" fillId="29" borderId="78" xfId="2" applyFont="1" applyFill="1" applyBorder="1" applyAlignment="1" applyProtection="1">
      <alignment horizontal="center" vertical="center"/>
      <protection hidden="1"/>
    </xf>
    <xf numFmtId="17" fontId="106" fillId="47" borderId="75" xfId="2" applyNumberFormat="1" applyFont="1" applyFill="1" applyBorder="1" applyAlignment="1" applyProtection="1">
      <alignment horizontal="center" vertical="center"/>
      <protection hidden="1"/>
    </xf>
    <xf numFmtId="0" fontId="50" fillId="48" borderId="79" xfId="2" applyFont="1" applyFill="1" applyBorder="1" applyAlignment="1" applyProtection="1">
      <alignment horizontal="center" vertical="center"/>
      <protection locked="0" hidden="1"/>
    </xf>
    <xf numFmtId="17" fontId="107" fillId="47" borderId="79" xfId="2" applyNumberFormat="1" applyFont="1" applyFill="1" applyBorder="1" applyAlignment="1" applyProtection="1">
      <alignment horizontal="center" vertical="center"/>
      <protection hidden="1"/>
    </xf>
    <xf numFmtId="17" fontId="107" fillId="49" borderId="79" xfId="2" applyNumberFormat="1" applyFont="1" applyFill="1" applyBorder="1" applyAlignment="1" applyProtection="1">
      <alignment horizontal="center" vertical="center" wrapText="1"/>
      <protection hidden="1"/>
    </xf>
    <xf numFmtId="0" fontId="108" fillId="29" borderId="36" xfId="2" applyFont="1" applyFill="1" applyBorder="1" applyAlignment="1" applyProtection="1">
      <alignment horizontal="center" vertical="center"/>
      <protection hidden="1"/>
    </xf>
    <xf numFmtId="0" fontId="43" fillId="30" borderId="0" xfId="2" applyFont="1" applyFill="1" applyBorder="1" applyAlignment="1" applyProtection="1">
      <alignment horizontal="center" vertical="center"/>
      <protection hidden="1"/>
    </xf>
    <xf numFmtId="0" fontId="109" fillId="29" borderId="36" xfId="2" applyFont="1" applyFill="1" applyBorder="1" applyAlignment="1" applyProtection="1">
      <alignment horizontal="center" vertical="center"/>
      <protection hidden="1"/>
    </xf>
    <xf numFmtId="0" fontId="74" fillId="0" borderId="55" xfId="2" applyFont="1" applyBorder="1" applyAlignment="1" applyProtection="1">
      <protection locked="0" hidden="1"/>
    </xf>
    <xf numFmtId="0" fontId="74" fillId="0" borderId="43" xfId="2" applyFont="1" applyBorder="1" applyAlignment="1" applyProtection="1">
      <protection locked="0" hidden="1"/>
    </xf>
    <xf numFmtId="0" fontId="74" fillId="0" borderId="56" xfId="2" applyFont="1" applyBorder="1" applyAlignment="1" applyProtection="1">
      <protection locked="0" hidden="1"/>
    </xf>
    <xf numFmtId="17" fontId="106" fillId="47" borderId="61" xfId="2" applyNumberFormat="1" applyFont="1" applyFill="1" applyBorder="1" applyAlignment="1" applyProtection="1">
      <alignment horizontal="center" vertical="center"/>
      <protection hidden="1"/>
    </xf>
    <xf numFmtId="17" fontId="107" fillId="49" borderId="62" xfId="2" applyNumberFormat="1" applyFont="1" applyFill="1" applyBorder="1" applyAlignment="1" applyProtection="1">
      <alignment horizontal="center" vertical="center"/>
      <protection hidden="1"/>
    </xf>
    <xf numFmtId="165" fontId="107" fillId="49" borderId="62" xfId="2" applyNumberFormat="1" applyFont="1" applyFill="1" applyBorder="1" applyAlignment="1" applyProtection="1">
      <alignment horizontal="center" vertical="center"/>
      <protection hidden="1"/>
    </xf>
    <xf numFmtId="0" fontId="50" fillId="40" borderId="81" xfId="2" applyNumberFormat="1" applyFont="1" applyFill="1" applyBorder="1" applyAlignment="1" applyProtection="1">
      <alignment horizontal="center" vertical="center"/>
      <protection locked="0" hidden="1"/>
    </xf>
    <xf numFmtId="17" fontId="106" fillId="49" borderId="61" xfId="2" applyNumberFormat="1" applyFont="1" applyFill="1" applyBorder="1" applyAlignment="1" applyProtection="1">
      <alignment horizontal="center" vertical="center"/>
      <protection hidden="1"/>
    </xf>
    <xf numFmtId="0" fontId="111" fillId="18" borderId="0" xfId="0" applyFont="1" applyFill="1" applyBorder="1" applyProtection="1">
      <alignment vertical="center"/>
      <protection hidden="1"/>
    </xf>
    <xf numFmtId="0" fontId="111" fillId="18" borderId="0" xfId="0" applyFont="1" applyFill="1" applyBorder="1" applyAlignment="1" applyProtection="1">
      <alignment horizontal="left" vertical="center"/>
      <protection hidden="1"/>
    </xf>
    <xf numFmtId="17" fontId="107" fillId="49" borderId="74" xfId="2" applyNumberFormat="1" applyFont="1" applyFill="1" applyBorder="1" applyAlignment="1" applyProtection="1">
      <alignment horizontal="center" vertical="center"/>
      <protection hidden="1"/>
    </xf>
    <xf numFmtId="17" fontId="107" fillId="49" borderId="82" xfId="2" applyNumberFormat="1" applyFont="1" applyFill="1" applyBorder="1" applyAlignment="1" applyProtection="1">
      <alignment horizontal="center" vertical="center"/>
      <protection hidden="1"/>
    </xf>
    <xf numFmtId="165" fontId="107" fillId="49" borderId="82" xfId="2" applyNumberFormat="1" applyFont="1" applyFill="1" applyBorder="1" applyAlignment="1" applyProtection="1">
      <alignment horizontal="center" vertical="center"/>
      <protection hidden="1"/>
    </xf>
    <xf numFmtId="0" fontId="50" fillId="40" borderId="83" xfId="2" applyNumberFormat="1" applyFont="1" applyFill="1" applyBorder="1" applyAlignment="1" applyProtection="1">
      <alignment horizontal="center" vertical="center"/>
      <protection locked="0" hidden="1"/>
    </xf>
    <xf numFmtId="0" fontId="113" fillId="50" borderId="84" xfId="2" applyFont="1" applyFill="1" applyBorder="1" applyAlignment="1" applyProtection="1">
      <alignment vertical="center"/>
      <protection hidden="1"/>
    </xf>
    <xf numFmtId="0" fontId="113" fillId="50" borderId="85" xfId="2" applyFont="1" applyFill="1" applyBorder="1" applyAlignment="1" applyProtection="1">
      <alignment vertical="center"/>
      <protection hidden="1"/>
    </xf>
    <xf numFmtId="0" fontId="113" fillId="50" borderId="86" xfId="2" applyFont="1" applyFill="1" applyBorder="1" applyAlignment="1" applyProtection="1">
      <alignment vertical="center"/>
      <protection hidden="1"/>
    </xf>
    <xf numFmtId="0" fontId="114" fillId="51" borderId="57" xfId="2" applyFont="1" applyFill="1" applyBorder="1" applyAlignment="1" applyProtection="1">
      <alignment vertical="center" wrapText="1"/>
      <protection hidden="1"/>
    </xf>
    <xf numFmtId="0" fontId="115" fillId="51" borderId="0" xfId="2" applyFont="1" applyFill="1" applyBorder="1" applyAlignment="1" applyProtection="1">
      <alignment vertical="center"/>
      <protection hidden="1"/>
    </xf>
    <xf numFmtId="0" fontId="115" fillId="52" borderId="47" xfId="2" applyFont="1" applyFill="1" applyBorder="1" applyAlignment="1" applyProtection="1">
      <alignment vertical="center"/>
      <protection hidden="1"/>
    </xf>
    <xf numFmtId="0" fontId="116" fillId="51" borderId="0" xfId="2" applyFont="1" applyFill="1" applyBorder="1" applyAlignment="1" applyProtection="1">
      <alignment vertical="center"/>
      <protection hidden="1"/>
    </xf>
    <xf numFmtId="0" fontId="68" fillId="53" borderId="0" xfId="2" applyFont="1" applyFill="1" applyBorder="1" applyAlignment="1" applyProtection="1">
      <alignment vertical="center"/>
      <protection hidden="1"/>
    </xf>
    <xf numFmtId="0" fontId="68" fillId="53" borderId="0" xfId="2" applyFont="1" applyFill="1" applyBorder="1" applyAlignment="1" applyProtection="1">
      <alignment vertical="center"/>
      <protection hidden="1"/>
    </xf>
    <xf numFmtId="0" fontId="117" fillId="45" borderId="0" xfId="2" applyFont="1" applyFill="1" applyBorder="1" applyAlignment="1" applyProtection="1">
      <alignment horizontal="center" vertical="center"/>
      <protection hidden="1"/>
    </xf>
    <xf numFmtId="0" fontId="117" fillId="45" borderId="36" xfId="2" applyNumberFormat="1" applyFont="1" applyFill="1" applyBorder="1" applyAlignment="1" applyProtection="1">
      <alignment horizontal="center" vertical="center"/>
      <protection hidden="1"/>
    </xf>
    <xf numFmtId="0" fontId="33" fillId="18" borderId="0" xfId="2" applyFont="1" applyFill="1" applyAlignment="1" applyProtection="1">
      <alignment horizontal="center"/>
      <protection hidden="1"/>
    </xf>
    <xf numFmtId="0" fontId="74" fillId="0" borderId="87" xfId="2" applyFont="1" applyBorder="1" applyAlignment="1" applyProtection="1">
      <alignment horizontal="left" vertical="top" wrapText="1"/>
      <protection locked="0" hidden="1"/>
    </xf>
    <xf numFmtId="0" fontId="74" fillId="0" borderId="88" xfId="2" applyFont="1" applyBorder="1" applyAlignment="1" applyProtection="1">
      <alignment horizontal="left" vertical="top" wrapText="1"/>
      <protection locked="0" hidden="1"/>
    </xf>
    <xf numFmtId="0" fontId="74" fillId="0" borderId="89" xfId="2" applyFont="1" applyBorder="1" applyAlignment="1" applyProtection="1">
      <alignment horizontal="left" vertical="top" wrapText="1"/>
      <protection locked="0" hidden="1"/>
    </xf>
    <xf numFmtId="0" fontId="54" fillId="45" borderId="57" xfId="2" applyFont="1" applyFill="1" applyBorder="1" applyAlignment="1" applyProtection="1">
      <alignment vertical="center"/>
      <protection hidden="1"/>
    </xf>
    <xf numFmtId="0" fontId="54" fillId="45" borderId="0" xfId="2" applyFont="1" applyFill="1" applyBorder="1" applyAlignment="1" applyProtection="1">
      <alignment vertical="center"/>
      <protection hidden="1"/>
    </xf>
    <xf numFmtId="0" fontId="54" fillId="43" borderId="47" xfId="2" applyFont="1" applyFill="1" applyBorder="1" applyAlignment="1" applyProtection="1">
      <alignment vertical="center"/>
      <protection hidden="1"/>
    </xf>
    <xf numFmtId="0" fontId="118" fillId="45" borderId="0" xfId="2" applyFont="1" applyFill="1" applyBorder="1" applyAlignment="1" applyProtection="1">
      <alignment vertical="center"/>
      <protection hidden="1"/>
    </xf>
    <xf numFmtId="0" fontId="119" fillId="45" borderId="0" xfId="2" applyFont="1" applyFill="1" applyBorder="1" applyAlignment="1" applyProtection="1">
      <alignment vertical="center"/>
      <protection hidden="1"/>
    </xf>
    <xf numFmtId="0" fontId="119" fillId="45" borderId="36" xfId="2" applyFont="1" applyFill="1" applyBorder="1" applyAlignment="1" applyProtection="1">
      <alignment vertical="center"/>
      <protection hidden="1"/>
    </xf>
    <xf numFmtId="0" fontId="74" fillId="0" borderId="90" xfId="2" applyFont="1" applyBorder="1" applyAlignment="1" applyProtection="1">
      <alignment vertical="center"/>
      <protection locked="0" hidden="1"/>
    </xf>
    <xf numFmtId="0" fontId="74" fillId="0" borderId="91" xfId="2" applyFont="1" applyBorder="1" applyAlignment="1" applyProtection="1">
      <alignment vertical="center"/>
      <protection locked="0" hidden="1"/>
    </xf>
    <xf numFmtId="0" fontId="74" fillId="0" borderId="92" xfId="2" applyFont="1" applyBorder="1" applyAlignment="1" applyProtection="1">
      <alignment vertical="center"/>
      <protection locked="0" hidden="1"/>
    </xf>
    <xf numFmtId="0" fontId="54" fillId="45" borderId="0" xfId="2" applyFont="1" applyFill="1" applyBorder="1" applyAlignment="1" applyProtection="1">
      <alignment vertical="center"/>
      <protection hidden="1"/>
    </xf>
    <xf numFmtId="0" fontId="54" fillId="45" borderId="36" xfId="2" applyFont="1" applyFill="1" applyBorder="1" applyAlignment="1" applyProtection="1">
      <alignment vertical="center"/>
      <protection hidden="1"/>
    </xf>
    <xf numFmtId="0" fontId="56" fillId="45" borderId="0" xfId="2" applyFont="1" applyFill="1" applyBorder="1" applyAlignment="1" applyProtection="1">
      <alignment vertical="center"/>
      <protection hidden="1"/>
    </xf>
    <xf numFmtId="0" fontId="16" fillId="28" borderId="0" xfId="2" applyFont="1" applyFill="1" applyBorder="1" applyAlignment="1" applyProtection="1">
      <alignment horizontal="center" vertical="center"/>
      <protection hidden="1"/>
    </xf>
    <xf numFmtId="0" fontId="33" fillId="18" borderId="0" xfId="2" applyFont="1" applyFill="1" applyBorder="1" applyAlignment="1" applyProtection="1">
      <protection hidden="1"/>
    </xf>
    <xf numFmtId="0" fontId="120" fillId="45" borderId="40" xfId="0" applyFont="1" applyFill="1" applyBorder="1">
      <alignment vertical="center"/>
    </xf>
    <xf numFmtId="0" fontId="120" fillId="45" borderId="41" xfId="0" applyFont="1" applyFill="1" applyBorder="1">
      <alignment vertical="center"/>
    </xf>
    <xf numFmtId="0" fontId="56" fillId="54" borderId="47" xfId="2" applyFont="1" applyFill="1" applyBorder="1" applyAlignment="1" applyProtection="1">
      <alignment vertical="center"/>
      <protection hidden="1"/>
    </xf>
    <xf numFmtId="0" fontId="56" fillId="55" borderId="41" xfId="2" applyFont="1" applyFill="1" applyBorder="1" applyAlignment="1" applyProtection="1">
      <alignment vertical="center"/>
      <protection hidden="1"/>
    </xf>
    <xf numFmtId="0" fontId="56" fillId="55" borderId="41" xfId="2" applyFont="1" applyFill="1" applyBorder="1" applyAlignment="1" applyProtection="1">
      <alignment vertical="center"/>
      <protection hidden="1"/>
    </xf>
    <xf numFmtId="0" fontId="56" fillId="55" borderId="42" xfId="2" applyFont="1" applyFill="1" applyBorder="1" applyAlignment="1" applyProtection="1">
      <alignment vertical="center"/>
      <protection hidden="1"/>
    </xf>
    <xf numFmtId="0" fontId="58" fillId="28" borderId="0" xfId="2" applyFont="1" applyFill="1" applyBorder="1" applyAlignment="1" applyProtection="1">
      <alignment horizontal="center" vertical="center"/>
      <protection hidden="1"/>
    </xf>
    <xf numFmtId="0" fontId="33" fillId="56" borderId="0" xfId="2" applyFont="1" applyFill="1" applyBorder="1" applyAlignment="1" applyProtection="1"/>
    <xf numFmtId="0" fontId="121" fillId="22" borderId="0" xfId="2" applyFont="1" applyFill="1" applyBorder="1" applyAlignment="1" applyProtection="1">
      <alignment vertical="center" wrapText="1"/>
      <protection hidden="1"/>
    </xf>
    <xf numFmtId="0" fontId="79" fillId="21" borderId="38" xfId="2" applyFont="1" applyFill="1" applyBorder="1" applyAlignment="1" applyProtection="1">
      <alignment vertical="center" wrapText="1"/>
      <protection hidden="1"/>
    </xf>
    <xf numFmtId="0" fontId="122" fillId="21" borderId="0" xfId="2" applyFont="1" applyFill="1" applyBorder="1" applyAlignment="1" applyProtection="1">
      <alignment vertical="center" wrapText="1"/>
      <protection hidden="1"/>
    </xf>
    <xf numFmtId="0" fontId="33" fillId="40" borderId="49" xfId="2" applyFont="1" applyFill="1" applyBorder="1" applyAlignment="1" applyProtection="1">
      <alignment vertical="center"/>
      <protection locked="0" hidden="1"/>
    </xf>
    <xf numFmtId="0" fontId="33" fillId="56" borderId="0" xfId="2" applyFont="1" applyFill="1" applyBorder="1" applyAlignment="1" applyProtection="1">
      <alignment horizontal="center"/>
    </xf>
    <xf numFmtId="0" fontId="74" fillId="0" borderId="57" xfId="2" applyFont="1" applyFill="1" applyBorder="1" applyAlignment="1" applyProtection="1">
      <alignment vertical="center" wrapText="1"/>
      <protection hidden="1"/>
    </xf>
    <xf numFmtId="0" fontId="124" fillId="0" borderId="0" xfId="2" applyFont="1" applyFill="1" applyBorder="1" applyAlignment="1" applyProtection="1">
      <alignment vertical="center" wrapText="1"/>
      <protection hidden="1"/>
    </xf>
    <xf numFmtId="0" fontId="124" fillId="0" borderId="36" xfId="2" applyFont="1" applyFill="1" applyBorder="1" applyAlignment="1" applyProtection="1">
      <alignment vertical="center" wrapText="1"/>
      <protection hidden="1"/>
    </xf>
    <xf numFmtId="0" fontId="125" fillId="22" borderId="0" xfId="2" applyFont="1" applyFill="1" applyBorder="1" applyAlignment="1" applyProtection="1">
      <alignment vertical="center"/>
      <protection hidden="1"/>
    </xf>
    <xf numFmtId="0" fontId="43" fillId="30" borderId="47" xfId="2" applyFont="1" applyFill="1" applyBorder="1" applyAlignment="1" applyProtection="1">
      <alignment horizontal="center" vertical="center"/>
      <protection hidden="1"/>
    </xf>
    <xf numFmtId="0" fontId="86" fillId="18" borderId="0" xfId="2" applyFont="1" applyFill="1" applyAlignment="1" applyProtection="1">
      <protection hidden="1"/>
    </xf>
    <xf numFmtId="0" fontId="127" fillId="0" borderId="40" xfId="2" applyFont="1" applyFill="1" applyBorder="1" applyAlignment="1" applyProtection="1">
      <alignment vertical="center" wrapText="1"/>
      <protection hidden="1"/>
    </xf>
    <xf numFmtId="0" fontId="127" fillId="0" borderId="41" xfId="2" applyFont="1" applyFill="1" applyBorder="1" applyAlignment="1" applyProtection="1">
      <alignment vertical="center" wrapText="1"/>
      <protection hidden="1"/>
    </xf>
    <xf numFmtId="0" fontId="127" fillId="0" borderId="42" xfId="2" applyFont="1" applyFill="1" applyBorder="1" applyAlignment="1" applyProtection="1">
      <alignment vertical="center" wrapText="1"/>
      <protection hidden="1"/>
    </xf>
    <xf numFmtId="0" fontId="128" fillId="22" borderId="0" xfId="2" applyFont="1" applyFill="1" applyBorder="1" applyAlignment="1" applyProtection="1">
      <alignment vertical="center" wrapText="1"/>
      <protection hidden="1"/>
    </xf>
    <xf numFmtId="0" fontId="43" fillId="29" borderId="0" xfId="2" applyFont="1" applyFill="1" applyBorder="1" applyAlignment="1" applyProtection="1">
      <alignment horizontal="center" vertical="center"/>
      <protection hidden="1"/>
    </xf>
    <xf numFmtId="0" fontId="125" fillId="21" borderId="0" xfId="2" applyFont="1" applyFill="1" applyBorder="1" applyAlignment="1" applyProtection="1">
      <alignment vertical="center"/>
      <protection hidden="1"/>
    </xf>
    <xf numFmtId="0" fontId="122" fillId="21" borderId="36" xfId="2" applyFont="1" applyFill="1" applyBorder="1" applyAlignment="1" applyProtection="1">
      <alignment vertical="center" wrapText="1"/>
      <protection hidden="1"/>
    </xf>
    <xf numFmtId="165" fontId="44" fillId="29" borderId="98" xfId="2" applyNumberFormat="1" applyFont="1" applyFill="1" applyBorder="1" applyAlignment="1" applyProtection="1">
      <alignment horizontal="center" vertical="center"/>
      <protection hidden="1"/>
    </xf>
    <xf numFmtId="0" fontId="59" fillId="29" borderId="99" xfId="2" applyNumberFormat="1" applyFont="1" applyFill="1" applyBorder="1" applyAlignment="1" applyProtection="1">
      <alignment horizontal="center" vertical="center"/>
      <protection hidden="1"/>
    </xf>
    <xf numFmtId="0" fontId="43" fillId="29" borderId="100" xfId="2" applyFont="1" applyFill="1" applyBorder="1" applyAlignment="1" applyProtection="1">
      <alignment horizontal="center" vertical="center"/>
      <protection hidden="1"/>
    </xf>
    <xf numFmtId="0" fontId="59" fillId="29" borderId="98" xfId="2" applyFont="1" applyFill="1" applyBorder="1" applyAlignment="1" applyProtection="1">
      <alignment horizontal="center" vertical="center"/>
      <protection hidden="1"/>
    </xf>
    <xf numFmtId="0" fontId="109" fillId="29" borderId="100" xfId="2" applyFont="1" applyFill="1" applyBorder="1" applyAlignment="1" applyProtection="1">
      <alignment horizontal="center" vertical="center"/>
      <protection hidden="1"/>
    </xf>
    <xf numFmtId="0" fontId="125" fillId="21" borderId="41" xfId="2" applyFont="1" applyFill="1" applyBorder="1" applyAlignment="1" applyProtection="1">
      <alignment vertical="center" wrapText="1"/>
      <protection hidden="1"/>
    </xf>
    <xf numFmtId="0" fontId="33" fillId="21" borderId="42" xfId="2" applyFont="1" applyFill="1" applyBorder="1" applyAlignment="1" applyProtection="1"/>
    <xf numFmtId="0" fontId="35" fillId="21" borderId="0" xfId="2" applyFont="1" applyFill="1" applyAlignment="1" applyProtection="1">
      <protection hidden="1"/>
    </xf>
    <xf numFmtId="0" fontId="34" fillId="18" borderId="0" xfId="2" applyFont="1" applyFill="1" applyAlignment="1" applyProtection="1">
      <protection hidden="1"/>
    </xf>
    <xf numFmtId="0" fontId="65" fillId="18" borderId="0" xfId="2" applyFont="1" applyFill="1" applyBorder="1" applyAlignment="1" applyProtection="1">
      <protection hidden="1"/>
    </xf>
    <xf numFmtId="165" fontId="16" fillId="18" borderId="0" xfId="2" applyNumberFormat="1" applyFont="1" applyFill="1" applyBorder="1" applyAlignment="1" applyProtection="1">
      <alignment horizontal="center" vertical="center"/>
      <protection hidden="1"/>
    </xf>
    <xf numFmtId="0" fontId="16" fillId="18" borderId="0" xfId="2" applyFont="1" applyFill="1" applyBorder="1" applyAlignment="1" applyProtection="1">
      <alignment horizontal="center"/>
      <protection hidden="1"/>
    </xf>
    <xf numFmtId="0" fontId="130" fillId="29" borderId="0" xfId="2" applyFont="1" applyFill="1" applyBorder="1" applyAlignment="1" applyProtection="1">
      <alignment horizontal="center" vertical="center"/>
      <protection hidden="1"/>
    </xf>
    <xf numFmtId="0" fontId="130" fillId="30" borderId="47" xfId="2" applyFont="1" applyFill="1" applyBorder="1" applyAlignment="1" applyProtection="1">
      <alignment horizontal="center" vertical="center"/>
      <protection hidden="1"/>
    </xf>
    <xf numFmtId="0" fontId="132" fillId="22" borderId="57" xfId="2" applyFont="1" applyFill="1" applyBorder="1" applyAlignment="1" applyProtection="1">
      <alignment vertical="center"/>
    </xf>
    <xf numFmtId="0" fontId="132" fillId="18" borderId="0" xfId="2" applyFont="1" applyFill="1" applyBorder="1" applyAlignment="1" applyProtection="1">
      <alignment vertical="center"/>
    </xf>
    <xf numFmtId="0" fontId="70" fillId="18" borderId="0" xfId="2" applyFont="1" applyFill="1" applyAlignment="1" applyProtection="1">
      <alignment horizontal="center" vertical="center" wrapText="1"/>
    </xf>
    <xf numFmtId="0" fontId="107" fillId="21" borderId="0" xfId="2" applyFont="1" applyFill="1" applyBorder="1" applyAlignment="1" applyProtection="1">
      <alignment vertical="center"/>
      <protection hidden="1"/>
    </xf>
    <xf numFmtId="0" fontId="107" fillId="43" borderId="47" xfId="2" applyFont="1" applyFill="1" applyBorder="1" applyAlignment="1" applyProtection="1">
      <alignment vertical="center"/>
      <protection hidden="1"/>
    </xf>
    <xf numFmtId="0" fontId="133" fillId="18" borderId="0" xfId="2" applyFont="1" applyFill="1" applyBorder="1" applyAlignment="1" applyProtection="1">
      <alignment vertical="center"/>
      <protection hidden="1"/>
    </xf>
    <xf numFmtId="0" fontId="134" fillId="18" borderId="0" xfId="2" applyFont="1" applyFill="1" applyAlignment="1" applyProtection="1">
      <alignment vertical="center"/>
      <protection hidden="1"/>
    </xf>
    <xf numFmtId="0" fontId="70" fillId="18" borderId="0" xfId="2" applyFont="1" applyFill="1" applyAlignment="1" applyProtection="1">
      <alignment horizontal="center" vertical="center" wrapText="1"/>
      <protection hidden="1"/>
    </xf>
    <xf numFmtId="0" fontId="107" fillId="43" borderId="65" xfId="2" applyFont="1" applyFill="1" applyBorder="1" applyAlignment="1" applyProtection="1">
      <alignment vertical="center"/>
      <protection hidden="1"/>
    </xf>
    <xf numFmtId="0" fontId="59" fillId="29" borderId="40" xfId="2" applyFont="1" applyFill="1" applyBorder="1" applyAlignment="1" applyProtection="1">
      <alignment horizontal="center" vertical="center"/>
      <protection hidden="1"/>
    </xf>
    <xf numFmtId="0" fontId="66" fillId="27" borderId="57" xfId="2" applyFont="1" applyFill="1" applyBorder="1" applyAlignment="1" applyProtection="1">
      <alignment vertical="center"/>
    </xf>
    <xf numFmtId="0" fontId="66" fillId="27" borderId="0" xfId="2" applyFont="1" applyFill="1" applyBorder="1" applyAlignment="1" applyProtection="1">
      <alignment vertical="center"/>
    </xf>
    <xf numFmtId="0" fontId="104" fillId="22" borderId="57" xfId="0" applyFont="1" applyFill="1" applyBorder="1" applyAlignment="1">
      <alignment horizontal="center" vertical="center"/>
    </xf>
    <xf numFmtId="0" fontId="104" fillId="18" borderId="0" xfId="0" applyFont="1" applyFill="1" applyBorder="1" applyAlignment="1">
      <alignment horizontal="center" vertical="center"/>
    </xf>
    <xf numFmtId="165" fontId="44" fillId="28" borderId="38" xfId="2" applyNumberFormat="1" applyFont="1" applyFill="1" applyBorder="1" applyAlignment="1" applyProtection="1">
      <alignment horizontal="center" vertical="center"/>
      <protection hidden="1"/>
    </xf>
    <xf numFmtId="0" fontId="33" fillId="18" borderId="38" xfId="2" applyFont="1" applyFill="1" applyBorder="1" applyAlignment="1" applyProtection="1"/>
    <xf numFmtId="0" fontId="135" fillId="18" borderId="38" xfId="2" applyFont="1" applyFill="1" applyBorder="1" applyAlignment="1" applyProtection="1">
      <alignment horizontal="center" vertical="center"/>
    </xf>
    <xf numFmtId="0" fontId="61" fillId="18" borderId="38" xfId="2" applyFont="1" applyFill="1" applyBorder="1" applyAlignment="1" applyProtection="1">
      <alignment horizontal="center" vertical="center"/>
    </xf>
    <xf numFmtId="0" fontId="66" fillId="27" borderId="55" xfId="2" applyFont="1" applyFill="1" applyBorder="1" applyAlignment="1" applyProtection="1">
      <alignment vertical="center"/>
    </xf>
    <xf numFmtId="0" fontId="66" fillId="27" borderId="43" xfId="2" applyFont="1" applyFill="1" applyBorder="1" applyAlignment="1" applyProtection="1">
      <alignment vertical="center"/>
    </xf>
    <xf numFmtId="0" fontId="80" fillId="22" borderId="57" xfId="0" applyFont="1" applyFill="1" applyBorder="1" applyAlignment="1" applyProtection="1">
      <alignment horizontal="center" vertical="center"/>
      <protection locked="0" hidden="1"/>
    </xf>
    <xf numFmtId="0" fontId="80" fillId="18" borderId="0" xfId="0" applyFont="1" applyFill="1" applyBorder="1" applyAlignment="1" applyProtection="1">
      <alignment horizontal="center" vertical="center"/>
      <protection locked="0" hidden="1"/>
    </xf>
    <xf numFmtId="0" fontId="136" fillId="28" borderId="0" xfId="2" applyFont="1" applyFill="1" applyBorder="1" applyAlignment="1" applyProtection="1">
      <alignment horizontal="center" vertical="center"/>
      <protection hidden="1"/>
    </xf>
    <xf numFmtId="0" fontId="107" fillId="18" borderId="0" xfId="2" applyFont="1" applyFill="1" applyBorder="1" applyAlignment="1" applyProtection="1">
      <alignment vertical="center"/>
    </xf>
    <xf numFmtId="0" fontId="39" fillId="28" borderId="0" xfId="2" applyFont="1" applyFill="1" applyBorder="1" applyAlignment="1" applyProtection="1">
      <alignment horizontal="center" vertical="center"/>
      <protection hidden="1"/>
    </xf>
    <xf numFmtId="0" fontId="136" fillId="28" borderId="0" xfId="2" applyFont="1" applyFill="1" applyBorder="1" applyAlignment="1" applyProtection="1">
      <alignment horizontal="center" vertical="center"/>
    </xf>
    <xf numFmtId="0" fontId="137" fillId="18" borderId="0" xfId="2" applyFont="1" applyFill="1" applyAlignment="1" applyProtection="1">
      <alignment vertical="center"/>
    </xf>
    <xf numFmtId="0" fontId="62" fillId="22" borderId="57" xfId="1" applyNumberFormat="1" applyFont="1" applyFill="1" applyBorder="1" applyAlignment="1" applyProtection="1">
      <alignment horizontal="center" vertical="center"/>
    </xf>
    <xf numFmtId="0" fontId="62" fillId="18" borderId="0" xfId="1" applyNumberFormat="1" applyFont="1" applyFill="1" applyBorder="1" applyAlignment="1" applyProtection="1">
      <alignment horizontal="center" vertical="center"/>
    </xf>
    <xf numFmtId="0" fontId="34" fillId="18" borderId="0" xfId="2" applyFont="1" applyFill="1" applyAlignment="1" applyProtection="1"/>
    <xf numFmtId="0" fontId="66" fillId="27" borderId="97" xfId="2" applyFont="1" applyFill="1" applyBorder="1" applyAlignment="1" applyProtection="1">
      <alignment vertical="center"/>
    </xf>
    <xf numFmtId="0" fontId="66" fillId="27" borderId="71" xfId="2" applyFont="1" applyFill="1" applyBorder="1" applyAlignment="1" applyProtection="1"/>
    <xf numFmtId="0" fontId="67" fillId="27" borderId="71" xfId="2" applyFont="1" applyFill="1" applyBorder="1" applyAlignment="1" applyProtection="1">
      <alignment vertical="center"/>
    </xf>
    <xf numFmtId="0" fontId="138" fillId="22" borderId="0" xfId="2" applyFont="1" applyFill="1" applyBorder="1" applyAlignment="1" applyProtection="1"/>
    <xf numFmtId="0" fontId="34" fillId="22" borderId="57" xfId="2" applyFont="1" applyFill="1" applyBorder="1" applyAlignment="1" applyProtection="1"/>
    <xf numFmtId="0" fontId="34" fillId="18" borderId="0" xfId="2" applyFont="1" applyFill="1" applyBorder="1" applyAlignment="1" applyProtection="1"/>
    <xf numFmtId="0" fontId="34" fillId="18" borderId="0" xfId="2" applyFont="1" applyFill="1" applyAlignment="1" applyProtection="1">
      <protection locked="0" hidden="1"/>
    </xf>
    <xf numFmtId="0" fontId="66" fillId="27" borderId="63" xfId="2" applyFont="1" applyFill="1" applyBorder="1" applyAlignment="1" applyProtection="1">
      <alignment horizontal="left" vertical="center"/>
    </xf>
    <xf numFmtId="0" fontId="139" fillId="27" borderId="73" xfId="2" applyFont="1" applyFill="1" applyBorder="1" applyAlignment="1" applyProtection="1"/>
    <xf numFmtId="0" fontId="34" fillId="22" borderId="0" xfId="2" applyFont="1" applyFill="1" applyBorder="1" applyAlignment="1" applyProtection="1"/>
    <xf numFmtId="0" fontId="59" fillId="45" borderId="37" xfId="2" applyFont="1" applyFill="1" applyBorder="1" applyAlignment="1" applyProtection="1">
      <alignment vertical="center"/>
    </xf>
    <xf numFmtId="0" fontId="59" fillId="45" borderId="38" xfId="2" applyFont="1" applyFill="1" applyBorder="1" applyAlignment="1" applyProtection="1">
      <alignment vertical="center"/>
    </xf>
    <xf numFmtId="0" fontId="138" fillId="45" borderId="38" xfId="2" applyFont="1" applyFill="1" applyBorder="1" applyAlignment="1" applyProtection="1"/>
    <xf numFmtId="0" fontId="138" fillId="45" borderId="39" xfId="2" applyFont="1" applyFill="1" applyBorder="1" applyAlignment="1" applyProtection="1"/>
    <xf numFmtId="0" fontId="140" fillId="57" borderId="0" xfId="2" applyFont="1" applyFill="1" applyBorder="1" applyAlignment="1" applyProtection="1">
      <alignment horizontal="center" vertical="center" wrapText="1"/>
    </xf>
    <xf numFmtId="0" fontId="132" fillId="22" borderId="0" xfId="2" applyFont="1" applyFill="1" applyBorder="1" applyAlignment="1" applyProtection="1">
      <alignment vertical="center"/>
    </xf>
    <xf numFmtId="0" fontId="43" fillId="51" borderId="57" xfId="2" applyFont="1" applyFill="1" applyBorder="1" applyAlignment="1" applyProtection="1">
      <alignment vertical="center"/>
      <protection hidden="1"/>
    </xf>
    <xf numFmtId="0" fontId="43" fillId="51" borderId="0" xfId="2" applyFont="1" applyFill="1" applyBorder="1" applyAlignment="1" applyProtection="1">
      <alignment vertical="center"/>
      <protection hidden="1"/>
    </xf>
    <xf numFmtId="0" fontId="50" fillId="45" borderId="0" xfId="2" applyFont="1" applyFill="1" applyBorder="1" applyAlignment="1" applyProtection="1">
      <alignment vertical="center"/>
      <protection locked="0" hidden="1"/>
    </xf>
    <xf numFmtId="0" fontId="50" fillId="45" borderId="0" xfId="2" applyFont="1" applyFill="1" applyBorder="1" applyAlignment="1" applyProtection="1">
      <alignment vertical="center" textRotation="90" wrapText="1"/>
    </xf>
    <xf numFmtId="0" fontId="141" fillId="45" borderId="36" xfId="2" applyFont="1" applyFill="1" applyBorder="1" applyAlignment="1" applyProtection="1">
      <alignment vertical="center"/>
    </xf>
    <xf numFmtId="0" fontId="43" fillId="45" borderId="57" xfId="2" applyFont="1" applyFill="1" applyBorder="1" applyAlignment="1" applyProtection="1">
      <alignment vertical="center"/>
      <protection hidden="1"/>
    </xf>
    <xf numFmtId="0" fontId="43" fillId="45" borderId="0" xfId="2" applyFont="1" applyFill="1" applyBorder="1" applyAlignment="1" applyProtection="1">
      <alignment vertical="center"/>
      <protection hidden="1"/>
    </xf>
    <xf numFmtId="0" fontId="62" fillId="22" borderId="0" xfId="2" applyFont="1" applyFill="1" applyBorder="1" applyAlignment="1" applyProtection="1">
      <alignment vertical="center"/>
      <protection locked="0" hidden="1"/>
    </xf>
    <xf numFmtId="0" fontId="62" fillId="18" borderId="0" xfId="2" applyFont="1" applyFill="1" applyBorder="1" applyAlignment="1" applyProtection="1">
      <alignment vertical="center"/>
      <protection locked="0" hidden="1"/>
    </xf>
    <xf numFmtId="0" fontId="43" fillId="45" borderId="40" xfId="2" applyFont="1" applyFill="1" applyBorder="1" applyAlignment="1" applyProtection="1">
      <alignment vertical="center"/>
      <protection locked="0" hidden="1"/>
    </xf>
    <xf numFmtId="0" fontId="43" fillId="45" borderId="41" xfId="2" applyFont="1" applyFill="1" applyBorder="1" applyAlignment="1" applyProtection="1">
      <alignment vertical="center"/>
      <protection locked="0" hidden="1"/>
    </xf>
    <xf numFmtId="0" fontId="50" fillId="45" borderId="41" xfId="2" applyFont="1" applyFill="1" applyBorder="1" applyAlignment="1" applyProtection="1">
      <alignment vertical="center"/>
      <protection locked="0" hidden="1"/>
    </xf>
    <xf numFmtId="0" fontId="50" fillId="45" borderId="41" xfId="2" applyFont="1" applyFill="1" applyBorder="1" applyAlignment="1" applyProtection="1">
      <alignment vertical="center" textRotation="90" wrapText="1"/>
    </xf>
    <xf numFmtId="0" fontId="33" fillId="45" borderId="42" xfId="2" applyFont="1" applyFill="1" applyBorder="1" applyAlignment="1" applyProtection="1"/>
    <xf numFmtId="0" fontId="33" fillId="45" borderId="40" xfId="2" applyFont="1" applyFill="1" applyBorder="1" applyAlignment="1" applyProtection="1"/>
    <xf numFmtId="0" fontId="33" fillId="45" borderId="41" xfId="2" applyFont="1" applyFill="1" applyBorder="1" applyAlignment="1" applyProtection="1"/>
    <xf numFmtId="17" fontId="106" fillId="20" borderId="0" xfId="2" applyNumberFormat="1" applyFont="1" applyFill="1" applyBorder="1" applyAlignment="1" applyProtection="1">
      <alignment horizontal="center" vertical="center"/>
      <protection hidden="1"/>
    </xf>
    <xf numFmtId="0" fontId="39" fillId="20" borderId="0" xfId="2" applyFont="1" applyFill="1" applyBorder="1" applyAlignment="1" applyProtection="1">
      <alignment vertical="center"/>
      <protection locked="0" hidden="1"/>
    </xf>
    <xf numFmtId="17" fontId="107" fillId="20" borderId="0" xfId="2" applyNumberFormat="1" applyFont="1" applyFill="1" applyBorder="1" applyAlignment="1" applyProtection="1">
      <alignment horizontal="center" vertical="center"/>
      <protection hidden="1"/>
    </xf>
    <xf numFmtId="17" fontId="107" fillId="18" borderId="0" xfId="2" applyNumberFormat="1" applyFont="1" applyFill="1" applyBorder="1" applyAlignment="1" applyProtection="1">
      <alignment horizontal="center" vertical="center" wrapText="1"/>
      <protection hidden="1"/>
    </xf>
    <xf numFmtId="0" fontId="104" fillId="18" borderId="0" xfId="2" applyFont="1" applyFill="1" applyBorder="1" applyAlignment="1" applyProtection="1">
      <alignment vertical="center" wrapText="1"/>
      <protection locked="0" hidden="1"/>
    </xf>
    <xf numFmtId="0" fontId="141" fillId="22" borderId="0" xfId="2" applyFont="1" applyFill="1" applyAlignment="1" applyProtection="1">
      <alignment vertical="center"/>
    </xf>
    <xf numFmtId="0" fontId="59" fillId="20" borderId="0" xfId="2" applyFont="1" applyFill="1" applyBorder="1" applyAlignment="1" applyProtection="1">
      <alignment vertical="center"/>
      <protection locked="0" hidden="1"/>
    </xf>
    <xf numFmtId="17" fontId="107" fillId="18" borderId="0" xfId="2" applyNumberFormat="1" applyFont="1" applyFill="1" applyBorder="1" applyAlignment="1" applyProtection="1">
      <alignment horizontal="center" vertical="center"/>
      <protection hidden="1"/>
    </xf>
    <xf numFmtId="165" fontId="107" fillId="18" borderId="0" xfId="2" applyNumberFormat="1" applyFont="1" applyFill="1" applyBorder="1" applyAlignment="1" applyProtection="1">
      <alignment horizontal="center" vertical="center"/>
      <protection hidden="1"/>
    </xf>
    <xf numFmtId="0" fontId="50" fillId="18" borderId="0" xfId="2" applyNumberFormat="1" applyFont="1" applyFill="1" applyBorder="1" applyAlignment="1" applyProtection="1">
      <alignment horizontal="center" vertical="center"/>
      <protection locked="0" hidden="1"/>
    </xf>
    <xf numFmtId="0" fontId="141" fillId="18" borderId="0" xfId="2" applyFont="1" applyFill="1" applyAlignment="1" applyProtection="1">
      <alignment vertical="center"/>
    </xf>
    <xf numFmtId="17" fontId="106" fillId="18" borderId="0" xfId="2" applyNumberFormat="1" applyFont="1" applyFill="1" applyBorder="1" applyAlignment="1" applyProtection="1">
      <alignment horizontal="center" vertical="center"/>
      <protection hidden="1"/>
    </xf>
    <xf numFmtId="0" fontId="59" fillId="18" borderId="0" xfId="2" applyFont="1" applyFill="1" applyBorder="1" applyAlignment="1" applyProtection="1">
      <alignment vertical="center"/>
      <protection locked="0" hidden="1"/>
    </xf>
    <xf numFmtId="0" fontId="100" fillId="18" borderId="0" xfId="2" applyFont="1" applyFill="1" applyAlignment="1" applyProtection="1">
      <alignment vertical="center"/>
    </xf>
    <xf numFmtId="0" fontId="118" fillId="18" borderId="0" xfId="2" applyFont="1" applyFill="1" applyBorder="1" applyAlignment="1" applyProtection="1">
      <alignment vertical="center"/>
    </xf>
    <xf numFmtId="0" fontId="136" fillId="59" borderId="0" xfId="2" applyFont="1" applyFill="1" applyBorder="1" applyAlignment="1" applyProtection="1">
      <alignment vertical="center"/>
      <protection hidden="1"/>
    </xf>
    <xf numFmtId="0" fontId="136" fillId="59" borderId="0" xfId="2" applyFont="1" applyFill="1" applyBorder="1" applyAlignment="1" applyProtection="1">
      <alignment horizontal="left" vertical="center"/>
      <protection hidden="1"/>
    </xf>
    <xf numFmtId="0" fontId="138" fillId="18" borderId="0" xfId="2" applyFont="1" applyFill="1" applyBorder="1" applyAlignment="1" applyProtection="1"/>
    <xf numFmtId="0" fontId="143" fillId="18" borderId="0" xfId="2" applyFont="1" applyFill="1" applyAlignment="1" applyProtection="1">
      <alignment vertical="center"/>
    </xf>
    <xf numFmtId="0" fontId="136" fillId="18" borderId="0" xfId="2" applyFont="1" applyFill="1" applyBorder="1" applyAlignment="1" applyProtection="1">
      <alignment vertical="center"/>
      <protection hidden="1"/>
    </xf>
    <xf numFmtId="0" fontId="136" fillId="18" borderId="0" xfId="2" applyFont="1" applyFill="1" applyBorder="1" applyAlignment="1" applyProtection="1">
      <alignment horizontal="left" vertical="center"/>
      <protection hidden="1"/>
    </xf>
    <xf numFmtId="0" fontId="33" fillId="18" borderId="0" xfId="2" applyFont="1" applyFill="1" applyBorder="1" applyAlignment="1" applyProtection="1"/>
    <xf numFmtId="0" fontId="136" fillId="18" borderId="0" xfId="2" applyFont="1" applyFill="1" applyBorder="1" applyAlignment="1" applyProtection="1">
      <alignment horizontal="left" vertical="center"/>
      <protection locked="0" hidden="1"/>
    </xf>
    <xf numFmtId="0" fontId="144" fillId="18" borderId="0" xfId="2" applyFont="1" applyFill="1" applyAlignment="1" applyProtection="1"/>
    <xf numFmtId="0" fontId="144" fillId="0" borderId="0" xfId="2" applyFont="1" applyAlignment="1" applyProtection="1"/>
    <xf numFmtId="0" fontId="144" fillId="0" borderId="0" xfId="2" applyFont="1" applyFill="1" applyAlignment="1" applyProtection="1"/>
    <xf numFmtId="0" fontId="145" fillId="0" borderId="0" xfId="2" applyFont="1" applyAlignment="1" applyProtection="1"/>
    <xf numFmtId="0" fontId="144" fillId="0" borderId="0" xfId="2" applyFont="1" applyAlignment="1" applyProtection="1">
      <alignment horizontal="right"/>
    </xf>
    <xf numFmtId="0" fontId="146" fillId="0" borderId="0" xfId="2" applyFont="1" applyBorder="1" applyAlignment="1" applyProtection="1">
      <alignment horizontal="center"/>
    </xf>
    <xf numFmtId="0" fontId="144" fillId="0" borderId="0" xfId="2" applyFont="1" applyBorder="1" applyAlignment="1" applyProtection="1"/>
    <xf numFmtId="0" fontId="144" fillId="0" borderId="109" xfId="2" applyFont="1" applyBorder="1" applyAlignment="1" applyProtection="1"/>
    <xf numFmtId="0" fontId="144" fillId="0" borderId="110" xfId="2" applyFont="1" applyBorder="1" applyAlignment="1" applyProtection="1"/>
    <xf numFmtId="0" fontId="144" fillId="0" borderId="111" xfId="2" applyFont="1" applyBorder="1" applyAlignment="1" applyProtection="1"/>
    <xf numFmtId="0" fontId="144" fillId="0" borderId="15" xfId="2" applyFont="1" applyBorder="1" applyAlignment="1" applyProtection="1"/>
    <xf numFmtId="1" fontId="144" fillId="18" borderId="0" xfId="2" applyNumberFormat="1" applyFont="1" applyFill="1" applyAlignment="1" applyProtection="1"/>
    <xf numFmtId="1" fontId="144" fillId="0" borderId="0" xfId="2" applyNumberFormat="1" applyFont="1" applyAlignment="1" applyProtection="1"/>
    <xf numFmtId="0" fontId="146" fillId="0" borderId="0" xfId="2" applyFont="1" applyBorder="1" applyAlignment="1" applyProtection="1">
      <alignment horizontal="center" vertical="center"/>
    </xf>
    <xf numFmtId="0" fontId="144" fillId="60" borderId="0" xfId="2" applyFont="1" applyFill="1" applyAlignment="1">
      <protection locked="0"/>
    </xf>
    <xf numFmtId="166" fontId="144" fillId="60" borderId="0" xfId="2" applyNumberFormat="1" applyFont="1" applyFill="1" applyAlignment="1" applyProtection="1"/>
    <xf numFmtId="165" fontId="144" fillId="0" borderId="0" xfId="2" applyNumberFormat="1" applyFont="1" applyBorder="1" applyAlignment="1" applyProtection="1"/>
    <xf numFmtId="0" fontId="144" fillId="0" borderId="0" xfId="2" applyFont="1" applyAlignment="1" applyProtection="1">
      <alignment horizontal="right" vertical="center"/>
    </xf>
    <xf numFmtId="0" fontId="144" fillId="60" borderId="113" xfId="2" applyFont="1" applyFill="1" applyBorder="1" applyAlignment="1">
      <protection locked="0"/>
    </xf>
    <xf numFmtId="166" fontId="144" fillId="60" borderId="114" xfId="2" applyNumberFormat="1" applyFont="1" applyFill="1" applyBorder="1" applyAlignment="1" applyProtection="1"/>
    <xf numFmtId="0" fontId="144" fillId="0" borderId="115" xfId="2" applyFont="1" applyBorder="1" applyAlignment="1" applyProtection="1">
      <alignment horizontal="center" vertical="center"/>
    </xf>
    <xf numFmtId="167" fontId="144" fillId="0" borderId="0" xfId="2" applyNumberFormat="1" applyFont="1" applyAlignment="1" applyProtection="1">
      <alignment horizontal="center" vertical="center"/>
    </xf>
    <xf numFmtId="17" fontId="144" fillId="0" borderId="0" xfId="2" applyNumberFormat="1" applyFont="1" applyAlignment="1" applyProtection="1"/>
    <xf numFmtId="167" fontId="144" fillId="0" borderId="0" xfId="2" applyNumberFormat="1" applyFont="1" applyAlignment="1" applyProtection="1"/>
    <xf numFmtId="14" fontId="144" fillId="0" borderId="0" xfId="2" applyNumberFormat="1" applyFont="1" applyAlignment="1" applyProtection="1"/>
    <xf numFmtId="165" fontId="144" fillId="0" borderId="0" xfId="2" applyNumberFormat="1" applyFont="1" applyAlignment="1" applyProtection="1"/>
    <xf numFmtId="0" fontId="144" fillId="0" borderId="116" xfId="2" applyFont="1" applyBorder="1" applyAlignment="1" applyProtection="1"/>
    <xf numFmtId="0" fontId="144" fillId="0" borderId="117" xfId="2" applyFont="1" applyBorder="1" applyAlignment="1" applyProtection="1"/>
    <xf numFmtId="0" fontId="144" fillId="0" borderId="115" xfId="2" applyFont="1" applyBorder="1" applyAlignment="1" applyProtection="1">
      <alignment horizontal="center"/>
    </xf>
    <xf numFmtId="0" fontId="144" fillId="0" borderId="94" xfId="2" applyFont="1" applyBorder="1" applyAlignment="1" applyProtection="1"/>
    <xf numFmtId="0" fontId="144" fillId="61" borderId="111" xfId="2" applyFont="1" applyFill="1" applyBorder="1" applyAlignment="1">
      <protection locked="0"/>
    </xf>
    <xf numFmtId="0" fontId="144" fillId="61" borderId="0" xfId="2" applyFont="1" applyFill="1" applyBorder="1" applyAlignment="1">
      <protection locked="0"/>
    </xf>
    <xf numFmtId="166" fontId="144" fillId="0" borderId="0" xfId="2" applyNumberFormat="1" applyFont="1" applyBorder="1" applyAlignment="1" applyProtection="1"/>
    <xf numFmtId="14" fontId="144" fillId="0" borderId="0" xfId="2" applyNumberFormat="1" applyFont="1" applyBorder="1" applyAlignment="1" applyProtection="1"/>
    <xf numFmtId="166" fontId="144" fillId="0" borderId="0" xfId="2" applyNumberFormat="1" applyFont="1" applyAlignment="1" applyProtection="1"/>
    <xf numFmtId="165" fontId="144" fillId="0" borderId="119" xfId="2" applyNumberFormat="1" applyFont="1" applyBorder="1" applyAlignment="1" applyProtection="1"/>
    <xf numFmtId="0" fontId="144" fillId="0" borderId="119" xfId="2" applyFont="1" applyBorder="1" applyAlignment="1" applyProtection="1"/>
    <xf numFmtId="0" fontId="147" fillId="0" borderId="35" xfId="2" applyFont="1" applyBorder="1" applyAlignment="1" applyProtection="1"/>
    <xf numFmtId="0" fontId="144" fillId="61" borderId="116" xfId="2" applyFont="1" applyFill="1" applyBorder="1" applyAlignment="1">
      <protection locked="0"/>
    </xf>
    <xf numFmtId="0" fontId="144" fillId="0" borderId="118" xfId="2" applyFont="1" applyBorder="1" applyAlignment="1" applyProtection="1"/>
    <xf numFmtId="0" fontId="144" fillId="61" borderId="118" xfId="2" applyFont="1" applyFill="1" applyBorder="1" applyAlignment="1">
      <protection locked="0"/>
    </xf>
    <xf numFmtId="166" fontId="144" fillId="0" borderId="118" xfId="2" applyNumberFormat="1" applyFont="1" applyBorder="1" applyAlignment="1" applyProtection="1"/>
    <xf numFmtId="0" fontId="144" fillId="0" borderId="0" xfId="2" applyNumberFormat="1" applyFont="1" applyAlignment="1" applyProtection="1"/>
    <xf numFmtId="14" fontId="148" fillId="0" borderId="0" xfId="2" applyNumberFormat="1" applyFont="1" applyAlignment="1" applyProtection="1"/>
    <xf numFmtId="166" fontId="146" fillId="43" borderId="0" xfId="2" applyNumberFormat="1" applyFont="1" applyFill="1" applyAlignment="1" applyProtection="1"/>
    <xf numFmtId="0" fontId="146" fillId="43" borderId="0" xfId="2" applyFont="1" applyFill="1" applyAlignment="1" applyProtection="1">
      <protection locked="0" hidden="1"/>
    </xf>
    <xf numFmtId="14" fontId="146" fillId="43" borderId="0" xfId="2" applyNumberFormat="1" applyFont="1" applyFill="1" applyBorder="1" applyAlignment="1" applyProtection="1"/>
    <xf numFmtId="0" fontId="145" fillId="14" borderId="120" xfId="2" applyFont="1" applyFill="1" applyBorder="1" applyAlignment="1" applyProtection="1">
      <alignment horizontal="center" wrapText="1"/>
      <protection hidden="1"/>
    </xf>
    <xf numFmtId="0" fontId="145" fillId="14" borderId="115" xfId="2" applyFont="1" applyFill="1" applyBorder="1" applyAlignment="1" applyProtection="1">
      <alignment horizontal="center" wrapText="1"/>
      <protection hidden="1"/>
    </xf>
    <xf numFmtId="0" fontId="145" fillId="14" borderId="35" xfId="2" applyFont="1" applyFill="1" applyBorder="1" applyAlignment="1" applyProtection="1">
      <alignment horizontal="center" wrapText="1"/>
      <protection hidden="1"/>
    </xf>
    <xf numFmtId="165" fontId="144" fillId="0" borderId="121" xfId="2" applyNumberFormat="1" applyFont="1" applyBorder="1" applyAlignment="1" applyProtection="1"/>
    <xf numFmtId="0" fontId="144" fillId="0" borderId="121" xfId="2" applyFont="1" applyBorder="1" applyAlignment="1" applyProtection="1"/>
    <xf numFmtId="0" fontId="144" fillId="0" borderId="0" xfId="2" applyFont="1" applyFill="1" applyAlignment="1" applyProtection="1">
      <protection locked="0" hidden="1"/>
    </xf>
    <xf numFmtId="0" fontId="144" fillId="0" borderId="122" xfId="2" applyFont="1" applyBorder="1" applyAlignment="1" applyProtection="1"/>
    <xf numFmtId="0" fontId="144" fillId="0" borderId="123" xfId="2" applyFont="1" applyBorder="1" applyAlignment="1" applyProtection="1"/>
    <xf numFmtId="0" fontId="144" fillId="0" borderId="124" xfId="2" applyFont="1" applyBorder="1" applyAlignment="1" applyProtection="1"/>
    <xf numFmtId="0" fontId="144" fillId="0" borderId="125" xfId="2" applyFont="1" applyBorder="1" applyAlignment="1" applyProtection="1"/>
    <xf numFmtId="0" fontId="144" fillId="60" borderId="126" xfId="2" applyFont="1" applyFill="1" applyBorder="1" applyAlignment="1" applyProtection="1"/>
    <xf numFmtId="0" fontId="144" fillId="61" borderId="111" xfId="2" applyFont="1" applyFill="1" applyBorder="1" applyAlignment="1" applyProtection="1"/>
    <xf numFmtId="0" fontId="144" fillId="61" borderId="35" xfId="2" applyFont="1" applyFill="1" applyBorder="1" applyAlignment="1" applyProtection="1"/>
    <xf numFmtId="0" fontId="144" fillId="43" borderId="0" xfId="2" applyFont="1" applyFill="1" applyAlignment="1">
      <protection locked="0"/>
    </xf>
    <xf numFmtId="0" fontId="144" fillId="60" borderId="127" xfId="2" applyFont="1" applyFill="1" applyBorder="1" applyAlignment="1">
      <protection locked="0"/>
    </xf>
    <xf numFmtId="0" fontId="146" fillId="0" borderId="0" xfId="2" applyFont="1" applyFill="1" applyAlignment="1" applyProtection="1"/>
    <xf numFmtId="0" fontId="144" fillId="0" borderId="0" xfId="2" applyFont="1" applyAlignment="1">
      <protection locked="0"/>
    </xf>
    <xf numFmtId="0" fontId="144" fillId="60" borderId="128" xfId="2" applyFont="1" applyFill="1" applyBorder="1" applyAlignment="1" applyProtection="1"/>
    <xf numFmtId="0" fontId="144" fillId="0" borderId="131" xfId="2" applyFont="1" applyBorder="1" applyAlignment="1" applyProtection="1"/>
    <xf numFmtId="0" fontId="144" fillId="0" borderId="132" xfId="2" applyFont="1" applyBorder="1" applyAlignment="1" applyProtection="1"/>
    <xf numFmtId="0" fontId="144" fillId="0" borderId="133" xfId="2" applyFont="1" applyBorder="1" applyAlignment="1" applyProtection="1"/>
    <xf numFmtId="0" fontId="144" fillId="0" borderId="134" xfId="2" applyFont="1" applyBorder="1" applyAlignment="1" applyProtection="1"/>
    <xf numFmtId="0" fontId="144" fillId="0" borderId="135" xfId="2" applyFont="1" applyBorder="1" applyAlignment="1" applyProtection="1"/>
    <xf numFmtId="0" fontId="144" fillId="60" borderId="111" xfId="2" applyFont="1" applyFill="1" applyBorder="1" applyAlignment="1">
      <protection locked="0"/>
    </xf>
    <xf numFmtId="0" fontId="144" fillId="0" borderId="136" xfId="2" applyFont="1" applyBorder="1" applyAlignment="1" applyProtection="1"/>
    <xf numFmtId="0" fontId="144" fillId="60" borderId="120" xfId="2" applyFont="1" applyFill="1" applyBorder="1" applyAlignment="1" applyProtection="1"/>
    <xf numFmtId="0" fontId="144" fillId="60" borderId="118" xfId="2" applyFont="1" applyFill="1" applyBorder="1" applyAlignment="1">
      <protection locked="0"/>
    </xf>
    <xf numFmtId="0" fontId="144" fillId="60" borderId="111" xfId="2" applyFont="1" applyFill="1" applyBorder="1" applyAlignment="1" applyProtection="1"/>
    <xf numFmtId="0" fontId="144" fillId="57" borderId="135" xfId="2" applyFont="1" applyFill="1" applyBorder="1" applyAlignment="1">
      <protection locked="0"/>
    </xf>
    <xf numFmtId="0" fontId="144" fillId="60" borderId="35" xfId="2" applyFont="1" applyFill="1" applyBorder="1" applyAlignment="1">
      <protection locked="0"/>
    </xf>
    <xf numFmtId="0" fontId="144" fillId="60" borderId="35" xfId="2" applyFont="1" applyFill="1" applyBorder="1" applyAlignment="1" applyProtection="1"/>
    <xf numFmtId="166" fontId="144" fillId="0" borderId="111" xfId="2" applyNumberFormat="1" applyFont="1" applyBorder="1" applyAlignment="1" applyProtection="1"/>
    <xf numFmtId="0" fontId="144" fillId="0" borderId="137" xfId="2" applyFont="1" applyBorder="1" applyAlignment="1" applyProtection="1"/>
    <xf numFmtId="0" fontId="144" fillId="0" borderId="138" xfId="2" applyFont="1" applyBorder="1" applyAlignment="1" applyProtection="1"/>
    <xf numFmtId="0" fontId="144" fillId="62" borderId="35" xfId="2" applyFont="1" applyFill="1" applyBorder="1" applyAlignment="1">
      <protection locked="0"/>
    </xf>
    <xf numFmtId="0" fontId="144" fillId="62" borderId="35" xfId="2" applyFont="1" applyFill="1" applyBorder="1" applyAlignment="1" applyProtection="1"/>
    <xf numFmtId="0" fontId="144" fillId="0" borderId="0" xfId="2" applyFont="1" applyFill="1" applyAlignment="1" applyProtection="1"/>
    <xf numFmtId="0" fontId="144" fillId="0" borderId="0" xfId="2" applyFont="1" applyFill="1" applyAlignment="1" applyProtection="1">
      <alignment horizontal="center" vertical="center"/>
    </xf>
    <xf numFmtId="0" fontId="144" fillId="57" borderId="0" xfId="2" applyFont="1" applyFill="1" applyBorder="1" applyAlignment="1">
      <protection locked="0"/>
    </xf>
    <xf numFmtId="0" fontId="144" fillId="0" borderId="0" xfId="2" applyFont="1" applyAlignment="1" applyProtection="1">
      <alignment horizontal="center" vertical="center"/>
    </xf>
    <xf numFmtId="0" fontId="144" fillId="60" borderId="110" xfId="2" applyFont="1" applyFill="1" applyBorder="1" applyAlignment="1">
      <protection locked="0"/>
    </xf>
    <xf numFmtId="166" fontId="144" fillId="0" borderId="116" xfId="2" applyNumberFormat="1" applyFont="1" applyBorder="1" applyAlignment="1" applyProtection="1"/>
    <xf numFmtId="0" fontId="144" fillId="0" borderId="112" xfId="2" applyFont="1" applyBorder="1" applyAlignment="1" applyProtection="1"/>
    <xf numFmtId="0" fontId="144" fillId="0" borderId="139" xfId="2" applyFont="1" applyBorder="1" applyAlignment="1" applyProtection="1"/>
    <xf numFmtId="0" fontId="144" fillId="0" borderId="140" xfId="2" applyFont="1" applyBorder="1" applyAlignment="1" applyProtection="1"/>
    <xf numFmtId="0" fontId="144" fillId="0" borderId="141" xfId="2" applyFont="1" applyBorder="1" applyAlignment="1" applyProtection="1"/>
    <xf numFmtId="0" fontId="144" fillId="63" borderId="0" xfId="2" applyFont="1" applyFill="1" applyAlignment="1" applyProtection="1"/>
    <xf numFmtId="0" fontId="144" fillId="0" borderId="142" xfId="2" applyFont="1" applyBorder="1" applyAlignment="1" applyProtection="1"/>
    <xf numFmtId="0" fontId="144" fillId="60" borderId="0" xfId="2" applyFont="1" applyFill="1" applyBorder="1" applyAlignment="1">
      <protection locked="0"/>
    </xf>
    <xf numFmtId="0" fontId="144" fillId="0" borderId="143" xfId="2" applyFont="1" applyBorder="1" applyAlignment="1" applyProtection="1"/>
    <xf numFmtId="0" fontId="144" fillId="0" borderId="144" xfId="2" applyFont="1" applyBorder="1" applyAlignment="1" applyProtection="1"/>
    <xf numFmtId="0" fontId="144" fillId="0" borderId="145" xfId="2" applyFont="1" applyBorder="1" applyAlignment="1" applyProtection="1"/>
    <xf numFmtId="0" fontId="144" fillId="60" borderId="145" xfId="2" applyFont="1" applyFill="1" applyBorder="1" applyAlignment="1" applyProtection="1"/>
    <xf numFmtId="0" fontId="144" fillId="0" borderId="146" xfId="2" applyFont="1" applyBorder="1" applyAlignment="1" applyProtection="1"/>
    <xf numFmtId="0" fontId="144" fillId="43" borderId="0" xfId="2" applyFont="1" applyFill="1" applyAlignment="1" applyProtection="1">
      <protection locked="0" hidden="1"/>
    </xf>
    <xf numFmtId="168" fontId="144" fillId="0" borderId="0" xfId="2" applyNumberFormat="1" applyFont="1" applyAlignment="1" applyProtection="1"/>
    <xf numFmtId="14" fontId="149" fillId="0" borderId="0" xfId="2" applyNumberFormat="1" applyFont="1" applyAlignment="1" applyProtection="1"/>
    <xf numFmtId="0" fontId="144" fillId="64" borderId="0" xfId="2" applyFont="1" applyFill="1" applyAlignment="1" applyProtection="1"/>
    <xf numFmtId="0" fontId="144" fillId="57" borderId="0" xfId="2" applyFont="1" applyFill="1" applyAlignment="1" applyProtection="1">
      <protection locked="0" hidden="1"/>
    </xf>
    <xf numFmtId="0" fontId="144" fillId="57" borderId="0" xfId="2" applyFont="1" applyFill="1" applyAlignment="1" applyProtection="1"/>
    <xf numFmtId="0" fontId="144" fillId="0" borderId="140" xfId="2" applyFont="1" applyBorder="1" applyAlignment="1" applyProtection="1">
      <alignment horizontal="center"/>
    </xf>
    <xf numFmtId="0" fontId="144" fillId="62" borderId="127" xfId="2" applyFont="1" applyFill="1" applyBorder="1" applyAlignment="1">
      <protection locked="0"/>
    </xf>
    <xf numFmtId="0" fontId="144" fillId="65" borderId="0" xfId="2" applyFont="1" applyFill="1" applyAlignment="1" applyProtection="1"/>
    <xf numFmtId="17" fontId="144" fillId="0" borderId="0" xfId="2" applyNumberFormat="1" applyFont="1" applyAlignment="1" applyProtection="1">
      <alignment horizontal="center" vertical="center"/>
    </xf>
    <xf numFmtId="0" fontId="144" fillId="66" borderId="0" xfId="2" applyFont="1" applyFill="1" applyAlignment="1" applyProtection="1"/>
    <xf numFmtId="0" fontId="144" fillId="62" borderId="128" xfId="2" applyFont="1" applyFill="1" applyBorder="1" applyAlignment="1" applyProtection="1"/>
    <xf numFmtId="0" fontId="144" fillId="0" borderId="147" xfId="2" applyFont="1" applyBorder="1" applyAlignment="1" applyProtection="1"/>
    <xf numFmtId="0" fontId="144" fillId="0" borderId="148" xfId="2" applyFont="1" applyBorder="1" applyAlignment="1" applyProtection="1"/>
    <xf numFmtId="165" fontId="144" fillId="0" borderId="0" xfId="2" applyNumberFormat="1" applyFont="1" applyFill="1" applyAlignment="1" applyProtection="1"/>
    <xf numFmtId="165" fontId="144" fillId="0" borderId="0" xfId="2" applyNumberFormat="1" applyFont="1" applyFill="1" applyAlignment="1" applyProtection="1"/>
    <xf numFmtId="0" fontId="144" fillId="0" borderId="0" xfId="2" applyNumberFormat="1" applyFont="1" applyFill="1" applyAlignment="1" applyProtection="1"/>
    <xf numFmtId="0" fontId="144" fillId="0" borderId="149" xfId="2" applyFont="1" applyBorder="1" applyAlignment="1" applyProtection="1"/>
    <xf numFmtId="0" fontId="144" fillId="60" borderId="143" xfId="2" applyFont="1" applyFill="1" applyBorder="1" applyAlignment="1">
      <protection locked="0"/>
    </xf>
    <xf numFmtId="0" fontId="144" fillId="60" borderId="0" xfId="2" applyFont="1" applyFill="1" applyBorder="1" applyAlignment="1" applyProtection="1"/>
    <xf numFmtId="0" fontId="144" fillId="60" borderId="143" xfId="2" applyFont="1" applyFill="1" applyBorder="1" applyAlignment="1" applyProtection="1"/>
    <xf numFmtId="0" fontId="150" fillId="57" borderId="0" xfId="2" applyFont="1" applyFill="1" applyBorder="1" applyAlignment="1" applyProtection="1"/>
    <xf numFmtId="0" fontId="150" fillId="57" borderId="0" xfId="2" applyFont="1" applyFill="1" applyAlignment="1" applyProtection="1"/>
    <xf numFmtId="0" fontId="144" fillId="0" borderId="35" xfId="2" applyFont="1" applyBorder="1" applyAlignment="1" applyProtection="1"/>
    <xf numFmtId="0" fontId="144" fillId="0" borderId="129" xfId="2" applyFont="1" applyBorder="1" applyAlignment="1" applyProtection="1"/>
    <xf numFmtId="0" fontId="144" fillId="0" borderId="130" xfId="2" applyFont="1" applyBorder="1" applyAlignment="1" applyProtection="1"/>
    <xf numFmtId="0" fontId="144" fillId="0" borderId="150" xfId="2" applyFont="1" applyBorder="1" applyAlignment="1" applyProtection="1"/>
    <xf numFmtId="0" fontId="144" fillId="0" borderId="151" xfId="2" applyFont="1" applyBorder="1" applyAlignment="1" applyProtection="1"/>
    <xf numFmtId="0" fontId="144" fillId="43" borderId="151" xfId="2" applyFont="1" applyFill="1" applyBorder="1" applyAlignment="1" applyProtection="1">
      <protection locked="0" hidden="1"/>
    </xf>
    <xf numFmtId="0" fontId="151" fillId="0" borderId="0" xfId="2" applyFont="1" applyFill="1" applyAlignment="1" applyProtection="1">
      <alignment horizontal="center"/>
    </xf>
    <xf numFmtId="0" fontId="144" fillId="0" borderId="120" xfId="2" applyFont="1" applyBorder="1" applyAlignment="1" applyProtection="1"/>
    <xf numFmtId="0" fontId="144" fillId="0" borderId="0" xfId="2" applyNumberFormat="1" applyFont="1" applyAlignment="1" applyProtection="1">
      <alignment horizontal="center"/>
    </xf>
    <xf numFmtId="0" fontId="144" fillId="43" borderId="0" xfId="2" applyFont="1" applyFill="1" applyBorder="1" applyAlignment="1">
      <protection locked="0"/>
    </xf>
    <xf numFmtId="0" fontId="62" fillId="0" borderId="0" xfId="2" applyFont="1" applyAlignment="1" applyProtection="1"/>
    <xf numFmtId="0" fontId="144" fillId="0" borderId="152" xfId="2" applyFont="1" applyBorder="1" applyAlignment="1" applyProtection="1"/>
    <xf numFmtId="0" fontId="144" fillId="43" borderId="134" xfId="2" applyFont="1" applyFill="1" applyBorder="1" applyAlignment="1">
      <protection locked="0"/>
    </xf>
    <xf numFmtId="165" fontId="144" fillId="0" borderId="134" xfId="2" applyNumberFormat="1" applyFont="1" applyBorder="1" applyAlignment="1" applyProtection="1"/>
    <xf numFmtId="0" fontId="152" fillId="0" borderId="0" xfId="2" applyFont="1" applyBorder="1" applyAlignment="1" applyProtection="1">
      <protection locked="0" hidden="1"/>
    </xf>
    <xf numFmtId="0" fontId="147" fillId="0" borderId="94" xfId="2" applyFont="1" applyBorder="1" applyAlignment="1" applyProtection="1"/>
    <xf numFmtId="0" fontId="144" fillId="0" borderId="0" xfId="2" applyFont="1" applyAlignment="1" applyProtection="1"/>
    <xf numFmtId="0" fontId="147" fillId="0" borderId="0" xfId="2" applyFont="1" applyBorder="1" applyAlignment="1" applyProtection="1"/>
    <xf numFmtId="0" fontId="153" fillId="0" borderId="0" xfId="4" applyNumberFormat="1" applyFont="1" applyAlignment="1" applyProtection="1">
      <alignment horizontal="left"/>
    </xf>
    <xf numFmtId="0" fontId="145" fillId="14" borderId="136" xfId="2" applyFont="1" applyFill="1" applyBorder="1" applyAlignment="1" applyProtection="1">
      <alignment horizontal="center" wrapText="1"/>
      <protection hidden="1"/>
    </xf>
    <xf numFmtId="0" fontId="145" fillId="14" borderId="18" xfId="2" applyFont="1" applyFill="1" applyBorder="1" applyAlignment="1" applyProtection="1">
      <alignment horizontal="center" wrapText="1"/>
      <protection hidden="1"/>
    </xf>
    <xf numFmtId="0" fontId="144" fillId="0" borderId="18" xfId="2" applyFont="1" applyBorder="1" applyAlignment="1" applyProtection="1">
      <alignment horizontal="center"/>
    </xf>
    <xf numFmtId="0" fontId="147" fillId="0" borderId="35" xfId="2" applyFont="1" applyBorder="1" applyAlignment="1" applyProtection="1">
      <alignment horizontal="center" vertical="center"/>
    </xf>
    <xf numFmtId="0" fontId="148" fillId="0" borderId="35" xfId="2" applyFont="1" applyBorder="1" applyAlignment="1" applyProtection="1">
      <alignment horizontal="center" vertical="center"/>
    </xf>
    <xf numFmtId="0" fontId="144" fillId="0" borderId="0" xfId="2" applyFont="1" applyFill="1" applyBorder="1" applyAlignment="1">
      <protection locked="0"/>
    </xf>
    <xf numFmtId="0" fontId="144" fillId="0" borderId="0" xfId="2" applyFont="1" applyFill="1" applyBorder="1" applyAlignment="1" applyProtection="1"/>
    <xf numFmtId="0" fontId="144" fillId="43" borderId="0" xfId="2" applyNumberFormat="1" applyFont="1" applyFill="1" applyBorder="1" applyAlignment="1">
      <protection locked="0"/>
    </xf>
    <xf numFmtId="14" fontId="144" fillId="0" borderId="0" xfId="2" applyNumberFormat="1" applyFont="1" applyFill="1" applyBorder="1" applyAlignment="1" applyProtection="1"/>
    <xf numFmtId="169" fontId="144" fillId="0" borderId="0" xfId="2" applyNumberFormat="1" applyFont="1" applyAlignment="1" applyProtection="1"/>
    <xf numFmtId="166" fontId="144" fillId="0" borderId="0" xfId="2" applyNumberFormat="1" applyFont="1" applyFill="1" applyBorder="1" applyAlignment="1" applyProtection="1"/>
    <xf numFmtId="0" fontId="144" fillId="0" borderId="0" xfId="2" applyNumberFormat="1" applyFont="1" applyFill="1" applyBorder="1" applyAlignment="1" applyProtection="1"/>
    <xf numFmtId="0" fontId="144" fillId="0" borderId="0" xfId="2" applyNumberFormat="1" applyFont="1" applyFill="1" applyBorder="1" applyAlignment="1" applyProtection="1"/>
    <xf numFmtId="0" fontId="144" fillId="0" borderId="0" xfId="2" applyNumberFormat="1" applyFont="1" applyFill="1" applyBorder="1" applyAlignment="1">
      <protection locked="0"/>
    </xf>
    <xf numFmtId="166" fontId="144" fillId="0" borderId="129" xfId="2" applyNumberFormat="1" applyFont="1" applyFill="1" applyBorder="1" applyAlignment="1" applyProtection="1"/>
    <xf numFmtId="0" fontId="144" fillId="0" borderId="130" xfId="2" applyFont="1" applyFill="1" applyBorder="1" applyAlignment="1" applyProtection="1"/>
    <xf numFmtId="14" fontId="144" fillId="0" borderId="130" xfId="2" applyNumberFormat="1" applyFont="1" applyFill="1" applyBorder="1" applyAlignment="1" applyProtection="1"/>
    <xf numFmtId="0" fontId="144" fillId="0" borderId="131" xfId="2" applyFont="1" applyFill="1" applyBorder="1" applyAlignment="1" applyProtection="1"/>
    <xf numFmtId="166" fontId="144" fillId="0" borderId="134" xfId="2" applyNumberFormat="1" applyFont="1" applyBorder="1" applyAlignment="1" applyProtection="1"/>
    <xf numFmtId="0" fontId="1" fillId="0" borderId="0" xfId="0" applyFont="1" applyFill="1" applyBorder="1" applyProtection="1">
      <alignment vertical="center"/>
      <protection hidden="1"/>
    </xf>
    <xf numFmtId="0" fontId="1" fillId="0" borderId="134" xfId="0" applyFont="1" applyFill="1" applyBorder="1" applyProtection="1">
      <alignment vertical="center"/>
      <protection hidden="1"/>
    </xf>
    <xf numFmtId="0" fontId="1" fillId="0" borderId="0" xfId="0" applyFont="1" applyFill="1" applyBorder="1" applyAlignment="1" applyProtection="1">
      <protection hidden="1"/>
    </xf>
    <xf numFmtId="0" fontId="1" fillId="0" borderId="0" xfId="0" applyFont="1" applyFill="1" applyBorder="1" applyAlignment="1" applyProtection="1">
      <alignment horizontal="right"/>
      <protection hidden="1"/>
    </xf>
    <xf numFmtId="9" fontId="144" fillId="0" borderId="134" xfId="2" applyNumberFormat="1" applyFont="1" applyBorder="1" applyAlignment="1" applyProtection="1"/>
    <xf numFmtId="0" fontId="1" fillId="0" borderId="0" xfId="0" applyFont="1" applyFill="1" applyBorder="1" applyAlignment="1" applyProtection="1">
      <protection hidden="1"/>
    </xf>
    <xf numFmtId="0" fontId="147" fillId="0" borderId="0" xfId="0" applyFont="1" applyBorder="1" applyAlignment="1" applyProtection="1">
      <protection hidden="1"/>
    </xf>
    <xf numFmtId="0" fontId="1" fillId="0" borderId="134" xfId="0" applyFont="1" applyFill="1" applyBorder="1" applyAlignment="1" applyProtection="1">
      <protection hidden="1"/>
    </xf>
    <xf numFmtId="0" fontId="147" fillId="43" borderId="0" xfId="0" applyFont="1" applyFill="1" applyBorder="1" applyAlignment="1" applyProtection="1">
      <protection locked="0" hidden="1"/>
    </xf>
    <xf numFmtId="166" fontId="144" fillId="0" borderId="127" xfId="2" applyNumberFormat="1" applyFont="1" applyBorder="1" applyAlignment="1" applyProtection="1"/>
    <xf numFmtId="0" fontId="147" fillId="0" borderId="112" xfId="0" applyFont="1" applyBorder="1" applyAlignment="1" applyProtection="1">
      <protection hidden="1"/>
    </xf>
    <xf numFmtId="166" fontId="144" fillId="0" borderId="153" xfId="2" applyNumberFormat="1" applyFont="1" applyBorder="1" applyAlignment="1" applyProtection="1"/>
    <xf numFmtId="0" fontId="154" fillId="0" borderId="0" xfId="0" applyFont="1" applyAlignment="1">
      <alignment horizontal="center" vertical="center"/>
    </xf>
    <xf numFmtId="0" fontId="144" fillId="0" borderId="0" xfId="2" applyFont="1" applyAlignment="1" applyProtection="1"/>
    <xf numFmtId="9" fontId="144" fillId="0" borderId="111" xfId="2" applyNumberFormat="1" applyFont="1" applyBorder="1" applyAlignment="1" applyProtection="1"/>
    <xf numFmtId="0" fontId="144" fillId="0" borderId="111" xfId="2" applyFont="1" applyBorder="1" applyAlignment="1" applyProtection="1"/>
    <xf numFmtId="0" fontId="144" fillId="0" borderId="0" xfId="2" applyFont="1" applyBorder="1" applyAlignment="1" applyProtection="1"/>
    <xf numFmtId="0" fontId="144" fillId="0" borderId="0" xfId="2" applyFont="1" applyFill="1" applyBorder="1" applyAlignment="1" applyProtection="1"/>
    <xf numFmtId="14" fontId="144" fillId="0" borderId="0" xfId="2" applyNumberFormat="1" applyFont="1" applyFill="1" applyBorder="1" applyAlignment="1" applyProtection="1"/>
    <xf numFmtId="0" fontId="144" fillId="60" borderId="117" xfId="2" applyFont="1" applyFill="1" applyBorder="1" applyAlignment="1">
      <protection locked="0"/>
    </xf>
    <xf numFmtId="0" fontId="144" fillId="60" borderId="139" xfId="2" applyFont="1" applyFill="1" applyBorder="1" applyAlignment="1">
      <protection locked="0"/>
    </xf>
    <xf numFmtId="166" fontId="144" fillId="60" borderId="141" xfId="2" applyNumberFormat="1" applyFont="1" applyFill="1" applyBorder="1" applyAlignment="1" applyProtection="1"/>
    <xf numFmtId="0" fontId="154" fillId="0" borderId="0" xfId="0" applyFont="1" applyFill="1" applyBorder="1" applyAlignment="1" applyProtection="1">
      <alignment horizontal="center" vertical="center" wrapText="1"/>
      <protection hidden="1"/>
    </xf>
    <xf numFmtId="0" fontId="144" fillId="60" borderId="142" xfId="2" applyFont="1" applyFill="1" applyBorder="1" applyAlignment="1">
      <protection locked="0"/>
    </xf>
    <xf numFmtId="166" fontId="144" fillId="60" borderId="143" xfId="2" applyNumberFormat="1" applyFont="1" applyFill="1" applyBorder="1" applyAlignment="1" applyProtection="1"/>
    <xf numFmtId="166" fontId="144" fillId="0" borderId="128" xfId="2" applyNumberFormat="1" applyFont="1" applyBorder="1" applyAlignment="1" applyProtection="1"/>
    <xf numFmtId="0" fontId="144" fillId="60" borderId="144" xfId="2" applyFont="1" applyFill="1" applyBorder="1" applyAlignment="1">
      <protection locked="0"/>
    </xf>
    <xf numFmtId="166" fontId="144" fillId="60" borderId="146" xfId="2" applyNumberFormat="1" applyFont="1" applyFill="1" applyBorder="1" applyAlignment="1" applyProtection="1"/>
    <xf numFmtId="0" fontId="154" fillId="0" borderId="0" xfId="0" applyFont="1" applyFill="1" applyBorder="1" applyAlignment="1">
      <alignment horizontal="center"/>
    </xf>
    <xf numFmtId="0" fontId="144" fillId="60" borderId="128" xfId="2" applyFont="1" applyFill="1" applyBorder="1" applyAlignment="1">
      <protection locked="0"/>
    </xf>
    <xf numFmtId="0" fontId="144" fillId="60" borderId="0" xfId="2" applyFont="1" applyFill="1" applyAlignment="1" applyProtection="1"/>
    <xf numFmtId="0" fontId="144" fillId="66" borderId="0" xfId="2" applyFont="1" applyFill="1" applyAlignment="1" applyProtection="1">
      <alignment horizontal="left"/>
    </xf>
    <xf numFmtId="166" fontId="144" fillId="0" borderId="94" xfId="2" applyNumberFormat="1" applyFont="1" applyBorder="1" applyAlignment="1" applyProtection="1"/>
    <xf numFmtId="0" fontId="144" fillId="60" borderId="109" xfId="2" applyFont="1" applyFill="1" applyBorder="1" applyAlignment="1">
      <protection locked="0"/>
    </xf>
    <xf numFmtId="14" fontId="144" fillId="0" borderId="94" xfId="2" applyNumberFormat="1" applyFont="1" applyBorder="1" applyAlignment="1" applyProtection="1"/>
    <xf numFmtId="0" fontId="155" fillId="0" borderId="0" xfId="0" applyFont="1" applyAlignment="1">
      <alignment horizontal="center" vertical="center"/>
    </xf>
    <xf numFmtId="166" fontId="148" fillId="0" borderId="0" xfId="2" applyNumberFormat="1" applyFont="1" applyAlignment="1" applyProtection="1"/>
    <xf numFmtId="0" fontId="144" fillId="43" borderId="0" xfId="2" applyFont="1" applyFill="1" applyAlignment="1" applyProtection="1"/>
    <xf numFmtId="0" fontId="155" fillId="57" borderId="0" xfId="0" applyFont="1" applyFill="1" applyAlignment="1">
      <alignment horizontal="center" vertical="center"/>
    </xf>
    <xf numFmtId="1" fontId="144" fillId="0" borderId="109" xfId="2" applyNumberFormat="1" applyFont="1" applyBorder="1" applyAlignment="1" applyProtection="1"/>
    <xf numFmtId="1" fontId="144" fillId="0" borderId="94" xfId="2" applyNumberFormat="1" applyFont="1" applyBorder="1" applyAlignment="1" applyProtection="1"/>
    <xf numFmtId="0" fontId="144" fillId="0" borderId="94" xfId="2" applyFont="1" applyBorder="1" applyAlignment="1" applyProtection="1">
      <alignment horizontal="right" vertical="center"/>
    </xf>
    <xf numFmtId="1" fontId="144" fillId="0" borderId="111" xfId="2" applyNumberFormat="1" applyFont="1" applyBorder="1" applyAlignment="1" applyProtection="1"/>
    <xf numFmtId="1" fontId="144" fillId="0" borderId="0" xfId="2" applyNumberFormat="1" applyFont="1" applyBorder="1" applyAlignment="1" applyProtection="1"/>
    <xf numFmtId="0" fontId="146" fillId="0" borderId="0" xfId="2" applyFont="1" applyAlignment="1" applyProtection="1"/>
    <xf numFmtId="169" fontId="149" fillId="0" borderId="94" xfId="2" applyNumberFormat="1" applyFont="1" applyBorder="1" applyAlignment="1" applyProtection="1"/>
    <xf numFmtId="169" fontId="144" fillId="0" borderId="94" xfId="2" applyNumberFormat="1" applyFont="1" applyBorder="1" applyAlignment="1" applyProtection="1"/>
    <xf numFmtId="169" fontId="144" fillId="0" borderId="110" xfId="2" applyNumberFormat="1" applyFont="1" applyBorder="1" applyAlignment="1" applyProtection="1"/>
    <xf numFmtId="9" fontId="144" fillId="0" borderId="15" xfId="2" applyNumberFormat="1" applyFont="1" applyBorder="1" applyAlignment="1" applyProtection="1">
      <alignment horizontal="right"/>
    </xf>
    <xf numFmtId="169" fontId="144" fillId="0" borderId="0" xfId="2" applyNumberFormat="1" applyFont="1" applyBorder="1" applyAlignment="1" applyProtection="1"/>
    <xf numFmtId="0" fontId="144" fillId="0" borderId="0" xfId="2" applyFont="1" applyAlignment="1" applyProtection="1">
      <alignment horizontal="center"/>
    </xf>
    <xf numFmtId="0" fontId="144" fillId="0" borderId="0" xfId="2" applyNumberFormat="1" applyFont="1" applyBorder="1" applyAlignment="1" applyProtection="1"/>
    <xf numFmtId="165" fontId="144" fillId="67" borderId="15" xfId="2" applyNumberFormat="1" applyFont="1" applyFill="1" applyBorder="1" applyAlignment="1" applyProtection="1"/>
    <xf numFmtId="0" fontId="144" fillId="0" borderId="154" xfId="2" applyFont="1" applyBorder="1" applyAlignment="1" applyProtection="1"/>
    <xf numFmtId="0" fontId="144" fillId="0" borderId="109" xfId="2" applyFont="1" applyBorder="1" applyAlignment="1" applyProtection="1">
      <alignment horizontal="center"/>
    </xf>
    <xf numFmtId="0" fontId="144" fillId="0" borderId="109" xfId="2" applyFont="1" applyBorder="1" applyAlignment="1" applyProtection="1">
      <alignment horizontal="right"/>
    </xf>
    <xf numFmtId="0" fontId="144" fillId="0" borderId="15" xfId="2" applyNumberFormat="1" applyFont="1" applyBorder="1" applyAlignment="1" applyProtection="1"/>
    <xf numFmtId="0" fontId="144" fillId="0" borderId="155" xfId="2" applyFont="1" applyBorder="1" applyAlignment="1" applyProtection="1"/>
    <xf numFmtId="0" fontId="144" fillId="60" borderId="111" xfId="2" applyNumberFormat="1" applyFont="1" applyFill="1" applyBorder="1" applyAlignment="1">
      <protection locked="0"/>
    </xf>
    <xf numFmtId="165" fontId="144" fillId="0" borderId="156" xfId="2" applyNumberFormat="1" applyFont="1" applyBorder="1" applyAlignment="1" applyProtection="1"/>
    <xf numFmtId="0" fontId="144" fillId="0" borderId="71" xfId="2" applyFont="1" applyBorder="1" applyAlignment="1" applyProtection="1"/>
    <xf numFmtId="0" fontId="144" fillId="0" borderId="149" xfId="2" applyFont="1" applyFill="1" applyBorder="1" applyAlignment="1">
      <protection locked="0"/>
    </xf>
    <xf numFmtId="0" fontId="144" fillId="0" borderId="155" xfId="2" applyFont="1" applyFill="1" applyBorder="1" applyAlignment="1" applyProtection="1">
      <protection locked="0" hidden="1"/>
    </xf>
    <xf numFmtId="0" fontId="144" fillId="0" borderId="111" xfId="2" applyFont="1" applyBorder="1" applyAlignment="1" applyProtection="1">
      <alignment horizontal="right" vertical="center"/>
    </xf>
    <xf numFmtId="165" fontId="144" fillId="0" borderId="58" xfId="2" applyNumberFormat="1" applyFont="1" applyBorder="1" applyAlignment="1" applyProtection="1"/>
    <xf numFmtId="0" fontId="144" fillId="43" borderId="0" xfId="2" applyFont="1" applyFill="1" applyBorder="1" applyAlignment="1" applyProtection="1"/>
    <xf numFmtId="0" fontId="144" fillId="57" borderId="0" xfId="2" applyFont="1" applyFill="1" applyBorder="1" applyAlignment="1" applyProtection="1"/>
    <xf numFmtId="0" fontId="144" fillId="57" borderId="155" xfId="2" applyFont="1" applyFill="1" applyBorder="1" applyAlignment="1">
      <protection locked="0"/>
    </xf>
    <xf numFmtId="0" fontId="144" fillId="0" borderId="58" xfId="2" applyFont="1" applyBorder="1" applyAlignment="1" applyProtection="1"/>
    <xf numFmtId="165" fontId="144" fillId="0" borderId="155" xfId="2" applyNumberFormat="1" applyFont="1" applyFill="1" applyBorder="1" applyAlignment="1">
      <protection locked="0"/>
    </xf>
    <xf numFmtId="17" fontId="144" fillId="0" borderId="118" xfId="2" applyNumberFormat="1" applyFont="1" applyBorder="1" applyAlignment="1" applyProtection="1"/>
    <xf numFmtId="167" fontId="156" fillId="0" borderId="0" xfId="5" applyNumberFormat="1" applyAlignment="1" applyProtection="1"/>
    <xf numFmtId="165" fontId="148" fillId="0" borderId="0" xfId="2" applyNumberFormat="1" applyFont="1" applyBorder="1" applyAlignment="1" applyProtection="1"/>
    <xf numFmtId="0" fontId="144" fillId="60" borderId="94" xfId="2" applyFont="1" applyFill="1" applyBorder="1" applyAlignment="1">
      <protection locked="0"/>
    </xf>
    <xf numFmtId="0" fontId="146" fillId="43" borderId="0" xfId="2" applyFont="1" applyFill="1" applyBorder="1" applyAlignment="1" applyProtection="1"/>
    <xf numFmtId="165" fontId="148" fillId="0" borderId="151" xfId="2" applyNumberFormat="1" applyFont="1" applyBorder="1" applyAlignment="1" applyProtection="1"/>
    <xf numFmtId="0" fontId="144" fillId="0" borderId="157" xfId="2" applyFont="1" applyBorder="1" applyAlignment="1" applyProtection="1"/>
    <xf numFmtId="0" fontId="144" fillId="0" borderId="59" xfId="2" applyFont="1" applyBorder="1" applyAlignment="1" applyProtection="1"/>
    <xf numFmtId="0" fontId="146" fillId="0" borderId="0" xfId="2" applyFont="1" applyBorder="1" applyAlignment="1" applyProtection="1"/>
    <xf numFmtId="166" fontId="144" fillId="0" borderId="0" xfId="2" applyNumberFormat="1" applyFont="1" applyAlignment="1" applyProtection="1">
      <alignment horizontal="center"/>
    </xf>
    <xf numFmtId="0" fontId="144" fillId="0" borderId="158" xfId="2" applyFont="1" applyBorder="1" applyAlignment="1" applyProtection="1"/>
    <xf numFmtId="0" fontId="144" fillId="0" borderId="70" xfId="2" applyFont="1" applyBorder="1" applyAlignment="1" applyProtection="1"/>
    <xf numFmtId="0" fontId="144" fillId="0" borderId="75" xfId="2" applyFont="1" applyBorder="1" applyAlignment="1" applyProtection="1"/>
    <xf numFmtId="0" fontId="144" fillId="0" borderId="0" xfId="2" applyFont="1" applyFill="1" applyBorder="1" applyAlignment="1" applyProtection="1">
      <alignment horizontal="center"/>
    </xf>
    <xf numFmtId="0" fontId="144" fillId="0" borderId="159" xfId="2" applyFont="1" applyBorder="1" applyAlignment="1" applyProtection="1"/>
    <xf numFmtId="0" fontId="144" fillId="0" borderId="116" xfId="2" applyFont="1" applyBorder="1" applyAlignment="1" applyProtection="1">
      <alignment horizontal="right" vertical="center"/>
    </xf>
    <xf numFmtId="166" fontId="144" fillId="0" borderId="112" xfId="2" applyNumberFormat="1" applyFont="1" applyBorder="1" applyAlignment="1" applyProtection="1"/>
    <xf numFmtId="0" fontId="144" fillId="43" borderId="0" xfId="2" applyFont="1" applyFill="1" applyBorder="1" applyAlignment="1" applyProtection="1">
      <protection locked="0" hidden="1"/>
    </xf>
    <xf numFmtId="0" fontId="144" fillId="0" borderId="0" xfId="2" applyFont="1" applyFill="1" applyBorder="1" applyAlignment="1" applyProtection="1"/>
    <xf numFmtId="170" fontId="144" fillId="0" borderId="0" xfId="2" applyNumberFormat="1" applyFont="1" applyAlignment="1" applyProtection="1"/>
    <xf numFmtId="0" fontId="157" fillId="27" borderId="15" xfId="2" applyFont="1" applyFill="1" applyBorder="1" applyAlignment="1" applyProtection="1"/>
    <xf numFmtId="0" fontId="157" fillId="27" borderId="0" xfId="2" applyFont="1" applyFill="1" applyAlignment="1" applyProtection="1"/>
    <xf numFmtId="0" fontId="144" fillId="0" borderId="118" xfId="2" applyNumberFormat="1" applyFont="1" applyBorder="1" applyAlignment="1" applyProtection="1"/>
    <xf numFmtId="0" fontId="144" fillId="0" borderId="0" xfId="2" applyFont="1" applyBorder="1" applyAlignment="1" applyProtection="1">
      <alignment horizontal="right"/>
    </xf>
    <xf numFmtId="0" fontId="146" fillId="0" borderId="0" xfId="2" applyFont="1" applyFill="1" applyBorder="1" applyAlignment="1" applyProtection="1"/>
    <xf numFmtId="0" fontId="144" fillId="0" borderId="15" xfId="2" applyFont="1" applyFill="1" applyBorder="1" applyAlignment="1" applyProtection="1"/>
    <xf numFmtId="166" fontId="144" fillId="0" borderId="0" xfId="2" applyNumberFormat="1" applyFont="1" applyFill="1" applyAlignment="1" applyProtection="1"/>
    <xf numFmtId="0" fontId="144" fillId="0" borderId="0" xfId="2" applyFont="1" applyBorder="1" applyAlignment="1" applyProtection="1">
      <alignment wrapText="1"/>
    </xf>
    <xf numFmtId="0" fontId="144" fillId="0" borderId="160" xfId="2" applyFont="1" applyBorder="1" applyAlignment="1" applyProtection="1"/>
    <xf numFmtId="0" fontId="144" fillId="0" borderId="161" xfId="2" applyFont="1" applyBorder="1" applyAlignment="1" applyProtection="1"/>
    <xf numFmtId="0" fontId="144" fillId="0" borderId="162" xfId="2" applyFont="1" applyBorder="1" applyAlignment="1" applyProtection="1"/>
    <xf numFmtId="0" fontId="144" fillId="0" borderId="163" xfId="2" applyFont="1" applyBorder="1" applyAlignment="1" applyProtection="1"/>
    <xf numFmtId="0" fontId="144" fillId="0" borderId="164" xfId="2" applyFont="1" applyBorder="1" applyAlignment="1" applyProtection="1"/>
    <xf numFmtId="166" fontId="144" fillId="0" borderId="0" xfId="2" applyNumberFormat="1" applyFont="1" applyBorder="1" applyAlignment="1" applyProtection="1"/>
    <xf numFmtId="166" fontId="144" fillId="0" borderId="0" xfId="2" applyNumberFormat="1" applyFont="1" applyBorder="1" applyAlignment="1" applyProtection="1">
      <alignment horizontal="center"/>
    </xf>
    <xf numFmtId="0" fontId="144" fillId="60" borderId="140" xfId="2" applyFont="1" applyFill="1" applyBorder="1" applyAlignment="1">
      <protection locked="0"/>
    </xf>
    <xf numFmtId="0" fontId="144" fillId="60" borderId="0" xfId="2" applyNumberFormat="1" applyFont="1" applyFill="1" applyBorder="1" applyAlignment="1" applyProtection="1"/>
    <xf numFmtId="0" fontId="144" fillId="60" borderId="143" xfId="2" applyNumberFormat="1" applyFont="1" applyFill="1" applyBorder="1" applyAlignment="1" applyProtection="1"/>
    <xf numFmtId="0" fontId="144" fillId="0" borderId="142" xfId="2" applyFont="1" applyFill="1" applyBorder="1" applyAlignment="1" applyProtection="1"/>
    <xf numFmtId="166" fontId="144" fillId="0" borderId="0" xfId="2" applyNumberFormat="1" applyFont="1" applyFill="1" applyBorder="1" applyAlignment="1" applyProtection="1">
      <alignment horizontal="center"/>
    </xf>
    <xf numFmtId="166" fontId="144" fillId="0" borderId="143" xfId="2" applyNumberFormat="1" applyFont="1" applyBorder="1" applyAlignment="1" applyProtection="1"/>
    <xf numFmtId="0" fontId="144" fillId="0" borderId="0" xfId="2" applyFont="1" applyFill="1" applyAlignment="1">
      <protection locked="0"/>
    </xf>
    <xf numFmtId="0" fontId="144" fillId="0" borderId="165" xfId="2" applyFont="1" applyBorder="1" applyAlignment="1" applyProtection="1"/>
    <xf numFmtId="0" fontId="144" fillId="0" borderId="166" xfId="2" applyFont="1" applyBorder="1" applyAlignment="1" applyProtection="1"/>
    <xf numFmtId="0" fontId="144" fillId="0" borderId="167" xfId="2" applyFont="1" applyBorder="1" applyAlignment="1" applyProtection="1"/>
    <xf numFmtId="0" fontId="144" fillId="0" borderId="144" xfId="2" applyFont="1" applyFill="1" applyBorder="1" applyAlignment="1" applyProtection="1"/>
    <xf numFmtId="166" fontId="144" fillId="0" borderId="118" xfId="2" applyNumberFormat="1" applyFont="1" applyFill="1" applyBorder="1" applyAlignment="1" applyProtection="1">
      <alignment horizontal="center"/>
    </xf>
    <xf numFmtId="166" fontId="144" fillId="0" borderId="0" xfId="2" applyNumberFormat="1" applyFont="1" applyFill="1" applyAlignment="1" applyProtection="1">
      <alignment horizontal="right"/>
    </xf>
    <xf numFmtId="0" fontId="144" fillId="0" borderId="0" xfId="2" applyFont="1" applyFill="1" applyAlignment="1" applyProtection="1">
      <alignment horizontal="center"/>
    </xf>
    <xf numFmtId="0" fontId="144" fillId="0" borderId="168" xfId="2" applyFont="1" applyFill="1" applyBorder="1" applyAlignment="1" applyProtection="1"/>
    <xf numFmtId="0" fontId="144" fillId="0" borderId="169" xfId="2" applyFont="1" applyFill="1" applyBorder="1" applyAlignment="1" applyProtection="1"/>
    <xf numFmtId="0" fontId="144" fillId="0" borderId="169" xfId="2" applyFont="1" applyBorder="1" applyAlignment="1" applyProtection="1"/>
    <xf numFmtId="0" fontId="144" fillId="0" borderId="170" xfId="2" applyFont="1" applyBorder="1" applyAlignment="1" applyProtection="1">
      <alignment horizontal="right"/>
    </xf>
    <xf numFmtId="167" fontId="144" fillId="0" borderId="0" xfId="2" applyNumberFormat="1" applyFont="1" applyFill="1" applyAlignment="1" applyProtection="1"/>
    <xf numFmtId="0" fontId="158" fillId="0" borderId="0" xfId="2" applyAlignment="1" applyProtection="1"/>
    <xf numFmtId="0" fontId="159" fillId="0" borderId="0" xfId="2" applyFont="1" applyAlignment="1" applyProtection="1"/>
    <xf numFmtId="0" fontId="160" fillId="0" borderId="0" xfId="2" applyFont="1" applyAlignment="1" applyProtection="1"/>
    <xf numFmtId="0" fontId="161" fillId="0" borderId="0" xfId="2" applyFont="1" applyAlignment="1" applyProtection="1"/>
    <xf numFmtId="0" fontId="158" fillId="18" borderId="0" xfId="2" applyFill="1" applyAlignment="1" applyProtection="1"/>
    <xf numFmtId="0" fontId="159" fillId="18" borderId="0" xfId="2" applyFont="1" applyFill="1" applyAlignment="1" applyProtection="1"/>
    <xf numFmtId="0" fontId="160" fillId="18" borderId="0" xfId="2" applyFont="1" applyFill="1" applyAlignment="1" applyProtection="1"/>
    <xf numFmtId="0" fontId="161" fillId="18" borderId="0" xfId="2" applyFont="1" applyFill="1" applyAlignment="1" applyProtection="1"/>
    <xf numFmtId="0" fontId="158" fillId="18" borderId="0" xfId="2" applyFill="1" applyAlignment="1" applyProtection="1">
      <protection locked="0" hidden="1"/>
    </xf>
    <xf numFmtId="0" fontId="162" fillId="18" borderId="0" xfId="2" applyFont="1" applyFill="1" applyAlignment="1" applyProtection="1">
      <alignment horizontal="center" vertical="center"/>
      <protection hidden="1"/>
    </xf>
    <xf numFmtId="0" fontId="162" fillId="18" borderId="0" xfId="2" applyFont="1" applyFill="1" applyBorder="1" applyAlignment="1" applyProtection="1">
      <alignment horizontal="center" vertical="center"/>
      <protection hidden="1"/>
    </xf>
    <xf numFmtId="0" fontId="136" fillId="18" borderId="0" xfId="2" applyFont="1" applyFill="1" applyAlignment="1" applyProtection="1">
      <alignment vertical="center"/>
    </xf>
    <xf numFmtId="0" fontId="164" fillId="18" borderId="0" xfId="2" applyFont="1" applyFill="1" applyAlignment="1" applyProtection="1"/>
    <xf numFmtId="0" fontId="164" fillId="18" borderId="0" xfId="2" applyFont="1" applyFill="1" applyAlignment="1" applyProtection="1">
      <alignment vertical="center"/>
    </xf>
    <xf numFmtId="0" fontId="165" fillId="18" borderId="0" xfId="2" applyFont="1" applyFill="1" applyAlignment="1" applyProtection="1">
      <alignment horizontal="center" vertical="center"/>
      <protection locked="0" hidden="1"/>
    </xf>
    <xf numFmtId="0" fontId="167" fillId="18" borderId="0" xfId="2" applyFont="1" applyFill="1" applyBorder="1" applyAlignment="1" applyProtection="1">
      <alignment horizontal="center" vertical="center"/>
      <protection locked="0" hidden="1"/>
    </xf>
    <xf numFmtId="0" fontId="168" fillId="18" borderId="0" xfId="2" applyFont="1" applyFill="1" applyAlignment="1" applyProtection="1"/>
    <xf numFmtId="0" fontId="158" fillId="18" borderId="0" xfId="2" applyFill="1" applyAlignment="1" applyProtection="1"/>
    <xf numFmtId="0" fontId="160" fillId="18" borderId="0" xfId="2" applyFont="1" applyFill="1" applyAlignment="1" applyProtection="1"/>
    <xf numFmtId="0" fontId="161" fillId="18" borderId="0" xfId="2" applyFont="1" applyFill="1" applyAlignment="1" applyProtection="1"/>
    <xf numFmtId="0" fontId="169" fillId="0" borderId="0" xfId="2" applyFont="1" applyAlignment="1" applyProtection="1"/>
    <xf numFmtId="0" fontId="169" fillId="18" borderId="0" xfId="2" applyFont="1" applyFill="1" applyAlignment="1" applyProtection="1"/>
    <xf numFmtId="0" fontId="36" fillId="58" borderId="18" xfId="2" applyFont="1" applyFill="1" applyBorder="1" applyAlignment="1" applyProtection="1">
      <alignment horizontal="center" vertical="center" wrapText="1"/>
      <protection locked="0" hidden="1"/>
    </xf>
    <xf numFmtId="0" fontId="166" fillId="68" borderId="171" xfId="2" applyFont="1" applyFill="1" applyBorder="1" applyAlignment="1" applyProtection="1">
      <alignment horizontal="center" vertical="center" wrapText="1"/>
      <protection locked="0" hidden="1"/>
    </xf>
    <xf numFmtId="0" fontId="170" fillId="68" borderId="172" xfId="2" applyFont="1" applyFill="1" applyBorder="1" applyAlignment="1" applyProtection="1">
      <alignment horizontal="center" vertical="center" wrapText="1"/>
      <protection locked="0" hidden="1"/>
    </xf>
    <xf numFmtId="0" fontId="36" fillId="68" borderId="172" xfId="2" applyFont="1" applyFill="1" applyBorder="1" applyAlignment="1" applyProtection="1">
      <alignment horizontal="center" vertical="center" wrapText="1"/>
      <protection locked="0" hidden="1"/>
    </xf>
    <xf numFmtId="0" fontId="171" fillId="68" borderId="172" xfId="2" applyFont="1" applyFill="1" applyBorder="1" applyAlignment="1" applyProtection="1">
      <alignment horizontal="center" vertical="center" wrapText="1"/>
      <protection locked="0" hidden="1"/>
    </xf>
    <xf numFmtId="0" fontId="126" fillId="68" borderId="172" xfId="2" applyFont="1" applyFill="1" applyBorder="1" applyAlignment="1" applyProtection="1">
      <alignment horizontal="center" vertical="center" wrapText="1"/>
      <protection locked="0" hidden="1"/>
    </xf>
    <xf numFmtId="0" fontId="172" fillId="68" borderId="172" xfId="2" applyFont="1" applyFill="1" applyBorder="1" applyAlignment="1" applyProtection="1">
      <alignment horizontal="center" vertical="center" wrapText="1"/>
      <protection locked="0" hidden="1"/>
    </xf>
    <xf numFmtId="0" fontId="139" fillId="68" borderId="172" xfId="2" applyFont="1" applyFill="1" applyBorder="1" applyAlignment="1" applyProtection="1">
      <alignment horizontal="center" vertical="center" wrapText="1"/>
      <protection locked="0" hidden="1"/>
    </xf>
    <xf numFmtId="0" fontId="166" fillId="68" borderId="173" xfId="2" applyFont="1" applyFill="1" applyBorder="1" applyAlignment="1" applyProtection="1">
      <alignment horizontal="center" vertical="center" wrapText="1"/>
      <protection locked="0" hidden="1"/>
    </xf>
    <xf numFmtId="0" fontId="117" fillId="21" borderId="0" xfId="2" applyFont="1" applyFill="1" applyBorder="1" applyAlignment="1" applyProtection="1">
      <alignment horizontal="center" vertical="center" wrapText="1"/>
      <protection locked="0" hidden="1"/>
    </xf>
    <xf numFmtId="0" fontId="169" fillId="18" borderId="0" xfId="2" applyFont="1" applyFill="1" applyAlignment="1">
      <protection locked="0"/>
    </xf>
    <xf numFmtId="0" fontId="169" fillId="18" borderId="0" xfId="2" applyFont="1" applyFill="1" applyAlignment="1" applyProtection="1"/>
    <xf numFmtId="0" fontId="173" fillId="18" borderId="0" xfId="2" applyFont="1" applyFill="1" applyAlignment="1" applyProtection="1"/>
    <xf numFmtId="0" fontId="174" fillId="18" borderId="0" xfId="2" applyFont="1" applyFill="1" applyAlignment="1" applyProtection="1"/>
    <xf numFmtId="0" fontId="169" fillId="0" borderId="18" xfId="2" applyFont="1" applyBorder="1" applyAlignment="1" applyProtection="1">
      <alignment horizontal="center" vertical="center"/>
      <protection hidden="1"/>
    </xf>
    <xf numFmtId="166" fontId="126" fillId="0" borderId="174" xfId="2" applyNumberFormat="1" applyFont="1" applyBorder="1" applyAlignment="1" applyProtection="1">
      <alignment horizontal="center" vertical="center"/>
      <protection locked="0" hidden="1"/>
    </xf>
    <xf numFmtId="0" fontId="169" fillId="0" borderId="120" xfId="2" applyFont="1" applyBorder="1" applyAlignment="1" applyProtection="1">
      <alignment horizontal="center" vertical="center"/>
      <protection locked="0" hidden="1"/>
    </xf>
    <xf numFmtId="0" fontId="126" fillId="0" borderId="120" xfId="2" applyFont="1" applyBorder="1" applyAlignment="1" applyProtection="1">
      <alignment horizontal="center" vertical="center"/>
      <protection locked="0" hidden="1"/>
    </xf>
    <xf numFmtId="0" fontId="126" fillId="0" borderId="175" xfId="2" applyFont="1" applyBorder="1" applyAlignment="1" applyProtection="1">
      <alignment horizontal="center" vertical="center"/>
      <protection locked="0" hidden="1"/>
    </xf>
    <xf numFmtId="167" fontId="128" fillId="21" borderId="70" xfId="2" applyNumberFormat="1" applyFont="1" applyFill="1" applyBorder="1" applyAlignment="1" applyProtection="1">
      <alignment horizontal="center" vertical="center"/>
      <protection locked="0" hidden="1"/>
    </xf>
    <xf numFmtId="0" fontId="160" fillId="18" borderId="0" xfId="2" applyFont="1" applyFill="1" applyAlignment="1" applyProtection="1">
      <protection locked="0" hidden="1"/>
    </xf>
    <xf numFmtId="0" fontId="175" fillId="18" borderId="0" xfId="2" applyFont="1" applyFill="1" applyAlignment="1" applyProtection="1"/>
    <xf numFmtId="0" fontId="175" fillId="18" borderId="0" xfId="2" applyFont="1" applyFill="1" applyAlignment="1" applyProtection="1"/>
    <xf numFmtId="0" fontId="169" fillId="0" borderId="35" xfId="2" applyFont="1" applyBorder="1" applyAlignment="1" applyProtection="1">
      <alignment horizontal="center" vertical="center"/>
      <protection locked="0" hidden="1"/>
    </xf>
    <xf numFmtId="0" fontId="126" fillId="0" borderId="176" xfId="2" applyFont="1" applyBorder="1" applyAlignment="1" applyProtection="1">
      <alignment horizontal="center" vertical="center"/>
      <protection locked="0" hidden="1"/>
    </xf>
    <xf numFmtId="167" fontId="128" fillId="21" borderId="43" xfId="2" applyNumberFormat="1" applyFont="1" applyFill="1" applyBorder="1" applyAlignment="1" applyProtection="1">
      <alignment horizontal="center" vertical="center"/>
      <protection locked="0" hidden="1"/>
    </xf>
    <xf numFmtId="0" fontId="175" fillId="18" borderId="0" xfId="2" applyFont="1" applyFill="1" applyAlignment="1">
      <protection locked="0"/>
    </xf>
    <xf numFmtId="0" fontId="158" fillId="18" borderId="0" xfId="2" applyFill="1" applyAlignment="1" applyProtection="1">
      <protection locked="0" hidden="1"/>
    </xf>
    <xf numFmtId="0" fontId="176" fillId="18" borderId="0" xfId="2" applyFont="1" applyFill="1" applyAlignment="1" applyProtection="1"/>
    <xf numFmtId="0" fontId="177" fillId="18" borderId="0" xfId="2" applyFont="1" applyFill="1" applyAlignment="1" applyProtection="1">
      <protection locked="0" hidden="1"/>
    </xf>
    <xf numFmtId="1" fontId="178" fillId="18" borderId="0" xfId="0" applyNumberFormat="1" applyFont="1" applyFill="1" applyAlignment="1"/>
    <xf numFmtId="0" fontId="161" fillId="18" borderId="0" xfId="2" applyNumberFormat="1" applyFont="1" applyFill="1" applyAlignment="1" applyProtection="1"/>
    <xf numFmtId="0" fontId="177" fillId="18" borderId="0" xfId="2" applyFont="1" applyFill="1" applyAlignment="1" applyProtection="1"/>
    <xf numFmtId="0" fontId="177" fillId="18" borderId="0" xfId="2" applyFont="1" applyFill="1" applyAlignment="1" applyProtection="1"/>
    <xf numFmtId="1" fontId="161" fillId="18" borderId="0" xfId="2" applyNumberFormat="1" applyFont="1" applyFill="1" applyAlignment="1" applyProtection="1"/>
    <xf numFmtId="1" fontId="161" fillId="18" borderId="0" xfId="2" applyNumberFormat="1" applyFont="1" applyFill="1" applyAlignment="1" applyProtection="1"/>
    <xf numFmtId="0" fontId="160" fillId="18" borderId="0" xfId="2" applyFont="1" applyFill="1" applyAlignment="1" applyProtection="1">
      <alignment horizontal="center" vertical="center"/>
    </xf>
    <xf numFmtId="0" fontId="160" fillId="18" borderId="0" xfId="2" applyNumberFormat="1" applyFont="1" applyFill="1" applyAlignment="1" applyProtection="1"/>
    <xf numFmtId="0" fontId="179" fillId="18" borderId="0" xfId="0" applyFont="1" applyFill="1">
      <alignment vertical="center"/>
    </xf>
    <xf numFmtId="0" fontId="180" fillId="18" borderId="0" xfId="0" applyFont="1" applyFill="1">
      <alignment vertical="center"/>
    </xf>
    <xf numFmtId="0" fontId="181" fillId="18" borderId="0" xfId="0" applyFont="1" applyFill="1" applyAlignment="1"/>
    <xf numFmtId="0" fontId="182" fillId="18" borderId="0" xfId="0" applyFont="1" applyFill="1" applyAlignment="1"/>
    <xf numFmtId="167" fontId="128" fillId="21" borderId="71" xfId="2" applyNumberFormat="1" applyFont="1" applyFill="1" applyBorder="1" applyAlignment="1" applyProtection="1">
      <alignment horizontal="center" vertical="center"/>
      <protection locked="0" hidden="1"/>
    </xf>
    <xf numFmtId="0" fontId="183" fillId="18" borderId="0" xfId="0" applyFont="1" applyFill="1" applyAlignment="1"/>
    <xf numFmtId="0" fontId="171" fillId="0" borderId="177" xfId="2" applyFont="1" applyBorder="1" applyAlignment="1" applyProtection="1">
      <alignment horizontal="center" vertical="center" wrapText="1"/>
      <protection locked="0" hidden="1"/>
    </xf>
    <xf numFmtId="0" fontId="126" fillId="0" borderId="35" xfId="2" applyFont="1" applyBorder="1" applyAlignment="1" applyProtection="1">
      <alignment horizontal="center" vertical="center"/>
      <protection locked="0" hidden="1"/>
    </xf>
    <xf numFmtId="0" fontId="144" fillId="18" borderId="0" xfId="2" applyFont="1" applyFill="1" applyBorder="1" applyAlignment="1" applyProtection="1">
      <alignment horizontal="center" vertical="center"/>
      <protection locked="0" hidden="1"/>
    </xf>
    <xf numFmtId="0" fontId="184" fillId="18" borderId="0" xfId="2" applyFont="1" applyFill="1" applyBorder="1" applyAlignment="1" applyProtection="1">
      <alignment horizontal="center" vertical="center"/>
      <protection locked="0" hidden="1"/>
    </xf>
    <xf numFmtId="0" fontId="185" fillId="18" borderId="0" xfId="2" applyFont="1" applyFill="1" applyAlignment="1" applyProtection="1"/>
    <xf numFmtId="0" fontId="185" fillId="18" borderId="0" xfId="2" applyFont="1" applyFill="1" applyAlignment="1" applyProtection="1"/>
    <xf numFmtId="0" fontId="36" fillId="0" borderId="177" xfId="2" applyFont="1" applyBorder="1" applyAlignment="1" applyProtection="1">
      <alignment horizontal="center" vertical="center" wrapText="1"/>
      <protection locked="0" hidden="1"/>
    </xf>
    <xf numFmtId="0" fontId="186" fillId="0" borderId="177" xfId="2" applyFont="1" applyBorder="1" applyAlignment="1" applyProtection="1">
      <alignment horizontal="center" vertical="center" wrapText="1"/>
      <protection locked="0" hidden="1"/>
    </xf>
    <xf numFmtId="0" fontId="146" fillId="18" borderId="0" xfId="2" applyFont="1" applyFill="1" applyBorder="1" applyAlignment="1" applyProtection="1">
      <alignment horizontal="center" vertical="center"/>
      <protection locked="0" hidden="1"/>
    </xf>
    <xf numFmtId="0" fontId="187" fillId="58" borderId="18" xfId="2" applyFont="1" applyFill="1" applyBorder="1" applyAlignment="1" applyProtection="1">
      <alignment vertical="center"/>
      <protection locked="0" hidden="1"/>
    </xf>
    <xf numFmtId="0" fontId="166" fillId="68" borderId="178" xfId="2" applyFont="1" applyFill="1" applyBorder="1" applyAlignment="1" applyProtection="1">
      <alignment horizontal="center" vertical="center" wrapText="1"/>
      <protection locked="0" hidden="1"/>
    </xf>
    <xf numFmtId="0" fontId="126" fillId="68" borderId="179" xfId="2" applyFont="1" applyFill="1" applyBorder="1" applyAlignment="1" applyProtection="1">
      <alignment horizontal="center" vertical="center"/>
      <protection locked="0" hidden="1"/>
    </xf>
    <xf numFmtId="0" fontId="126" fillId="68" borderId="180" xfId="2" applyFont="1" applyFill="1" applyBorder="1" applyAlignment="1" applyProtection="1">
      <alignment horizontal="center" vertical="center"/>
      <protection locked="0" hidden="1"/>
    </xf>
    <xf numFmtId="0" fontId="169" fillId="0" borderId="0" xfId="2" applyFont="1" applyAlignment="1" applyProtection="1">
      <protection hidden="1"/>
    </xf>
    <xf numFmtId="0" fontId="169" fillId="0" borderId="160" xfId="2" applyFont="1" applyBorder="1" applyAlignment="1" applyProtection="1">
      <protection hidden="1"/>
    </xf>
    <xf numFmtId="0" fontId="169" fillId="0" borderId="161" xfId="2" applyFont="1" applyBorder="1" applyAlignment="1" applyProtection="1">
      <protection hidden="1"/>
    </xf>
    <xf numFmtId="0" fontId="36" fillId="0" borderId="161" xfId="2" applyFont="1" applyBorder="1" applyAlignment="1" applyProtection="1">
      <protection hidden="1"/>
    </xf>
    <xf numFmtId="0" fontId="169" fillId="0" borderId="162" xfId="2" applyFont="1" applyBorder="1" applyAlignment="1" applyProtection="1">
      <protection hidden="1"/>
    </xf>
    <xf numFmtId="0" fontId="144" fillId="18" borderId="0" xfId="2" applyFont="1" applyFill="1" applyAlignment="1" applyProtection="1">
      <protection hidden="1"/>
    </xf>
    <xf numFmtId="0" fontId="169" fillId="0" borderId="163" xfId="2" applyFont="1" applyBorder="1" applyAlignment="1" applyProtection="1">
      <protection hidden="1"/>
    </xf>
    <xf numFmtId="0" fontId="169" fillId="0" borderId="0" xfId="2" applyFont="1" applyBorder="1" applyAlignment="1" applyProtection="1">
      <protection hidden="1"/>
    </xf>
    <xf numFmtId="0" fontId="36" fillId="0" borderId="0" xfId="2" applyFont="1" applyBorder="1" applyAlignment="1" applyProtection="1">
      <protection hidden="1"/>
    </xf>
    <xf numFmtId="0" fontId="169" fillId="0" borderId="164" xfId="2" applyFont="1" applyBorder="1" applyAlignment="1" applyProtection="1">
      <protection hidden="1"/>
    </xf>
    <xf numFmtId="0" fontId="126" fillId="0" borderId="0" xfId="2" applyFont="1" applyBorder="1" applyAlignment="1" applyProtection="1">
      <alignment horizontal="center" vertical="center"/>
      <protection locked="0" hidden="1"/>
    </xf>
    <xf numFmtId="0" fontId="36" fillId="0" borderId="0" xfId="2" applyFont="1" applyBorder="1" applyAlignment="1" applyProtection="1">
      <protection locked="0" hidden="1"/>
    </xf>
    <xf numFmtId="0" fontId="126" fillId="0" borderId="0" xfId="2" applyFont="1" applyBorder="1" applyAlignment="1" applyProtection="1">
      <alignment vertical="center"/>
      <protection locked="0" hidden="1"/>
    </xf>
    <xf numFmtId="0" fontId="169" fillId="0" borderId="0" xfId="2" applyFont="1" applyBorder="1" applyAlignment="1" applyProtection="1">
      <protection locked="0" hidden="1"/>
    </xf>
    <xf numFmtId="0" fontId="169" fillId="0" borderId="0" xfId="2" applyFont="1" applyFill="1" applyAlignment="1" applyProtection="1">
      <protection hidden="1"/>
    </xf>
    <xf numFmtId="0" fontId="169" fillId="0" borderId="163" xfId="2" applyFont="1" applyFill="1" applyBorder="1" applyAlignment="1" applyProtection="1">
      <protection hidden="1"/>
    </xf>
    <xf numFmtId="0" fontId="169" fillId="0" borderId="0" xfId="2" applyFont="1" applyFill="1" applyBorder="1" applyAlignment="1" applyProtection="1">
      <protection hidden="1"/>
    </xf>
    <xf numFmtId="0" fontId="36" fillId="0" borderId="0" xfId="2" applyFont="1" applyFill="1" applyBorder="1" applyAlignment="1" applyProtection="1">
      <protection hidden="1"/>
    </xf>
    <xf numFmtId="0" fontId="169" fillId="0" borderId="164" xfId="2" applyFont="1" applyFill="1" applyBorder="1" applyAlignment="1" applyProtection="1">
      <protection hidden="1"/>
    </xf>
    <xf numFmtId="0" fontId="169" fillId="0" borderId="165" xfId="2" applyFont="1" applyFill="1" applyBorder="1" applyAlignment="1" applyProtection="1">
      <protection hidden="1"/>
    </xf>
    <xf numFmtId="0" fontId="169" fillId="0" borderId="166" xfId="2" applyFont="1" applyFill="1" applyBorder="1" applyAlignment="1" applyProtection="1">
      <protection hidden="1"/>
    </xf>
    <xf numFmtId="0" fontId="36" fillId="0" borderId="166" xfId="2" applyFont="1" applyFill="1" applyBorder="1" applyAlignment="1" applyProtection="1">
      <protection hidden="1"/>
    </xf>
    <xf numFmtId="0" fontId="169" fillId="0" borderId="167" xfId="2" applyFont="1" applyFill="1" applyBorder="1" applyAlignment="1" applyProtection="1">
      <protection hidden="1"/>
    </xf>
    <xf numFmtId="0" fontId="188" fillId="0" borderId="0" xfId="2" applyFont="1" applyAlignment="1" applyProtection="1">
      <alignment vertical="center"/>
    </xf>
    <xf numFmtId="0" fontId="188" fillId="18" borderId="0" xfId="2" applyFont="1" applyFill="1" applyAlignment="1" applyProtection="1">
      <alignment vertical="center"/>
    </xf>
    <xf numFmtId="0" fontId="45" fillId="18" borderId="0" xfId="2" applyFont="1" applyFill="1" applyBorder="1" applyAlignment="1" applyProtection="1">
      <alignment horizontal="left" vertical="center"/>
      <protection hidden="1"/>
    </xf>
    <xf numFmtId="0" fontId="189" fillId="18" borderId="0" xfId="2" applyFont="1" applyFill="1" applyAlignment="1" applyProtection="1">
      <alignment vertical="center"/>
    </xf>
    <xf numFmtId="0" fontId="190" fillId="18" borderId="0" xfId="2" applyFont="1" applyFill="1" applyAlignment="1" applyProtection="1">
      <alignment vertical="center"/>
    </xf>
    <xf numFmtId="0" fontId="191" fillId="18" borderId="0" xfId="2" applyFont="1" applyFill="1" applyAlignment="1" applyProtection="1">
      <alignment vertical="center"/>
    </xf>
    <xf numFmtId="0" fontId="148" fillId="18" borderId="0" xfId="2" applyFont="1" applyFill="1" applyAlignment="1" applyProtection="1"/>
    <xf numFmtId="0" fontId="158" fillId="0" borderId="0" xfId="2" applyAlignment="1" applyProtection="1">
      <alignment horizontal="right" vertical="center"/>
    </xf>
    <xf numFmtId="0" fontId="158" fillId="18" borderId="0" xfId="2" applyFill="1" applyAlignment="1" applyProtection="1">
      <alignment horizontal="right" vertical="center"/>
    </xf>
    <xf numFmtId="0" fontId="158" fillId="18" borderId="0" xfId="2" applyFill="1" applyAlignment="1" applyProtection="1">
      <protection hidden="1"/>
    </xf>
    <xf numFmtId="0" fontId="158" fillId="18" borderId="0" xfId="2" applyFill="1" applyAlignment="1" applyProtection="1">
      <alignment horizontal="right" vertical="center"/>
      <protection hidden="1"/>
    </xf>
    <xf numFmtId="0" fontId="158" fillId="0" borderId="0" xfId="2" applyFill="1" applyAlignment="1" applyProtection="1"/>
    <xf numFmtId="0" fontId="194" fillId="58" borderId="140" xfId="2" applyFont="1" applyFill="1" applyBorder="1" applyAlignment="1" applyProtection="1">
      <alignment vertical="center"/>
      <protection locked="0" hidden="1"/>
    </xf>
    <xf numFmtId="0" fontId="158" fillId="18" borderId="0" xfId="2" applyFill="1" applyAlignment="1" applyProtection="1">
      <alignment horizontal="center"/>
    </xf>
    <xf numFmtId="0" fontId="198" fillId="0" borderId="94" xfId="2" applyFont="1" applyBorder="1" applyAlignment="1" applyProtection="1">
      <alignment horizontal="right" vertical="center"/>
      <protection locked="0" hidden="1"/>
    </xf>
    <xf numFmtId="0" fontId="198" fillId="0" borderId="118" xfId="2" applyFont="1" applyBorder="1" applyAlignment="1" applyProtection="1">
      <alignment horizontal="right" vertical="center"/>
      <protection locked="0" hidden="1"/>
    </xf>
    <xf numFmtId="0" fontId="198" fillId="0" borderId="185" xfId="2" applyFont="1" applyBorder="1" applyAlignment="1" applyProtection="1">
      <alignment horizontal="center"/>
      <protection locked="0" hidden="1"/>
    </xf>
    <xf numFmtId="0" fontId="200" fillId="0" borderId="186" xfId="2" applyFont="1" applyBorder="1" applyAlignment="1" applyProtection="1">
      <alignment vertical="center"/>
      <protection locked="0" hidden="1"/>
    </xf>
    <xf numFmtId="0" fontId="195" fillId="0" borderId="189" xfId="2" applyFont="1" applyBorder="1" applyAlignment="1" applyProtection="1">
      <alignment horizontal="center" vertical="center"/>
      <protection locked="0" hidden="1"/>
    </xf>
    <xf numFmtId="0" fontId="198" fillId="0" borderId="142" xfId="2" applyFont="1" applyBorder="1" applyAlignment="1" applyProtection="1">
      <alignment horizontal="center"/>
      <protection locked="0" hidden="1"/>
    </xf>
    <xf numFmtId="169" fontId="200" fillId="0" borderId="143" xfId="2" applyNumberFormat="1" applyFont="1" applyBorder="1" applyAlignment="1" applyProtection="1">
      <alignment horizontal="right" vertical="center"/>
      <protection locked="0" hidden="1"/>
    </xf>
    <xf numFmtId="0" fontId="203" fillId="0" borderId="0" xfId="2" applyFont="1" applyAlignment="1" applyProtection="1"/>
    <xf numFmtId="0" fontId="203" fillId="18" borderId="0" xfId="2" applyFont="1" applyFill="1" applyAlignment="1" applyProtection="1"/>
    <xf numFmtId="0" fontId="204" fillId="0" borderId="142" xfId="2" applyFont="1" applyBorder="1" applyAlignment="1" applyProtection="1">
      <alignment horizontal="center"/>
      <protection locked="0" hidden="1"/>
    </xf>
    <xf numFmtId="0" fontId="205" fillId="0" borderId="0" xfId="2" applyFont="1" applyBorder="1" applyAlignment="1" applyProtection="1">
      <alignment horizontal="center"/>
      <protection locked="0" hidden="1"/>
    </xf>
    <xf numFmtId="0" fontId="201" fillId="0" borderId="194" xfId="2" applyFont="1" applyBorder="1" applyAlignment="1" applyProtection="1">
      <alignment horizontal="right" vertical="center"/>
      <protection locked="0" hidden="1"/>
    </xf>
    <xf numFmtId="169" fontId="201" fillId="0" borderId="195" xfId="2" applyNumberFormat="1" applyFont="1" applyBorder="1" applyAlignment="1" applyProtection="1">
      <alignment horizontal="center" vertical="center"/>
      <protection locked="0" hidden="1"/>
    </xf>
    <xf numFmtId="169" fontId="201" fillId="0" borderId="143" xfId="2" applyNumberFormat="1" applyFont="1" applyBorder="1" applyAlignment="1" applyProtection="1">
      <alignment horizontal="right" vertical="center"/>
      <protection locked="0" hidden="1"/>
    </xf>
    <xf numFmtId="0" fontId="206" fillId="18" borderId="0" xfId="2" applyFont="1" applyFill="1" applyAlignment="1" applyProtection="1"/>
    <xf numFmtId="0" fontId="205" fillId="0" borderId="0" xfId="2" applyFont="1" applyBorder="1" applyAlignment="1" applyProtection="1">
      <protection locked="0" hidden="1"/>
    </xf>
    <xf numFmtId="0" fontId="207" fillId="58" borderId="0" xfId="2" applyFont="1" applyFill="1" applyBorder="1" applyAlignment="1" applyProtection="1">
      <alignment horizontal="left"/>
      <protection locked="0" hidden="1"/>
    </xf>
    <xf numFmtId="171" fontId="178" fillId="18" borderId="0" xfId="2" applyNumberFormat="1" applyFont="1" applyFill="1" applyAlignment="1" applyProtection="1"/>
    <xf numFmtId="0" fontId="208" fillId="18" borderId="0" xfId="2" applyFont="1" applyFill="1" applyAlignment="1" applyProtection="1"/>
    <xf numFmtId="0" fontId="209" fillId="18" borderId="0" xfId="2" applyFont="1" applyFill="1" applyAlignment="1" applyProtection="1"/>
    <xf numFmtId="169" fontId="201" fillId="0" borderId="175" xfId="2" applyNumberFormat="1" applyFont="1" applyBorder="1" applyAlignment="1" applyProtection="1">
      <alignment horizontal="right" vertical="center"/>
      <protection locked="0" hidden="1"/>
    </xf>
    <xf numFmtId="0" fontId="178" fillId="18" borderId="0" xfId="2" applyFont="1" applyFill="1" applyAlignment="1" applyProtection="1"/>
    <xf numFmtId="0" fontId="210" fillId="18" borderId="0" xfId="2" applyFont="1" applyFill="1" applyAlignment="1" applyProtection="1"/>
    <xf numFmtId="0" fontId="211" fillId="0" borderId="0" xfId="2" applyFont="1" applyAlignment="1" applyProtection="1"/>
    <xf numFmtId="0" fontId="211" fillId="18" borderId="0" xfId="2" applyFont="1" applyFill="1" applyAlignment="1" applyProtection="1"/>
    <xf numFmtId="0" fontId="212" fillId="0" borderId="111" xfId="2" applyFont="1" applyBorder="1" applyAlignment="1" applyProtection="1">
      <alignment horizontal="left"/>
      <protection locked="0" hidden="1"/>
    </xf>
    <xf numFmtId="0" fontId="212" fillId="0" borderId="0" xfId="2" applyFont="1" applyBorder="1" applyAlignment="1" applyProtection="1">
      <alignment horizontal="left"/>
      <protection locked="0" hidden="1"/>
    </xf>
    <xf numFmtId="0" fontId="201" fillId="0" borderId="134" xfId="2" applyFont="1" applyBorder="1" applyAlignment="1" applyProtection="1">
      <alignment horizontal="right" vertical="center"/>
      <protection locked="0" hidden="1"/>
    </xf>
    <xf numFmtId="169" fontId="201" fillId="0" borderId="15" xfId="2" applyNumberFormat="1" applyFont="1" applyBorder="1" applyAlignment="1" applyProtection="1">
      <alignment horizontal="center" vertical="center"/>
      <protection locked="0" hidden="1"/>
    </xf>
    <xf numFmtId="169" fontId="201" fillId="0" borderId="196" xfId="2" applyNumberFormat="1" applyFont="1" applyBorder="1" applyAlignment="1" applyProtection="1">
      <alignment horizontal="right" vertical="center"/>
      <protection locked="0" hidden="1"/>
    </xf>
    <xf numFmtId="0" fontId="213" fillId="18" borderId="0" xfId="2" applyFont="1" applyFill="1" applyAlignment="1" applyProtection="1"/>
    <xf numFmtId="0" fontId="214" fillId="18" borderId="0" xfId="2" applyFont="1" applyFill="1" applyAlignment="1" applyProtection="1"/>
    <xf numFmtId="0" fontId="200" fillId="0" borderId="134" xfId="2" applyFont="1" applyBorder="1" applyAlignment="1" applyProtection="1">
      <alignment horizontal="right" vertical="center"/>
      <protection locked="0" hidden="1"/>
    </xf>
    <xf numFmtId="169" fontId="200" fillId="0" borderId="15" xfId="2" applyNumberFormat="1" applyFont="1" applyBorder="1" applyAlignment="1" applyProtection="1">
      <alignment horizontal="center" vertical="center"/>
      <protection locked="0" hidden="1"/>
    </xf>
    <xf numFmtId="0" fontId="210" fillId="18" borderId="0" xfId="2" quotePrefix="1" applyFont="1" applyFill="1" applyAlignment="1" applyProtection="1">
      <alignment horizontal="right"/>
    </xf>
    <xf numFmtId="0" fontId="215" fillId="18" borderId="0" xfId="2" applyFont="1" applyFill="1" applyAlignment="1" applyProtection="1"/>
    <xf numFmtId="0" fontId="216" fillId="0" borderId="0" xfId="2" applyFont="1" applyBorder="1" applyAlignment="1" applyProtection="1">
      <alignment horizontal="center"/>
      <protection locked="0" hidden="1"/>
    </xf>
    <xf numFmtId="0" fontId="200" fillId="0" borderId="194" xfId="2" applyFont="1" applyBorder="1" applyAlignment="1" applyProtection="1">
      <alignment horizontal="right" vertical="center"/>
      <protection locked="0" hidden="1"/>
    </xf>
    <xf numFmtId="169" fontId="200" fillId="0" borderId="195" xfId="2" applyNumberFormat="1" applyFont="1" applyBorder="1" applyAlignment="1" applyProtection="1">
      <alignment horizontal="center" vertical="center"/>
      <protection locked="0" hidden="1"/>
    </xf>
    <xf numFmtId="169" fontId="200" fillId="0" borderId="175" xfId="2" applyNumberFormat="1" applyFont="1" applyBorder="1" applyAlignment="1" applyProtection="1">
      <alignment horizontal="right" vertical="center"/>
      <protection locked="0" hidden="1"/>
    </xf>
    <xf numFmtId="0" fontId="202" fillId="0" borderId="0" xfId="2" applyFont="1" applyBorder="1" applyAlignment="1" applyProtection="1">
      <protection locked="0" hidden="1"/>
    </xf>
    <xf numFmtId="0" fontId="217" fillId="0" borderId="0" xfId="2" applyFont="1" applyBorder="1" applyAlignment="1" applyProtection="1">
      <protection locked="0" hidden="1"/>
    </xf>
    <xf numFmtId="0" fontId="218" fillId="0" borderId="0" xfId="2" applyFont="1" applyBorder="1" applyAlignment="1" applyProtection="1">
      <alignment horizontal="right"/>
      <protection locked="0" hidden="1"/>
    </xf>
    <xf numFmtId="0" fontId="219" fillId="0" borderId="197" xfId="2" applyFont="1" applyFill="1" applyBorder="1" applyAlignment="1" applyProtection="1">
      <alignment horizontal="right" vertical="center"/>
      <protection locked="0" hidden="1"/>
    </xf>
    <xf numFmtId="169" fontId="220" fillId="0" borderId="195" xfId="2" applyNumberFormat="1" applyFont="1" applyBorder="1" applyAlignment="1" applyProtection="1">
      <alignment horizontal="center" vertical="center"/>
      <protection locked="0" hidden="1"/>
    </xf>
    <xf numFmtId="0" fontId="221" fillId="0" borderId="0" xfId="2" applyFont="1" applyBorder="1" applyAlignment="1" applyProtection="1">
      <protection locked="0" hidden="1"/>
    </xf>
    <xf numFmtId="0" fontId="222" fillId="0" borderId="0" xfId="2" applyFont="1" applyBorder="1" applyAlignment="1" applyProtection="1">
      <alignment horizontal="right"/>
      <protection locked="0" hidden="1"/>
    </xf>
    <xf numFmtId="169" fontId="200" fillId="0" borderId="200" xfId="2" applyNumberFormat="1" applyFont="1" applyBorder="1" applyAlignment="1" applyProtection="1">
      <alignment horizontal="right" vertical="center"/>
      <protection locked="0" hidden="1"/>
    </xf>
    <xf numFmtId="0" fontId="195" fillId="0" borderId="0" xfId="2" applyFont="1" applyBorder="1" applyAlignment="1" applyProtection="1">
      <protection locked="0" hidden="1"/>
    </xf>
    <xf numFmtId="0" fontId="200" fillId="0" borderId="0" xfId="2" applyFont="1" applyBorder="1" applyAlignment="1" applyProtection="1">
      <protection locked="0" hidden="1"/>
    </xf>
    <xf numFmtId="0" fontId="224" fillId="0" borderId="0" xfId="2" applyFont="1" applyBorder="1" applyAlignment="1" applyProtection="1">
      <protection locked="0" hidden="1"/>
    </xf>
    <xf numFmtId="169" fontId="158" fillId="18" borderId="0" xfId="2" applyNumberFormat="1" applyFill="1" applyAlignment="1" applyProtection="1"/>
    <xf numFmtId="0" fontId="154" fillId="18" borderId="0" xfId="2" applyFont="1" applyFill="1" applyAlignment="1" applyProtection="1"/>
    <xf numFmtId="0" fontId="225" fillId="18" borderId="0" xfId="2" applyFont="1" applyFill="1" applyAlignment="1" applyProtection="1"/>
    <xf numFmtId="169" fontId="219" fillId="0" borderId="201" xfId="2" applyNumberFormat="1" applyFont="1" applyBorder="1" applyAlignment="1" applyProtection="1">
      <alignment horizontal="right" vertical="center"/>
      <protection locked="0" hidden="1"/>
    </xf>
    <xf numFmtId="0" fontId="226" fillId="0" borderId="0" xfId="2" applyFont="1" applyBorder="1" applyAlignment="1" applyProtection="1">
      <alignment horizontal="right"/>
      <protection locked="0" hidden="1"/>
    </xf>
    <xf numFmtId="0" fontId="80" fillId="0" borderId="134" xfId="2" applyFont="1" applyBorder="1" applyAlignment="1" applyProtection="1">
      <alignment horizontal="right" vertical="center"/>
      <protection locked="0" hidden="1"/>
    </xf>
    <xf numFmtId="169" fontId="220" fillId="0" borderId="15" xfId="2" applyNumberFormat="1" applyFont="1" applyBorder="1" applyAlignment="1" applyProtection="1">
      <alignment horizontal="right" vertical="center"/>
      <protection locked="0" hidden="1"/>
    </xf>
    <xf numFmtId="169" fontId="225" fillId="18" borderId="0" xfId="2" applyNumberFormat="1" applyFont="1" applyFill="1" applyAlignment="1" applyProtection="1"/>
    <xf numFmtId="0" fontId="200" fillId="0" borderId="134" xfId="2" applyFont="1" applyBorder="1" applyAlignment="1" applyProtection="1">
      <alignment horizontal="center" vertical="center"/>
      <protection locked="0" hidden="1"/>
    </xf>
    <xf numFmtId="0" fontId="205" fillId="0" borderId="0" xfId="2" applyFont="1" applyBorder="1" applyAlignment="1" applyProtection="1">
      <alignment vertical="center"/>
      <protection locked="0" hidden="1"/>
    </xf>
    <xf numFmtId="0" fontId="227" fillId="18" borderId="0" xfId="2" applyFont="1" applyFill="1" applyAlignment="1" applyProtection="1"/>
    <xf numFmtId="0" fontId="203" fillId="18" borderId="0" xfId="2" applyFont="1" applyFill="1" applyBorder="1" applyAlignment="1" applyProtection="1"/>
    <xf numFmtId="0" fontId="204" fillId="0" borderId="163" xfId="2" applyFont="1" applyBorder="1" applyAlignment="1" applyProtection="1">
      <alignment horizontal="center"/>
      <protection locked="0" hidden="1"/>
    </xf>
    <xf numFmtId="169" fontId="227" fillId="18" borderId="0" xfId="2" applyNumberFormat="1" applyFont="1" applyFill="1" applyAlignment="1" applyProtection="1"/>
    <xf numFmtId="0" fontId="205" fillId="0" borderId="0" xfId="2" applyFont="1" applyBorder="1" applyAlignment="1" applyProtection="1">
      <alignment horizontal="left"/>
      <protection locked="0" hidden="1"/>
    </xf>
    <xf numFmtId="0" fontId="225" fillId="18" borderId="0" xfId="2" applyFont="1" applyFill="1" applyAlignment="1" applyProtection="1">
      <alignment horizontal="center"/>
    </xf>
    <xf numFmtId="0" fontId="205" fillId="0" borderId="0" xfId="2" applyFont="1" applyFill="1" applyBorder="1" applyAlignment="1" applyProtection="1">
      <protection locked="0" hidden="1"/>
    </xf>
    <xf numFmtId="0" fontId="201" fillId="0" borderId="202" xfId="2" applyFont="1" applyBorder="1" applyAlignment="1" applyProtection="1">
      <alignment horizontal="right" vertical="center"/>
      <protection locked="0" hidden="1"/>
    </xf>
    <xf numFmtId="169" fontId="201" fillId="0" borderId="199" xfId="2" applyNumberFormat="1" applyFont="1" applyBorder="1" applyAlignment="1" applyProtection="1">
      <alignment horizontal="center" vertical="center"/>
      <protection locked="0" hidden="1"/>
    </xf>
    <xf numFmtId="169" fontId="225" fillId="18" borderId="0" xfId="2" applyNumberFormat="1" applyFont="1" applyFill="1" applyAlignment="1" applyProtection="1">
      <alignment horizontal="center"/>
    </xf>
    <xf numFmtId="0" fontId="201" fillId="0" borderId="203" xfId="2" applyFont="1" applyBorder="1" applyAlignment="1" applyProtection="1">
      <alignment horizontal="right" vertical="center"/>
      <protection locked="0" hidden="1"/>
    </xf>
    <xf numFmtId="0" fontId="216" fillId="0" borderId="111" xfId="2" applyFont="1" applyBorder="1" applyAlignment="1" applyProtection="1">
      <alignment horizontal="center"/>
      <protection locked="0" hidden="1"/>
    </xf>
    <xf numFmtId="0" fontId="216" fillId="0" borderId="0" xfId="2" applyFont="1" applyFill="1" applyBorder="1" applyAlignment="1" applyProtection="1">
      <protection locked="0" hidden="1"/>
    </xf>
    <xf numFmtId="0" fontId="200" fillId="0" borderId="204" xfId="2" applyFont="1" applyBorder="1" applyAlignment="1" applyProtection="1">
      <alignment horizontal="right" vertical="center"/>
      <protection locked="0" hidden="1"/>
    </xf>
    <xf numFmtId="169" fontId="200" fillId="0" borderId="117" xfId="2" applyNumberFormat="1" applyFont="1" applyBorder="1" applyAlignment="1" applyProtection="1">
      <alignment horizontal="center" vertical="center"/>
      <protection locked="0" hidden="1"/>
    </xf>
    <xf numFmtId="169" fontId="177" fillId="18" borderId="0" xfId="2" applyNumberFormat="1" applyFont="1" applyFill="1" applyAlignment="1" applyProtection="1"/>
    <xf numFmtId="0" fontId="200" fillId="0" borderId="205" xfId="2" applyFont="1" applyBorder="1" applyAlignment="1" applyProtection="1">
      <alignment horizontal="right" vertical="center"/>
      <protection locked="0" hidden="1"/>
    </xf>
    <xf numFmtId="169" fontId="200" fillId="0" borderId="19" xfId="2" applyNumberFormat="1" applyFont="1" applyBorder="1" applyAlignment="1" applyProtection="1">
      <alignment horizontal="center" vertical="center"/>
      <protection locked="0" hidden="1"/>
    </xf>
    <xf numFmtId="0" fontId="198" fillId="0" borderId="142" xfId="2" applyFont="1" applyBorder="1" applyAlignment="1" applyProtection="1">
      <alignment horizontal="center" vertical="center"/>
      <protection locked="0" hidden="1"/>
    </xf>
    <xf numFmtId="0" fontId="216" fillId="0" borderId="0" xfId="2" applyFont="1" applyBorder="1" applyAlignment="1" applyProtection="1">
      <alignment horizontal="center" vertical="center"/>
      <protection locked="0" hidden="1"/>
    </xf>
    <xf numFmtId="0" fontId="221" fillId="0" borderId="0" xfId="2" applyFont="1" applyBorder="1" applyAlignment="1" applyProtection="1">
      <alignment horizontal="left" vertical="center"/>
      <protection locked="0" hidden="1"/>
    </xf>
    <xf numFmtId="0" fontId="221" fillId="0" borderId="0" xfId="2" applyFont="1" applyBorder="1" applyAlignment="1" applyProtection="1">
      <alignment vertical="center"/>
      <protection locked="0" hidden="1"/>
    </xf>
    <xf numFmtId="1" fontId="221" fillId="0" borderId="0" xfId="2" applyNumberFormat="1" applyFont="1" applyBorder="1" applyAlignment="1" applyProtection="1">
      <alignment vertical="center"/>
      <protection locked="0" hidden="1"/>
    </xf>
    <xf numFmtId="1" fontId="228" fillId="0" borderId="0" xfId="2" applyNumberFormat="1" applyFont="1" applyBorder="1" applyAlignment="1" applyProtection="1">
      <alignment horizontal="right" vertical="center"/>
      <protection locked="0" hidden="1"/>
    </xf>
    <xf numFmtId="0" fontId="221" fillId="0" borderId="0" xfId="2" applyFont="1" applyBorder="1" applyAlignment="1" applyProtection="1">
      <alignment horizontal="right" vertical="center"/>
      <protection locked="0" hidden="1"/>
    </xf>
    <xf numFmtId="0" fontId="216" fillId="0" borderId="0" xfId="2" applyFont="1" applyFill="1" applyBorder="1" applyAlignment="1" applyProtection="1">
      <alignment horizontal="center" vertical="center"/>
      <protection locked="0" hidden="1"/>
    </xf>
    <xf numFmtId="0" fontId="200" fillId="0" borderId="206" xfId="2" applyFont="1" applyBorder="1" applyAlignment="1" applyProtection="1">
      <alignment horizontal="right" vertical="center"/>
      <protection locked="0" hidden="1"/>
    </xf>
    <xf numFmtId="0" fontId="221" fillId="0" borderId="0" xfId="2" applyFont="1" applyBorder="1" applyAlignment="1" applyProtection="1">
      <protection locked="0" hidden="1"/>
    </xf>
    <xf numFmtId="0" fontId="200" fillId="0" borderId="207" xfId="2" applyFont="1" applyBorder="1" applyAlignment="1" applyProtection="1">
      <alignment horizontal="right" vertical="center"/>
      <protection locked="0" hidden="1"/>
    </xf>
    <xf numFmtId="0" fontId="202" fillId="0" borderId="0" xfId="2" applyFont="1" applyBorder="1" applyAlignment="1" applyProtection="1">
      <alignment horizontal="left"/>
      <protection locked="0" hidden="1"/>
    </xf>
    <xf numFmtId="0" fontId="229" fillId="0" borderId="0" xfId="2" applyFont="1" applyBorder="1" applyAlignment="1" applyProtection="1">
      <alignment horizontal="left"/>
      <protection locked="0" hidden="1"/>
    </xf>
    <xf numFmtId="0" fontId="200" fillId="0" borderId="208" xfId="2" applyFont="1" applyBorder="1" applyAlignment="1" applyProtection="1">
      <alignment horizontal="right" vertical="center"/>
      <protection locked="0" hidden="1"/>
    </xf>
    <xf numFmtId="0" fontId="228" fillId="0" borderId="0" xfId="2" applyFont="1" applyBorder="1" applyAlignment="1" applyProtection="1">
      <alignment horizontal="left"/>
      <protection locked="0" hidden="1"/>
    </xf>
    <xf numFmtId="0" fontId="230" fillId="0" borderId="0" xfId="2" applyFont="1" applyBorder="1" applyAlignment="1" applyProtection="1">
      <alignment horizontal="left"/>
      <protection locked="0" hidden="1"/>
    </xf>
    <xf numFmtId="0" fontId="221" fillId="0" borderId="0" xfId="2" applyFont="1" applyBorder="1" applyAlignment="1" applyProtection="1">
      <alignment horizontal="left"/>
      <protection locked="0" hidden="1"/>
    </xf>
    <xf numFmtId="0" fontId="200" fillId="0" borderId="192" xfId="2" applyFont="1" applyBorder="1" applyAlignment="1" applyProtection="1">
      <alignment horizontal="right" vertical="center"/>
      <protection locked="0" hidden="1"/>
    </xf>
    <xf numFmtId="169" fontId="200" fillId="0" borderId="193" xfId="2" applyNumberFormat="1" applyFont="1" applyBorder="1" applyAlignment="1" applyProtection="1">
      <alignment horizontal="center" vertical="center"/>
      <protection locked="0" hidden="1"/>
    </xf>
    <xf numFmtId="169" fontId="200" fillId="0" borderId="209" xfId="2" applyNumberFormat="1" applyFont="1" applyBorder="1" applyAlignment="1" applyProtection="1">
      <alignment horizontal="right" vertical="center"/>
      <protection locked="0" hidden="1"/>
    </xf>
    <xf numFmtId="0" fontId="231" fillId="18" borderId="115" xfId="2" applyFont="1" applyFill="1" applyBorder="1" applyAlignment="1" applyProtection="1"/>
    <xf numFmtId="0" fontId="231" fillId="18" borderId="115" xfId="2" applyFont="1" applyFill="1" applyBorder="1" applyAlignment="1" applyProtection="1"/>
    <xf numFmtId="3" fontId="200" fillId="0" borderId="210" xfId="2" applyNumberFormat="1" applyFont="1" applyBorder="1" applyAlignment="1" applyProtection="1">
      <alignment horizontal="right" vertical="center"/>
      <protection locked="0" hidden="1"/>
    </xf>
    <xf numFmtId="0" fontId="232" fillId="57" borderId="115" xfId="2" applyFont="1" applyFill="1" applyBorder="1" applyAlignment="1" applyProtection="1">
      <alignment vertical="center"/>
    </xf>
    <xf numFmtId="0" fontId="158" fillId="18" borderId="115" xfId="2" applyFill="1" applyBorder="1" applyAlignment="1" applyProtection="1"/>
    <xf numFmtId="0" fontId="8" fillId="69" borderId="0" xfId="0" applyFont="1" applyFill="1" applyProtection="1">
      <alignment vertical="center"/>
      <protection hidden="1"/>
    </xf>
    <xf numFmtId="172" fontId="1" fillId="0" borderId="0" xfId="0" applyNumberFormat="1" applyFont="1" applyFill="1" applyBorder="1" applyProtection="1">
      <alignment vertical="center"/>
      <protection hidden="1"/>
    </xf>
    <xf numFmtId="1" fontId="1" fillId="0" borderId="0" xfId="0" applyNumberFormat="1" applyFont="1" applyFill="1" applyBorder="1" applyProtection="1">
      <alignment vertical="center"/>
      <protection hidden="1"/>
    </xf>
    <xf numFmtId="9" fontId="1" fillId="0" borderId="0" xfId="0" applyNumberFormat="1" applyFont="1" applyProtection="1">
      <alignment vertical="center"/>
      <protection hidden="1"/>
    </xf>
    <xf numFmtId="0" fontId="202" fillId="0" borderId="142" xfId="2" applyFont="1" applyBorder="1" applyAlignment="1" applyProtection="1">
      <alignment horizontal="center"/>
      <protection locked="0" hidden="1"/>
    </xf>
    <xf numFmtId="0" fontId="221" fillId="0" borderId="0" xfId="2" applyFont="1" applyBorder="1" applyAlignment="1" applyProtection="1">
      <alignment horizontal="center"/>
      <protection locked="0" hidden="1"/>
    </xf>
    <xf numFmtId="0" fontId="36" fillId="0" borderId="0" xfId="2" applyFont="1" applyBorder="1" applyAlignment="1" applyProtection="1">
      <protection locked="0" hidden="1"/>
    </xf>
    <xf numFmtId="0" fontId="202" fillId="0" borderId="197" xfId="2" applyFont="1" applyBorder="1" applyAlignment="1" applyProtection="1">
      <alignment horizontal="right" vertical="center"/>
      <protection locked="0" hidden="1"/>
    </xf>
    <xf numFmtId="169" fontId="202" fillId="0" borderId="195" xfId="2" applyNumberFormat="1" applyFont="1" applyBorder="1" applyAlignment="1" applyProtection="1">
      <alignment horizontal="left" vertical="center"/>
      <protection locked="0" hidden="1"/>
    </xf>
    <xf numFmtId="169" fontId="202" fillId="0" borderId="210" xfId="2" applyNumberFormat="1" applyFont="1" applyBorder="1" applyAlignment="1" applyProtection="1">
      <alignment horizontal="right" vertical="center"/>
      <protection locked="0" hidden="1"/>
    </xf>
    <xf numFmtId="0" fontId="177" fillId="18" borderId="0" xfId="2" applyFont="1" applyFill="1" applyAlignment="1" applyProtection="1">
      <alignment horizontal="right"/>
    </xf>
    <xf numFmtId="169" fontId="158" fillId="18" borderId="115" xfId="2" applyNumberFormat="1" applyFill="1" applyBorder="1" applyAlignment="1" applyProtection="1"/>
    <xf numFmtId="9" fontId="158" fillId="18" borderId="115" xfId="2" applyNumberFormat="1" applyFill="1" applyBorder="1" applyAlignment="1" applyProtection="1"/>
    <xf numFmtId="169" fontId="185" fillId="18" borderId="0" xfId="2" applyNumberFormat="1" applyFont="1" applyFill="1" applyAlignment="1" applyProtection="1"/>
    <xf numFmtId="0" fontId="229" fillId="0" borderId="0" xfId="2" applyFont="1" applyBorder="1" applyAlignment="1" applyProtection="1">
      <protection locked="0" hidden="1"/>
    </xf>
    <xf numFmtId="169" fontId="170" fillId="0" borderId="15" xfId="2" applyNumberFormat="1" applyFont="1" applyBorder="1" applyAlignment="1" applyProtection="1">
      <alignment horizontal="left"/>
      <protection locked="0" hidden="1"/>
    </xf>
    <xf numFmtId="169" fontId="170" fillId="0" borderId="211" xfId="2" applyNumberFormat="1" applyFont="1" applyBorder="1" applyAlignment="1" applyProtection="1">
      <alignment horizontal="right" vertical="center"/>
      <protection locked="0" hidden="1"/>
    </xf>
    <xf numFmtId="0" fontId="233" fillId="18" borderId="115" xfId="2" applyFont="1" applyFill="1" applyBorder="1" applyAlignment="1" applyProtection="1"/>
    <xf numFmtId="169" fontId="233" fillId="18" borderId="115" xfId="2" applyNumberFormat="1" applyFont="1" applyFill="1" applyBorder="1" applyAlignment="1" applyProtection="1"/>
    <xf numFmtId="9" fontId="233" fillId="18" borderId="115" xfId="2" applyNumberFormat="1" applyFont="1" applyFill="1" applyBorder="1" applyAlignment="1" applyProtection="1"/>
    <xf numFmtId="0" fontId="229" fillId="0" borderId="0" xfId="2" applyFont="1" applyBorder="1" applyAlignment="1" applyProtection="1">
      <protection locked="0" hidden="1"/>
    </xf>
    <xf numFmtId="0" fontId="228" fillId="0" borderId="0" xfId="2" applyFont="1" applyBorder="1" applyAlignment="1" applyProtection="1">
      <protection locked="0" hidden="1"/>
    </xf>
    <xf numFmtId="0" fontId="202" fillId="0" borderId="195" xfId="2" applyFont="1" applyBorder="1" applyAlignment="1" applyProtection="1">
      <protection locked="0" hidden="1"/>
    </xf>
    <xf numFmtId="0" fontId="233" fillId="18" borderId="115" xfId="2" applyFont="1" applyFill="1" applyBorder="1" applyAlignment="1" applyProtection="1">
      <alignment horizontal="right"/>
    </xf>
    <xf numFmtId="172" fontId="1" fillId="40" borderId="0" xfId="0" applyNumberFormat="1" applyFont="1" applyFill="1" applyBorder="1" applyProtection="1">
      <alignment vertical="center"/>
      <protection hidden="1"/>
    </xf>
    <xf numFmtId="3" fontId="1" fillId="40" borderId="0" xfId="0" applyNumberFormat="1" applyFont="1" applyFill="1" applyBorder="1" applyProtection="1">
      <alignment vertical="center"/>
      <protection hidden="1"/>
    </xf>
    <xf numFmtId="9" fontId="1" fillId="40" borderId="0" xfId="0" applyNumberFormat="1" applyFont="1" applyFill="1" applyProtection="1">
      <alignment vertical="center"/>
      <protection hidden="1"/>
    </xf>
    <xf numFmtId="169" fontId="202" fillId="0" borderId="195" xfId="2" applyNumberFormat="1" applyFont="1" applyBorder="1" applyAlignment="1" applyProtection="1">
      <alignment horizontal="center" vertical="center"/>
      <protection locked="0" hidden="1"/>
    </xf>
    <xf numFmtId="172" fontId="8" fillId="0" borderId="0" xfId="0" applyNumberFormat="1" applyFont="1" applyFill="1" applyBorder="1" applyProtection="1">
      <alignment vertical="center"/>
      <protection hidden="1"/>
    </xf>
    <xf numFmtId="0" fontId="232" fillId="57" borderId="115" xfId="2" applyFont="1" applyFill="1" applyBorder="1" applyAlignment="1" applyProtection="1">
      <alignment vertical="center"/>
    </xf>
    <xf numFmtId="0" fontId="233" fillId="18" borderId="115" xfId="2" applyFont="1" applyFill="1" applyBorder="1" applyAlignment="1" applyProtection="1"/>
    <xf numFmtId="169" fontId="233" fillId="18" borderId="115" xfId="2" applyNumberFormat="1" applyFont="1" applyFill="1" applyBorder="1" applyAlignment="1" applyProtection="1"/>
    <xf numFmtId="9" fontId="233" fillId="18" borderId="115" xfId="2" applyNumberFormat="1" applyFont="1" applyFill="1" applyBorder="1" applyAlignment="1" applyProtection="1"/>
    <xf numFmtId="169" fontId="202" fillId="0" borderId="195" xfId="2" applyNumberFormat="1" applyFont="1" applyFill="1" applyBorder="1" applyAlignment="1" applyProtection="1">
      <alignment horizontal="center" vertical="center"/>
      <protection locked="0" hidden="1"/>
    </xf>
    <xf numFmtId="169" fontId="226" fillId="0" borderId="210" xfId="2" applyNumberFormat="1" applyFont="1" applyFill="1" applyBorder="1" applyAlignment="1" applyProtection="1">
      <alignment horizontal="right" vertical="center"/>
      <protection locked="0" hidden="1"/>
    </xf>
    <xf numFmtId="0" fontId="234" fillId="18" borderId="0" xfId="2" applyFont="1" applyFill="1" applyAlignment="1" applyProtection="1"/>
    <xf numFmtId="0" fontId="235" fillId="0" borderId="0" xfId="2" applyFont="1" applyBorder="1" applyAlignment="1" applyProtection="1">
      <alignment horizontal="left"/>
      <protection locked="0" hidden="1"/>
    </xf>
    <xf numFmtId="169" fontId="236" fillId="0" borderId="210" xfId="2" applyNumberFormat="1" applyFont="1" applyBorder="1" applyAlignment="1" applyProtection="1">
      <alignment horizontal="right" vertical="center"/>
      <protection locked="0" hidden="1"/>
    </xf>
    <xf numFmtId="0" fontId="237" fillId="18" borderId="0" xfId="0" applyFont="1" applyFill="1" applyBorder="1" applyAlignment="1" applyProtection="1">
      <alignment horizontal="left" vertical="center"/>
      <protection hidden="1"/>
    </xf>
    <xf numFmtId="0" fontId="238" fillId="18" borderId="0" xfId="0" applyFont="1" applyFill="1" applyBorder="1" applyProtection="1">
      <alignment vertical="center"/>
      <protection hidden="1"/>
    </xf>
    <xf numFmtId="0" fontId="202" fillId="0" borderId="210" xfId="2" applyFont="1" applyBorder="1" applyAlignment="1" applyProtection="1">
      <alignment horizontal="right" vertical="center"/>
      <protection locked="0" hidden="1"/>
    </xf>
    <xf numFmtId="0" fontId="240" fillId="18" borderId="0" xfId="2" applyFont="1" applyFill="1" applyAlignment="1" applyProtection="1"/>
    <xf numFmtId="0" fontId="240" fillId="18" borderId="0" xfId="2" applyFont="1" applyFill="1" applyAlignment="1" applyProtection="1">
      <alignment horizontal="left"/>
    </xf>
    <xf numFmtId="0" fontId="239" fillId="18" borderId="0" xfId="0" applyFont="1" applyFill="1" applyBorder="1" applyProtection="1">
      <alignment vertical="center"/>
      <protection hidden="1"/>
    </xf>
    <xf numFmtId="0" fontId="232" fillId="57" borderId="115" xfId="2" applyFont="1" applyFill="1" applyBorder="1" applyAlignment="1" applyProtection="1"/>
    <xf numFmtId="0" fontId="8" fillId="0" borderId="0" xfId="0" applyFont="1" applyProtection="1">
      <alignment vertical="center"/>
      <protection hidden="1"/>
    </xf>
    <xf numFmtId="0" fontId="176" fillId="18" borderId="0" xfId="2" applyFont="1" applyFill="1" applyAlignment="1" applyProtection="1"/>
    <xf numFmtId="173" fontId="1" fillId="0" borderId="0" xfId="4" applyNumberFormat="1" applyFont="1" applyAlignment="1" applyProtection="1">
      <alignment vertical="center"/>
      <protection hidden="1"/>
    </xf>
    <xf numFmtId="0" fontId="202" fillId="0" borderId="111" xfId="2" applyFont="1" applyBorder="1" applyAlignment="1" applyProtection="1">
      <alignment horizontal="left"/>
      <protection locked="0" hidden="1"/>
    </xf>
    <xf numFmtId="0" fontId="202" fillId="0" borderId="198" xfId="2" applyFont="1" applyBorder="1" applyAlignment="1" applyProtection="1">
      <alignment horizontal="right" vertical="center"/>
      <protection locked="0" hidden="1"/>
    </xf>
    <xf numFmtId="169" fontId="202" fillId="0" borderId="199" xfId="2" applyNumberFormat="1" applyFont="1" applyBorder="1" applyAlignment="1" applyProtection="1">
      <alignment horizontal="center" vertical="center"/>
      <protection locked="0" hidden="1"/>
    </xf>
    <xf numFmtId="169" fontId="202" fillId="0" borderId="212" xfId="2" applyNumberFormat="1" applyFont="1" applyBorder="1" applyAlignment="1" applyProtection="1">
      <alignment horizontal="right" vertical="center"/>
      <protection locked="0" hidden="1"/>
    </xf>
    <xf numFmtId="3" fontId="175" fillId="18" borderId="0" xfId="2" applyNumberFormat="1" applyFont="1" applyFill="1" applyAlignment="1" applyProtection="1"/>
    <xf numFmtId="169" fontId="175" fillId="18" borderId="0" xfId="2" applyNumberFormat="1" applyFont="1" applyFill="1" applyAlignment="1" applyProtection="1"/>
    <xf numFmtId="1" fontId="158" fillId="18" borderId="0" xfId="2" applyNumberFormat="1" applyFill="1" applyAlignment="1" applyProtection="1"/>
    <xf numFmtId="0" fontId="202" fillId="0" borderId="0" xfId="2" applyFont="1" applyBorder="1" applyAlignment="1" applyProtection="1">
      <alignment horizontal="right"/>
      <protection locked="0" hidden="1"/>
    </xf>
    <xf numFmtId="17" fontId="155" fillId="0" borderId="15" xfId="2" applyNumberFormat="1" applyFont="1" applyBorder="1" applyAlignment="1" applyProtection="1">
      <alignment vertical="center"/>
      <protection locked="0" hidden="1"/>
    </xf>
    <xf numFmtId="17" fontId="155" fillId="0" borderId="91" xfId="2" applyNumberFormat="1" applyFont="1" applyBorder="1" applyAlignment="1" applyProtection="1">
      <alignment vertical="center"/>
      <protection locked="0" hidden="1"/>
    </xf>
    <xf numFmtId="1" fontId="155" fillId="0" borderId="35" xfId="2" applyNumberFormat="1" applyFont="1" applyBorder="1" applyAlignment="1" applyProtection="1">
      <alignment horizontal="center" vertical="center"/>
      <protection locked="0" hidden="1"/>
    </xf>
    <xf numFmtId="165" fontId="155" fillId="0" borderId="35" xfId="2" applyNumberFormat="1" applyFont="1" applyBorder="1" applyAlignment="1" applyProtection="1">
      <alignment horizontal="right"/>
      <protection locked="0" hidden="1"/>
    </xf>
    <xf numFmtId="1" fontId="155" fillId="0" borderId="35" xfId="2" applyNumberFormat="1" applyFont="1" applyBorder="1" applyAlignment="1" applyProtection="1">
      <alignment horizontal="center"/>
      <protection locked="0" hidden="1"/>
    </xf>
    <xf numFmtId="0" fontId="228" fillId="0" borderId="0" xfId="2" applyFont="1" applyBorder="1" applyAlignment="1" applyProtection="1">
      <protection locked="0" hidden="1"/>
    </xf>
    <xf numFmtId="169" fontId="175" fillId="18" borderId="0" xfId="2" applyNumberFormat="1" applyFont="1" applyFill="1" applyAlignment="1" applyProtection="1">
      <alignment horizontal="center"/>
    </xf>
    <xf numFmtId="17" fontId="155" fillId="0" borderId="15" xfId="2" applyNumberFormat="1" applyFont="1" applyBorder="1" applyAlignment="1" applyProtection="1">
      <protection locked="0" hidden="1"/>
    </xf>
    <xf numFmtId="17" fontId="155" fillId="0" borderId="91" xfId="2" applyNumberFormat="1" applyFont="1" applyBorder="1" applyAlignment="1" applyProtection="1">
      <protection locked="0" hidden="1"/>
    </xf>
    <xf numFmtId="172" fontId="1" fillId="0" borderId="0" xfId="0" applyNumberFormat="1" applyFont="1" applyProtection="1">
      <alignment vertical="center"/>
      <protection hidden="1"/>
    </xf>
    <xf numFmtId="173" fontId="156" fillId="63" borderId="0" xfId="4" applyNumberFormat="1" applyFont="1" applyFill="1" applyAlignment="1" applyProtection="1">
      <alignment vertical="center"/>
      <protection hidden="1"/>
    </xf>
    <xf numFmtId="0" fontId="1" fillId="0" borderId="0" xfId="0" applyFont="1" applyProtection="1">
      <alignment vertical="center"/>
      <protection hidden="1"/>
    </xf>
    <xf numFmtId="169" fontId="228" fillId="0" borderId="0" xfId="2" applyNumberFormat="1" applyFont="1" applyBorder="1" applyAlignment="1" applyProtection="1">
      <protection locked="0" hidden="1"/>
    </xf>
    <xf numFmtId="169" fontId="228" fillId="0" borderId="143" xfId="2" applyNumberFormat="1" applyFont="1" applyBorder="1" applyAlignment="1" applyProtection="1">
      <alignment horizontal="right" vertical="center"/>
      <protection locked="0" hidden="1"/>
    </xf>
    <xf numFmtId="43" fontId="175" fillId="18" borderId="0" xfId="2" applyNumberFormat="1" applyFont="1" applyFill="1" applyAlignment="1" applyProtection="1"/>
    <xf numFmtId="0" fontId="228" fillId="0" borderId="181" xfId="2" applyFont="1" applyBorder="1" applyAlignment="1" applyProtection="1">
      <alignment horizontal="center"/>
      <protection locked="0" hidden="1"/>
    </xf>
    <xf numFmtId="0" fontId="202" fillId="0" borderId="118" xfId="2" applyFont="1" applyBorder="1" applyAlignment="1" applyProtection="1">
      <alignment horizontal="right" vertical="center"/>
      <protection locked="0" hidden="1"/>
    </xf>
    <xf numFmtId="166" fontId="155" fillId="0" borderId="117" xfId="2" applyNumberFormat="1" applyFont="1" applyBorder="1" applyAlignment="1" applyProtection="1">
      <alignment vertical="center"/>
      <protection locked="0" hidden="1"/>
    </xf>
    <xf numFmtId="0" fontId="228" fillId="0" borderId="118" xfId="2" applyFont="1" applyBorder="1" applyAlignment="1" applyProtection="1">
      <protection locked="0" hidden="1"/>
    </xf>
    <xf numFmtId="0" fontId="228" fillId="0" borderId="118" xfId="2" applyFont="1" applyBorder="1" applyAlignment="1" applyProtection="1">
      <alignment horizontal="center"/>
      <protection locked="0" hidden="1"/>
    </xf>
    <xf numFmtId="3" fontId="228" fillId="0" borderId="118" xfId="2" applyNumberFormat="1" applyFont="1" applyBorder="1" applyAlignment="1" applyProtection="1">
      <protection locked="0" hidden="1"/>
    </xf>
    <xf numFmtId="3" fontId="228" fillId="0" borderId="182" xfId="2" applyNumberFormat="1" applyFont="1" applyBorder="1" applyAlignment="1" applyProtection="1">
      <alignment horizontal="right" vertical="center"/>
      <protection locked="0" hidden="1"/>
    </xf>
    <xf numFmtId="0" fontId="228" fillId="0" borderId="142" xfId="2" applyFont="1" applyBorder="1" applyAlignment="1" applyProtection="1">
      <alignment horizontal="left" vertical="center" wrapText="1"/>
      <protection locked="0" hidden="1"/>
    </xf>
    <xf numFmtId="0" fontId="228" fillId="0" borderId="0" xfId="2" applyFont="1" applyBorder="1" applyAlignment="1" applyProtection="1">
      <alignment horizontal="left" vertical="center" wrapText="1"/>
      <protection locked="0" hidden="1"/>
    </xf>
    <xf numFmtId="0" fontId="228" fillId="0" borderId="143" xfId="2" applyFont="1" applyBorder="1" applyAlignment="1" applyProtection="1">
      <alignment horizontal="right" vertical="center" wrapText="1"/>
      <protection locked="0" hidden="1"/>
    </xf>
    <xf numFmtId="0" fontId="221" fillId="0" borderId="0" xfId="2" applyFont="1" applyBorder="1" applyAlignment="1" applyProtection="1">
      <alignment horizontal="left" vertical="center" wrapText="1"/>
      <protection locked="0" hidden="1"/>
    </xf>
    <xf numFmtId="0" fontId="243" fillId="0" borderId="142" xfId="2" applyFont="1" applyBorder="1" applyAlignment="1" applyProtection="1">
      <protection locked="0" hidden="1"/>
    </xf>
    <xf numFmtId="0" fontId="243" fillId="0" borderId="0" xfId="2" applyFont="1" applyBorder="1" applyAlignment="1" applyProtection="1">
      <protection locked="0" hidden="1"/>
    </xf>
    <xf numFmtId="0" fontId="202" fillId="0" borderId="143" xfId="2" applyFont="1" applyBorder="1" applyAlignment="1" applyProtection="1">
      <alignment horizontal="right" vertical="center"/>
      <protection locked="0" hidden="1"/>
    </xf>
    <xf numFmtId="0" fontId="235" fillId="0" borderId="144" xfId="2" applyFont="1" applyBorder="1" applyAlignment="1" applyProtection="1">
      <alignment horizontal="right"/>
      <protection locked="0" hidden="1"/>
    </xf>
    <xf numFmtId="0" fontId="228" fillId="0" borderId="145" xfId="2" applyFont="1" applyBorder="1" applyAlignment="1" applyProtection="1">
      <alignment horizontal="left"/>
      <protection locked="0" hidden="1"/>
    </xf>
    <xf numFmtId="0" fontId="228" fillId="0" borderId="145" xfId="2" applyFont="1" applyBorder="1" applyAlignment="1" applyProtection="1">
      <protection locked="0" hidden="1"/>
    </xf>
    <xf numFmtId="0" fontId="228" fillId="0" borderId="145" xfId="2" applyFont="1" applyBorder="1" applyAlignment="1" applyProtection="1">
      <alignment horizontal="center"/>
      <protection locked="0" hidden="1"/>
    </xf>
    <xf numFmtId="3" fontId="228" fillId="0" borderId="145" xfId="2" applyNumberFormat="1" applyFont="1" applyBorder="1" applyAlignment="1" applyProtection="1">
      <protection locked="0" hidden="1"/>
    </xf>
    <xf numFmtId="3" fontId="228" fillId="0" borderId="146" xfId="2" applyNumberFormat="1" applyFont="1" applyBorder="1" applyAlignment="1" applyProtection="1">
      <alignment horizontal="right" vertical="center"/>
      <protection locked="0" hidden="1"/>
    </xf>
    <xf numFmtId="0" fontId="207" fillId="0" borderId="0" xfId="2" applyFont="1" applyAlignment="1" applyProtection="1">
      <protection hidden="1"/>
    </xf>
    <xf numFmtId="0" fontId="158" fillId="0" borderId="0" xfId="2" applyAlignment="1" applyProtection="1">
      <protection hidden="1"/>
    </xf>
    <xf numFmtId="0" fontId="158" fillId="0" borderId="0" xfId="2" applyAlignment="1" applyProtection="1">
      <alignment horizontal="right" vertical="center"/>
      <protection hidden="1"/>
    </xf>
    <xf numFmtId="0" fontId="244" fillId="0" borderId="0" xfId="2" applyFont="1" applyAlignment="1" applyProtection="1"/>
    <xf numFmtId="0" fontId="244" fillId="18" borderId="0" xfId="2" applyFont="1" applyFill="1" applyAlignment="1" applyProtection="1"/>
    <xf numFmtId="0" fontId="244" fillId="67" borderId="0" xfId="2" applyFont="1" applyFill="1" applyAlignment="1" applyProtection="1"/>
    <xf numFmtId="0" fontId="1" fillId="18" borderId="0" xfId="0" applyFont="1" applyFill="1" applyAlignment="1"/>
    <xf numFmtId="0" fontId="247" fillId="0" borderId="0" xfId="2" applyFont="1" applyAlignment="1" applyProtection="1"/>
    <xf numFmtId="0" fontId="247" fillId="18" borderId="0" xfId="2" applyFont="1" applyFill="1" applyAlignment="1" applyProtection="1"/>
    <xf numFmtId="0" fontId="153" fillId="18" borderId="0" xfId="0" applyFont="1" applyFill="1" applyAlignment="1"/>
    <xf numFmtId="0" fontId="247" fillId="67" borderId="0" xfId="2" applyFont="1" applyFill="1" applyAlignment="1" applyProtection="1"/>
    <xf numFmtId="0" fontId="247" fillId="0" borderId="0" xfId="2" applyFont="1" applyAlignment="1" applyProtection="1">
      <alignment vertical="center"/>
    </xf>
    <xf numFmtId="0" fontId="247" fillId="18" borderId="0" xfId="2" applyFont="1" applyFill="1" applyAlignment="1" applyProtection="1">
      <alignment vertical="center"/>
    </xf>
    <xf numFmtId="0" fontId="153" fillId="18" borderId="0" xfId="0" applyFont="1" applyFill="1">
      <alignment vertical="center"/>
    </xf>
    <xf numFmtId="0" fontId="247" fillId="67" borderId="0" xfId="2" applyFont="1" applyFill="1" applyAlignment="1" applyProtection="1">
      <alignment vertical="center"/>
    </xf>
    <xf numFmtId="0" fontId="171" fillId="0" borderId="18" xfId="2" applyFont="1" applyBorder="1" applyAlignment="1" applyProtection="1">
      <alignment horizontal="center" vertical="center" wrapText="1"/>
      <protection locked="0" hidden="1"/>
    </xf>
    <xf numFmtId="0" fontId="170" fillId="0" borderId="35" xfId="2" applyFont="1" applyBorder="1" applyAlignment="1" applyProtection="1">
      <alignment horizontal="center" vertical="center" wrapText="1"/>
      <protection locked="0" hidden="1"/>
    </xf>
    <xf numFmtId="0" fontId="36" fillId="0" borderId="221" xfId="2" applyFont="1" applyBorder="1" applyAlignment="1" applyProtection="1">
      <alignment horizontal="center" vertical="center"/>
      <protection locked="0" hidden="1"/>
    </xf>
    <xf numFmtId="1" fontId="170" fillId="0" borderId="35" xfId="2" applyNumberFormat="1" applyFont="1" applyBorder="1" applyAlignment="1" applyProtection="1">
      <alignment horizontal="center" vertical="center"/>
      <protection locked="0" hidden="1"/>
    </xf>
    <xf numFmtId="0" fontId="36" fillId="0" borderId="228" xfId="2" applyFont="1" applyBorder="1" applyAlignment="1" applyProtection="1">
      <alignment horizontal="center" vertical="center"/>
      <protection locked="0" hidden="1"/>
    </xf>
    <xf numFmtId="1" fontId="170" fillId="0" borderId="232" xfId="2" applyNumberFormat="1" applyFont="1" applyBorder="1" applyAlignment="1" applyProtection="1">
      <alignment horizontal="center" vertical="center"/>
      <protection locked="0" hidden="1"/>
    </xf>
    <xf numFmtId="0" fontId="36" fillId="0" borderId="234" xfId="2" applyFont="1" applyBorder="1" applyAlignment="1" applyProtection="1">
      <alignment horizontal="center" vertical="center"/>
      <protection locked="0" hidden="1"/>
    </xf>
    <xf numFmtId="1" fontId="170" fillId="0" borderId="235" xfId="2" applyNumberFormat="1" applyFont="1" applyBorder="1" applyAlignment="1" applyProtection="1">
      <alignment horizontal="center" vertical="center"/>
      <protection locked="0" hidden="1"/>
    </xf>
    <xf numFmtId="0" fontId="170" fillId="0" borderId="142" xfId="2" applyFont="1" applyBorder="1" applyAlignment="1" applyProtection="1">
      <alignment horizontal="center" vertical="center"/>
      <protection locked="0" hidden="1"/>
    </xf>
    <xf numFmtId="0" fontId="171" fillId="0" borderId="0" xfId="2" applyFont="1" applyBorder="1" applyAlignment="1" applyProtection="1">
      <alignment vertical="center"/>
      <protection locked="0" hidden="1"/>
    </xf>
    <xf numFmtId="0" fontId="171" fillId="0" borderId="236" xfId="2" applyFont="1" applyBorder="1" applyAlignment="1" applyProtection="1">
      <alignment vertical="center"/>
      <protection locked="0" hidden="1"/>
    </xf>
    <xf numFmtId="169" fontId="170" fillId="0" borderId="193" xfId="2" applyNumberFormat="1" applyFont="1" applyBorder="1" applyAlignment="1" applyProtection="1">
      <alignment vertical="center"/>
      <protection locked="0" hidden="1"/>
    </xf>
    <xf numFmtId="3" fontId="171" fillId="0" borderId="0" xfId="2" applyNumberFormat="1" applyFont="1" applyBorder="1" applyAlignment="1" applyProtection="1">
      <alignment vertical="center"/>
      <protection locked="0" hidden="1"/>
    </xf>
    <xf numFmtId="3" fontId="171" fillId="0" borderId="15" xfId="2" applyNumberFormat="1" applyFont="1" applyBorder="1" applyAlignment="1" applyProtection="1">
      <alignment vertical="center"/>
      <protection locked="0" hidden="1"/>
    </xf>
    <xf numFmtId="169" fontId="171" fillId="0" borderId="143" xfId="2" applyNumberFormat="1" applyFont="1" applyBorder="1" applyAlignment="1" applyProtection="1">
      <alignment vertical="center"/>
      <protection locked="0" hidden="1"/>
    </xf>
    <xf numFmtId="0" fontId="36" fillId="0" borderId="142" xfId="2" applyFont="1" applyBorder="1" applyAlignment="1" applyProtection="1">
      <alignment horizontal="center" vertical="center"/>
      <protection locked="0" hidden="1"/>
    </xf>
    <xf numFmtId="0" fontId="171" fillId="0" borderId="111" xfId="2" applyFont="1" applyBorder="1" applyAlignment="1" applyProtection="1">
      <alignment horizontal="center" vertical="center"/>
      <protection locked="0" hidden="1"/>
    </xf>
    <xf numFmtId="0" fontId="171" fillId="0" borderId="228" xfId="2" applyFont="1" applyBorder="1" applyAlignment="1" applyProtection="1">
      <alignment vertical="center"/>
      <protection locked="0" hidden="1"/>
    </xf>
    <xf numFmtId="169" fontId="170" fillId="0" borderId="195" xfId="2" applyNumberFormat="1" applyFont="1" applyBorder="1" applyAlignment="1" applyProtection="1">
      <alignment vertical="center"/>
      <protection locked="0" hidden="1"/>
    </xf>
    <xf numFmtId="0" fontId="1" fillId="18" borderId="0" xfId="0" applyFont="1" applyFill="1" applyAlignment="1"/>
    <xf numFmtId="169" fontId="36" fillId="0" borderId="195" xfId="2" applyNumberFormat="1" applyFont="1" applyBorder="1" applyAlignment="1" applyProtection="1">
      <alignment vertical="center"/>
      <protection locked="0" hidden="1"/>
    </xf>
    <xf numFmtId="3" fontId="230" fillId="0" borderId="0" xfId="2" applyNumberFormat="1" applyFont="1" applyBorder="1" applyAlignment="1" applyProtection="1">
      <alignment vertical="center"/>
      <protection locked="0" hidden="1"/>
    </xf>
    <xf numFmtId="0" fontId="171" fillId="0" borderId="237" xfId="2" applyFont="1" applyBorder="1" applyAlignment="1" applyProtection="1">
      <alignment vertical="center"/>
      <protection locked="0" hidden="1"/>
    </xf>
    <xf numFmtId="169" fontId="36" fillId="0" borderId="199" xfId="2" applyNumberFormat="1" applyFont="1" applyBorder="1" applyAlignment="1" applyProtection="1">
      <alignment vertical="center"/>
      <protection locked="0" hidden="1"/>
    </xf>
    <xf numFmtId="169" fontId="36" fillId="0" borderId="193" xfId="2" applyNumberFormat="1" applyFont="1" applyBorder="1" applyAlignment="1" applyProtection="1">
      <alignment vertical="center"/>
      <protection locked="0" hidden="1"/>
    </xf>
    <xf numFmtId="0" fontId="171" fillId="0" borderId="234" xfId="2" applyFont="1" applyBorder="1" applyAlignment="1" applyProtection="1">
      <alignment vertical="center"/>
      <protection locked="0" hidden="1"/>
    </xf>
    <xf numFmtId="169" fontId="36" fillId="0" borderId="214" xfId="2" applyNumberFormat="1" applyFont="1" applyBorder="1" applyAlignment="1" applyProtection="1">
      <alignment vertical="center"/>
      <protection locked="0" hidden="1"/>
    </xf>
    <xf numFmtId="0" fontId="170" fillId="0" borderId="111" xfId="2" applyFont="1" applyBorder="1" applyAlignment="1" applyProtection="1">
      <alignment horizontal="center" vertical="center"/>
      <protection locked="0" hidden="1"/>
    </xf>
    <xf numFmtId="0" fontId="35" fillId="0" borderId="0" xfId="2" applyFont="1" applyBorder="1" applyAlignment="1" applyProtection="1">
      <alignment horizontal="left" vertical="center"/>
      <protection locked="0" hidden="1"/>
    </xf>
    <xf numFmtId="0" fontId="139" fillId="0" borderId="0" xfId="2" applyFont="1" applyBorder="1" applyAlignment="1" applyProtection="1">
      <alignment vertical="center"/>
      <protection locked="0" hidden="1"/>
    </xf>
    <xf numFmtId="0" fontId="171" fillId="0" borderId="111" xfId="2" applyFont="1" applyBorder="1" applyAlignment="1" applyProtection="1">
      <alignment vertical="center"/>
      <protection locked="0" hidden="1"/>
    </xf>
    <xf numFmtId="169" fontId="170" fillId="0" borderId="15" xfId="2" applyNumberFormat="1" applyFont="1" applyBorder="1" applyAlignment="1" applyProtection="1">
      <alignment vertical="center"/>
      <protection locked="0" hidden="1"/>
    </xf>
    <xf numFmtId="169" fontId="170" fillId="0" borderId="143" xfId="2" applyNumberFormat="1" applyFont="1" applyBorder="1" applyAlignment="1" applyProtection="1">
      <alignment vertical="center"/>
      <protection locked="0" hidden="1"/>
    </xf>
    <xf numFmtId="169" fontId="170" fillId="0" borderId="0" xfId="2" applyNumberFormat="1" applyFont="1" applyBorder="1" applyAlignment="1" applyProtection="1">
      <alignment vertical="center"/>
      <protection locked="0" hidden="1"/>
    </xf>
    <xf numFmtId="3" fontId="171" fillId="0" borderId="111" xfId="2" applyNumberFormat="1" applyFont="1" applyBorder="1" applyAlignment="1" applyProtection="1">
      <alignment vertical="center"/>
      <protection locked="0" hidden="1"/>
    </xf>
    <xf numFmtId="3" fontId="171" fillId="0" borderId="109" xfId="2" applyNumberFormat="1" applyFont="1" applyBorder="1" applyAlignment="1" applyProtection="1">
      <alignment vertical="center"/>
      <protection locked="0" hidden="1"/>
    </xf>
    <xf numFmtId="169" fontId="170" fillId="0" borderId="184" xfId="2" applyNumberFormat="1" applyFont="1" applyBorder="1" applyAlignment="1" applyProtection="1">
      <alignment vertical="center"/>
      <protection locked="0" hidden="1"/>
    </xf>
    <xf numFmtId="0" fontId="36" fillId="0" borderId="111" xfId="2" applyFont="1" applyBorder="1" applyAlignment="1" applyProtection="1">
      <alignment horizontal="center" vertical="center"/>
      <protection locked="0" hidden="1"/>
    </xf>
    <xf numFmtId="0" fontId="36" fillId="0" borderId="0" xfId="2" applyFont="1" applyBorder="1" applyAlignment="1" applyProtection="1">
      <alignment vertical="center"/>
      <protection locked="0" hidden="1"/>
    </xf>
    <xf numFmtId="0" fontId="170" fillId="0" borderId="0" xfId="2" applyFont="1" applyBorder="1" applyAlignment="1" applyProtection="1">
      <alignment vertical="center"/>
      <protection locked="0" hidden="1"/>
    </xf>
    <xf numFmtId="0" fontId="170" fillId="0" borderId="135" xfId="2" applyFont="1" applyBorder="1" applyAlignment="1" applyProtection="1">
      <alignment vertical="center"/>
      <protection locked="0" hidden="1"/>
    </xf>
    <xf numFmtId="0" fontId="171" fillId="0" borderId="0" xfId="2" applyFont="1" applyBorder="1" applyAlignment="1" applyProtection="1">
      <alignment vertical="center"/>
      <protection locked="0" hidden="1"/>
    </xf>
    <xf numFmtId="0" fontId="169" fillId="0" borderId="135" xfId="2" applyFont="1" applyBorder="1" applyAlignment="1" applyProtection="1">
      <protection locked="0" hidden="1"/>
    </xf>
    <xf numFmtId="0" fontId="171" fillId="0" borderId="239" xfId="2" applyFont="1" applyBorder="1" applyAlignment="1" applyProtection="1">
      <alignment vertical="center"/>
      <protection locked="0" hidden="1"/>
    </xf>
    <xf numFmtId="169" fontId="170" fillId="0" borderId="239" xfId="2" applyNumberFormat="1" applyFont="1" applyBorder="1" applyAlignment="1" applyProtection="1">
      <alignment vertical="center"/>
      <protection locked="0" hidden="1"/>
    </xf>
    <xf numFmtId="0" fontId="36" fillId="0" borderId="111" xfId="2" applyFont="1" applyBorder="1" applyAlignment="1" applyProtection="1">
      <alignment horizontal="left" vertical="center"/>
      <protection locked="0" hidden="1"/>
    </xf>
    <xf numFmtId="169" fontId="35" fillId="0" borderId="143" xfId="2" applyNumberFormat="1" applyFont="1" applyBorder="1" applyAlignment="1" applyProtection="1">
      <alignment vertical="center"/>
      <protection locked="0" hidden="1"/>
    </xf>
    <xf numFmtId="169" fontId="249" fillId="0" borderId="15" xfId="2" applyNumberFormat="1" applyFont="1" applyBorder="1" applyAlignment="1" applyProtection="1">
      <alignment vertical="center"/>
      <protection locked="0" hidden="1"/>
    </xf>
    <xf numFmtId="3" fontId="171" fillId="0" borderId="221" xfId="2" applyNumberFormat="1" applyFont="1" applyBorder="1" applyAlignment="1" applyProtection="1">
      <alignment vertical="center"/>
      <protection locked="0" hidden="1"/>
    </xf>
    <xf numFmtId="169" fontId="170" fillId="0" borderId="240" xfId="2" applyNumberFormat="1" applyFont="1" applyBorder="1" applyAlignment="1" applyProtection="1">
      <alignment vertical="center"/>
      <protection locked="0" hidden="1"/>
    </xf>
    <xf numFmtId="0" fontId="126" fillId="0" borderId="111" xfId="2" applyFont="1" applyBorder="1" applyAlignment="1" applyProtection="1">
      <alignment vertical="center"/>
      <protection locked="0" hidden="1"/>
    </xf>
    <xf numFmtId="0" fontId="51" fillId="0" borderId="0" xfId="2" applyFont="1" applyBorder="1" applyAlignment="1" applyProtection="1">
      <alignment vertical="center"/>
      <protection locked="0" hidden="1"/>
    </xf>
    <xf numFmtId="0" fontId="250" fillId="0" borderId="111" xfId="2" applyFont="1" applyBorder="1" applyAlignment="1" applyProtection="1">
      <alignment vertical="center"/>
      <protection locked="0" hidden="1"/>
    </xf>
    <xf numFmtId="169" fontId="250" fillId="0" borderId="15" xfId="2" applyNumberFormat="1" applyFont="1" applyBorder="1" applyAlignment="1" applyProtection="1">
      <alignment horizontal="right" vertical="center"/>
      <protection locked="0" hidden="1"/>
    </xf>
    <xf numFmtId="0" fontId="36" fillId="0" borderId="111" xfId="2" applyFont="1" applyBorder="1" applyAlignment="1" applyProtection="1">
      <alignment vertical="center"/>
      <protection locked="0" hidden="1"/>
    </xf>
    <xf numFmtId="0" fontId="229" fillId="0" borderId="0" xfId="2" applyFont="1" applyBorder="1" applyAlignment="1" applyProtection="1">
      <alignment vertical="center"/>
      <protection locked="0" hidden="1"/>
    </xf>
    <xf numFmtId="169" fontId="251" fillId="0" borderId="15" xfId="2" applyNumberFormat="1" applyFont="1" applyBorder="1" applyAlignment="1" applyProtection="1">
      <alignment horizontal="right" vertical="center"/>
      <protection locked="0" hidden="1"/>
    </xf>
    <xf numFmtId="3" fontId="250" fillId="0" borderId="111" xfId="2" applyNumberFormat="1" applyFont="1" applyBorder="1" applyAlignment="1" applyProtection="1">
      <alignment horizontal="left" vertical="center"/>
      <protection locked="0" hidden="1"/>
    </xf>
    <xf numFmtId="3" fontId="250" fillId="0" borderId="15" xfId="2" applyNumberFormat="1" applyFont="1" applyBorder="1" applyAlignment="1" applyProtection="1">
      <alignment horizontal="left" vertical="center"/>
      <protection locked="0" hidden="1"/>
    </xf>
    <xf numFmtId="169" fontId="36" fillId="0" borderId="143" xfId="2" applyNumberFormat="1" applyFont="1" applyBorder="1" applyAlignment="1" applyProtection="1">
      <alignment vertical="center"/>
      <protection locked="0" hidden="1"/>
    </xf>
    <xf numFmtId="0" fontId="139" fillId="0" borderId="111" xfId="2" applyFont="1" applyBorder="1" applyAlignment="1" applyProtection="1">
      <alignment vertical="center"/>
      <protection locked="0" hidden="1"/>
    </xf>
    <xf numFmtId="0" fontId="139" fillId="0" borderId="15" xfId="2" applyFont="1" applyBorder="1" applyAlignment="1" applyProtection="1">
      <alignment vertical="center"/>
      <protection locked="0" hidden="1"/>
    </xf>
    <xf numFmtId="3" fontId="171" fillId="0" borderId="236" xfId="2" applyNumberFormat="1" applyFont="1" applyBorder="1" applyAlignment="1" applyProtection="1">
      <alignment vertical="center"/>
      <protection locked="0" hidden="1"/>
    </xf>
    <xf numFmtId="169" fontId="170" fillId="0" borderId="209" xfId="2" applyNumberFormat="1" applyFont="1" applyBorder="1" applyAlignment="1" applyProtection="1">
      <alignment vertical="center"/>
      <protection locked="0" hidden="1"/>
    </xf>
    <xf numFmtId="0" fontId="67" fillId="0" borderId="15" xfId="2" applyFont="1" applyBorder="1" applyAlignment="1" applyProtection="1">
      <alignment vertical="center"/>
      <protection locked="0" hidden="1"/>
    </xf>
    <xf numFmtId="3" fontId="171" fillId="0" borderId="228" xfId="2" applyNumberFormat="1" applyFont="1" applyBorder="1" applyAlignment="1" applyProtection="1">
      <alignment vertical="center"/>
      <protection locked="0" hidden="1"/>
    </xf>
    <xf numFmtId="169" fontId="139" fillId="0" borderId="210" xfId="2" applyNumberFormat="1" applyFont="1" applyBorder="1" applyAlignment="1" applyProtection="1">
      <alignment vertical="center"/>
      <protection locked="0" hidden="1"/>
    </xf>
    <xf numFmtId="0" fontId="229" fillId="0" borderId="15" xfId="2" applyFont="1" applyBorder="1" applyAlignment="1" applyProtection="1">
      <alignment vertical="center"/>
      <protection locked="0" hidden="1"/>
    </xf>
    <xf numFmtId="169" fontId="252" fillId="18" borderId="0" xfId="0" applyNumberFormat="1" applyFont="1" applyFill="1" applyAlignment="1"/>
    <xf numFmtId="3" fontId="171" fillId="0" borderId="237" xfId="2" applyNumberFormat="1" applyFont="1" applyBorder="1" applyAlignment="1" applyProtection="1">
      <alignment vertical="center"/>
      <protection locked="0" hidden="1"/>
    </xf>
    <xf numFmtId="169" fontId="35" fillId="0" borderId="212" xfId="2" applyNumberFormat="1" applyFont="1" applyBorder="1" applyAlignment="1" applyProtection="1">
      <alignment horizontal="right" vertical="center"/>
      <protection locked="0" hidden="1"/>
    </xf>
    <xf numFmtId="169" fontId="171" fillId="0" borderId="15" xfId="2" applyNumberFormat="1" applyFont="1" applyBorder="1" applyAlignment="1" applyProtection="1">
      <alignment vertical="center"/>
      <protection locked="0" hidden="1"/>
    </xf>
    <xf numFmtId="3" fontId="67" fillId="0" borderId="0" xfId="2" applyNumberFormat="1" applyFont="1" applyBorder="1" applyAlignment="1" applyProtection="1">
      <alignment horizontal="right" vertical="center"/>
      <protection locked="0" hidden="1"/>
    </xf>
    <xf numFmtId="3" fontId="207" fillId="0" borderId="15" xfId="2" applyNumberFormat="1" applyFont="1" applyBorder="1" applyAlignment="1" applyProtection="1">
      <alignment vertical="center"/>
      <protection locked="0" hidden="1"/>
    </xf>
    <xf numFmtId="0" fontId="170" fillId="0" borderId="111" xfId="2" applyFont="1" applyBorder="1" applyAlignment="1" applyProtection="1">
      <alignment vertical="center"/>
      <protection locked="0" hidden="1"/>
    </xf>
    <xf numFmtId="0" fontId="170" fillId="0" borderId="15" xfId="2" applyFont="1" applyBorder="1" applyAlignment="1" applyProtection="1">
      <alignment vertical="center"/>
      <protection locked="0" hidden="1"/>
    </xf>
    <xf numFmtId="3" fontId="207" fillId="0" borderId="15" xfId="2" applyNumberFormat="1" applyFont="1" applyBorder="1" applyAlignment="1" applyProtection="1">
      <alignment horizontal="right" vertical="center"/>
      <protection locked="0" hidden="1"/>
    </xf>
    <xf numFmtId="0" fontId="35" fillId="0" borderId="142" xfId="2" applyFont="1" applyBorder="1" applyAlignment="1" applyProtection="1">
      <alignment horizontal="right" vertical="center"/>
      <protection locked="0" hidden="1"/>
    </xf>
    <xf numFmtId="0" fontId="169" fillId="0" borderId="0" xfId="2" applyFont="1" applyAlignment="1" applyProtection="1">
      <protection locked="0" hidden="1"/>
    </xf>
    <xf numFmtId="0" fontId="230" fillId="0" borderId="0" xfId="2" applyFont="1" applyBorder="1" applyAlignment="1" applyProtection="1">
      <alignment vertical="center"/>
      <protection locked="0" hidden="1"/>
    </xf>
    <xf numFmtId="169" fontId="230" fillId="0" borderId="143" xfId="2" applyNumberFormat="1" applyFont="1" applyBorder="1" applyAlignment="1" applyProtection="1">
      <alignment vertical="center"/>
      <protection locked="0" hidden="1"/>
    </xf>
    <xf numFmtId="0" fontId="35" fillId="0" borderId="111" xfId="2" applyFont="1" applyBorder="1" applyAlignment="1" applyProtection="1">
      <alignment horizontal="right" vertical="center"/>
      <protection locked="0" hidden="1"/>
    </xf>
    <xf numFmtId="0" fontId="166" fillId="0" borderId="0" xfId="2" applyFont="1" applyBorder="1" applyAlignment="1" applyProtection="1">
      <alignment vertical="center"/>
      <protection locked="0" hidden="1"/>
    </xf>
    <xf numFmtId="3" fontId="154" fillId="0" borderId="111" xfId="2" applyNumberFormat="1" applyFont="1" applyBorder="1" applyAlignment="1" applyProtection="1">
      <alignment horizontal="center" vertical="center"/>
      <protection locked="0" hidden="1"/>
    </xf>
    <xf numFmtId="3" fontId="36" fillId="0" borderId="0" xfId="2" applyNumberFormat="1" applyFont="1" applyBorder="1" applyAlignment="1" applyProtection="1">
      <alignment vertical="center"/>
      <protection locked="0" hidden="1"/>
    </xf>
    <xf numFmtId="0" fontId="36" fillId="0" borderId="0" xfId="2" applyFont="1" applyAlignment="1" applyProtection="1">
      <protection locked="0" hidden="1"/>
    </xf>
    <xf numFmtId="3" fontId="139" fillId="0" borderId="197" xfId="2" applyNumberFormat="1" applyFont="1" applyBorder="1" applyAlignment="1" applyProtection="1">
      <alignment vertical="center"/>
      <protection locked="0" hidden="1"/>
    </xf>
    <xf numFmtId="169" fontId="139" fillId="0" borderId="239" xfId="2" applyNumberFormat="1" applyFont="1" applyBorder="1" applyAlignment="1" applyProtection="1">
      <alignment vertical="center"/>
      <protection locked="0" hidden="1"/>
    </xf>
    <xf numFmtId="3" fontId="139" fillId="0" borderId="228" xfId="2" applyNumberFormat="1" applyFont="1" applyBorder="1" applyAlignment="1" applyProtection="1">
      <alignment vertical="center"/>
      <protection locked="0" hidden="1"/>
    </xf>
    <xf numFmtId="169" fontId="246" fillId="0" borderId="195" xfId="2" applyNumberFormat="1" applyFont="1" applyBorder="1" applyAlignment="1" applyProtection="1">
      <alignment vertical="center"/>
      <protection locked="0" hidden="1"/>
    </xf>
    <xf numFmtId="0" fontId="253" fillId="18" borderId="0" xfId="0" applyFont="1" applyFill="1" applyAlignment="1"/>
    <xf numFmtId="3" fontId="36" fillId="0" borderId="111" xfId="2" applyNumberFormat="1" applyFont="1" applyBorder="1" applyAlignment="1" applyProtection="1">
      <alignment horizontal="center" vertical="center"/>
      <protection locked="0" hidden="1"/>
    </xf>
    <xf numFmtId="3" fontId="36" fillId="0" borderId="134" xfId="2" applyNumberFormat="1" applyFont="1" applyBorder="1" applyAlignment="1" applyProtection="1">
      <alignment horizontal="center" vertical="center"/>
      <protection locked="0" hidden="1"/>
    </xf>
    <xf numFmtId="3" fontId="36" fillId="0" borderId="0" xfId="2" applyNumberFormat="1" applyFont="1" applyBorder="1" applyAlignment="1" applyProtection="1">
      <alignment horizontal="left" vertical="center"/>
      <protection locked="0" hidden="1"/>
    </xf>
    <xf numFmtId="169" fontId="139" fillId="0" borderId="0" xfId="2" applyNumberFormat="1" applyFont="1" applyBorder="1" applyAlignment="1" applyProtection="1">
      <alignment vertical="center"/>
      <protection locked="0" hidden="1"/>
    </xf>
    <xf numFmtId="169" fontId="246" fillId="0" borderId="199" xfId="2" applyNumberFormat="1" applyFont="1" applyBorder="1" applyAlignment="1" applyProtection="1">
      <alignment vertical="center"/>
      <protection locked="0" hidden="1"/>
    </xf>
    <xf numFmtId="3" fontId="254" fillId="0" borderId="111" xfId="2" applyNumberFormat="1" applyFont="1" applyBorder="1" applyAlignment="1" applyProtection="1">
      <alignment horizontal="right" vertical="center"/>
      <protection locked="0" hidden="1"/>
    </xf>
    <xf numFmtId="3" fontId="139" fillId="0" borderId="215" xfId="2" applyNumberFormat="1" applyFont="1" applyBorder="1" applyAlignment="1" applyProtection="1">
      <alignment vertical="center"/>
      <protection locked="0" hidden="1"/>
    </xf>
    <xf numFmtId="169" fontId="139" fillId="0" borderId="118" xfId="2" applyNumberFormat="1" applyFont="1" applyBorder="1" applyAlignment="1" applyProtection="1">
      <alignment vertical="center"/>
      <protection locked="0" hidden="1"/>
    </xf>
    <xf numFmtId="3" fontId="139" fillId="0" borderId="116" xfId="2" applyNumberFormat="1" applyFont="1" applyBorder="1" applyAlignment="1" applyProtection="1">
      <alignment vertical="center"/>
      <protection locked="0" hidden="1"/>
    </xf>
    <xf numFmtId="169" fontId="246" fillId="0" borderId="214" xfId="2" applyNumberFormat="1" applyFont="1" applyBorder="1" applyAlignment="1" applyProtection="1">
      <alignment vertical="center"/>
      <protection locked="0" hidden="1"/>
    </xf>
    <xf numFmtId="3" fontId="171" fillId="0" borderId="116" xfId="2" applyNumberFormat="1" applyFont="1" applyBorder="1" applyAlignment="1" applyProtection="1">
      <alignment vertical="center"/>
      <protection locked="0" hidden="1"/>
    </xf>
    <xf numFmtId="169" fontId="35" fillId="0" borderId="182" xfId="2" applyNumberFormat="1" applyFont="1" applyBorder="1" applyAlignment="1" applyProtection="1">
      <alignment horizontal="center" vertical="center"/>
      <protection locked="0" hidden="1"/>
    </xf>
    <xf numFmtId="3" fontId="256" fillId="0" borderId="0" xfId="2" applyNumberFormat="1" applyFont="1" applyBorder="1" applyAlignment="1" applyProtection="1">
      <alignment vertical="center"/>
      <protection locked="0" hidden="1"/>
    </xf>
    <xf numFmtId="3" fontId="139" fillId="0" borderId="109" xfId="2" applyNumberFormat="1" applyFont="1" applyBorder="1" applyAlignment="1" applyProtection="1">
      <alignment vertical="center"/>
      <protection locked="0" hidden="1"/>
    </xf>
    <xf numFmtId="169" fontId="126" fillId="0" borderId="184" xfId="2" applyNumberFormat="1" applyFont="1" applyBorder="1" applyAlignment="1" applyProtection="1">
      <alignment vertical="center"/>
      <protection locked="0" hidden="1"/>
    </xf>
    <xf numFmtId="3" fontId="171" fillId="0" borderId="111" xfId="2" applyNumberFormat="1" applyFont="1" applyBorder="1" applyAlignment="1" applyProtection="1">
      <alignment horizontal="right" vertical="center"/>
      <protection locked="0" hidden="1"/>
    </xf>
    <xf numFmtId="3" fontId="35" fillId="0" borderId="0" xfId="2" applyNumberFormat="1" applyFont="1" applyBorder="1" applyAlignment="1" applyProtection="1">
      <alignment horizontal="center" vertical="center"/>
      <protection locked="0" hidden="1"/>
    </xf>
    <xf numFmtId="3" fontId="35" fillId="0" borderId="15" xfId="2" applyNumberFormat="1" applyFont="1" applyBorder="1" applyAlignment="1" applyProtection="1">
      <alignment horizontal="center" vertical="center"/>
      <protection locked="0" hidden="1"/>
    </xf>
    <xf numFmtId="3" fontId="139" fillId="0" borderId="111" xfId="2" applyNumberFormat="1" applyFont="1" applyBorder="1" applyAlignment="1" applyProtection="1">
      <alignment vertical="center"/>
      <protection locked="0" hidden="1"/>
    </xf>
    <xf numFmtId="169" fontId="126" fillId="0" borderId="143" xfId="2" applyNumberFormat="1" applyFont="1" applyBorder="1" applyAlignment="1" applyProtection="1">
      <alignment vertical="center"/>
      <protection locked="0" hidden="1"/>
    </xf>
    <xf numFmtId="0" fontId="126" fillId="0" borderId="144" xfId="2" applyFont="1" applyBorder="1" applyAlignment="1" applyProtection="1">
      <alignment vertical="center"/>
      <protection locked="0" hidden="1"/>
    </xf>
    <xf numFmtId="0" fontId="139" fillId="0" borderId="241" xfId="2" applyFont="1" applyBorder="1" applyAlignment="1" applyProtection="1">
      <alignment vertical="center"/>
      <protection locked="0" hidden="1"/>
    </xf>
    <xf numFmtId="0" fontId="139" fillId="0" borderId="145" xfId="2" applyFont="1" applyBorder="1" applyAlignment="1" applyProtection="1">
      <alignment vertical="center"/>
      <protection locked="0" hidden="1"/>
    </xf>
    <xf numFmtId="3" fontId="139" fillId="0" borderId="241" xfId="2" applyNumberFormat="1" applyFont="1" applyBorder="1" applyAlignment="1" applyProtection="1">
      <alignment vertical="center"/>
      <protection locked="0" hidden="1"/>
    </xf>
    <xf numFmtId="169" fontId="126" fillId="0" borderId="146" xfId="2" applyNumberFormat="1" applyFont="1" applyBorder="1" applyAlignment="1" applyProtection="1">
      <alignment vertical="center"/>
      <protection locked="0" hidden="1"/>
    </xf>
    <xf numFmtId="0" fontId="23" fillId="0" borderId="0" xfId="0" applyFont="1" applyAlignment="1"/>
    <xf numFmtId="0" fontId="158" fillId="67" borderId="0" xfId="2" applyFill="1" applyAlignment="1" applyProtection="1"/>
    <xf numFmtId="0" fontId="169" fillId="0" borderId="178" xfId="2" applyFont="1" applyFill="1" applyBorder="1" applyAlignment="1" applyProtection="1"/>
    <xf numFmtId="0" fontId="169" fillId="0" borderId="140" xfId="2" applyFont="1" applyFill="1" applyBorder="1" applyAlignment="1" applyProtection="1"/>
    <xf numFmtId="0" fontId="126" fillId="0" borderId="140" xfId="2" applyFont="1" applyFill="1" applyBorder="1" applyAlignment="1" applyProtection="1"/>
    <xf numFmtId="0" fontId="169" fillId="0" borderId="243" xfId="2" applyFont="1" applyFill="1" applyBorder="1" applyAlignment="1" applyProtection="1"/>
    <xf numFmtId="0" fontId="169" fillId="0" borderId="141" xfId="2" applyFont="1" applyFill="1" applyBorder="1" applyAlignment="1" applyProtection="1"/>
    <xf numFmtId="0" fontId="169" fillId="0" borderId="244" xfId="2" applyFont="1" applyFill="1" applyBorder="1" applyAlignment="1" applyProtection="1"/>
    <xf numFmtId="0" fontId="169" fillId="0" borderId="0" xfId="2" applyFont="1" applyFill="1" applyBorder="1" applyAlignment="1" applyProtection="1"/>
    <xf numFmtId="0" fontId="36" fillId="0" borderId="0" xfId="2" applyFont="1" applyFill="1" applyBorder="1" applyAlignment="1" applyProtection="1"/>
    <xf numFmtId="0" fontId="169" fillId="0" borderId="245" xfId="2" applyFont="1" applyFill="1" applyBorder="1" applyAlignment="1" applyProtection="1">
      <protection locked="0" hidden="1"/>
    </xf>
    <xf numFmtId="0" fontId="169" fillId="0" borderId="0" xfId="2" applyFont="1" applyFill="1" applyBorder="1" applyAlignment="1" applyProtection="1">
      <protection locked="0" hidden="1"/>
    </xf>
    <xf numFmtId="0" fontId="169" fillId="0" borderId="143" xfId="2" applyFont="1" applyFill="1" applyBorder="1" applyAlignment="1" applyProtection="1">
      <protection locked="0" hidden="1"/>
    </xf>
    <xf numFmtId="0" fontId="169" fillId="0" borderId="245" xfId="2" applyFont="1" applyFill="1" applyBorder="1" applyAlignment="1" applyProtection="1">
      <alignment horizontal="right"/>
      <protection locked="0" hidden="1"/>
    </xf>
    <xf numFmtId="174" fontId="169" fillId="0" borderId="246" xfId="2" applyNumberFormat="1" applyFont="1" applyFill="1" applyBorder="1" applyAlignment="1" applyProtection="1">
      <protection locked="0" hidden="1"/>
    </xf>
    <xf numFmtId="174" fontId="169" fillId="0" borderId="143" xfId="2" applyNumberFormat="1" applyFont="1" applyFill="1" applyBorder="1" applyAlignment="1" applyProtection="1">
      <protection locked="0" hidden="1"/>
    </xf>
    <xf numFmtId="0" fontId="170" fillId="0" borderId="244" xfId="2" applyFont="1" applyFill="1" applyBorder="1" applyAlignment="1" applyProtection="1">
      <alignment horizontal="right"/>
      <protection locked="0" hidden="1"/>
    </xf>
    <xf numFmtId="0" fontId="35" fillId="0" borderId="0" xfId="2" applyFont="1" applyFill="1" applyBorder="1" applyAlignment="1" applyProtection="1">
      <alignment horizontal="center"/>
      <protection locked="0" hidden="1"/>
    </xf>
    <xf numFmtId="0" fontId="170" fillId="0" borderId="245" xfId="2" applyFont="1" applyFill="1" applyBorder="1" applyAlignment="1" applyProtection="1">
      <alignment horizontal="center"/>
      <protection locked="0" hidden="1"/>
    </xf>
    <xf numFmtId="0" fontId="154" fillId="0" borderId="0" xfId="2" applyFont="1" applyFill="1" applyBorder="1" applyAlignment="1" applyProtection="1">
      <protection locked="0" hidden="1"/>
    </xf>
    <xf numFmtId="169" fontId="154" fillId="0" borderId="143" xfId="2" applyNumberFormat="1" applyFont="1" applyFill="1" applyBorder="1" applyAlignment="1" applyProtection="1">
      <protection locked="0" hidden="1"/>
    </xf>
    <xf numFmtId="0" fontId="170" fillId="0" borderId="244" xfId="2" applyFont="1" applyBorder="1" applyAlignment="1" applyProtection="1">
      <alignment horizontal="center"/>
      <protection locked="0" hidden="1"/>
    </xf>
    <xf numFmtId="0" fontId="35" fillId="0" borderId="0" xfId="2" applyFont="1" applyBorder="1" applyAlignment="1" applyProtection="1">
      <alignment horizontal="center" vertical="top"/>
      <protection locked="0" hidden="1"/>
    </xf>
    <xf numFmtId="0" fontId="35" fillId="0" borderId="247" xfId="2" applyFont="1" applyBorder="1" applyAlignment="1" applyProtection="1">
      <alignment horizontal="center" vertical="top"/>
      <protection locked="0" hidden="1"/>
    </xf>
    <xf numFmtId="0" fontId="154" fillId="0" borderId="0" xfId="2" applyFont="1" applyBorder="1" applyAlignment="1" applyProtection="1">
      <protection locked="0" hidden="1"/>
    </xf>
    <xf numFmtId="169" fontId="154" fillId="0" borderId="143" xfId="2" applyNumberFormat="1" applyFont="1" applyBorder="1" applyAlignment="1" applyProtection="1">
      <protection locked="0" hidden="1"/>
    </xf>
    <xf numFmtId="0" fontId="154" fillId="0" borderId="244" xfId="2" applyFont="1" applyBorder="1" applyAlignment="1" applyProtection="1">
      <protection locked="0" hidden="1"/>
    </xf>
    <xf numFmtId="0" fontId="36" fillId="0" borderId="248" xfId="2" applyFont="1" applyBorder="1" applyAlignment="1" applyProtection="1">
      <alignment horizontal="right"/>
      <protection locked="0" hidden="1"/>
    </xf>
    <xf numFmtId="169" fontId="35" fillId="0" borderId="249" xfId="2" applyNumberFormat="1" applyFont="1" applyBorder="1" applyAlignment="1" applyProtection="1">
      <protection locked="0" hidden="1"/>
    </xf>
    <xf numFmtId="169" fontId="35" fillId="0" borderId="249" xfId="2" applyNumberFormat="1" applyFont="1" applyBorder="1" applyAlignment="1" applyProtection="1">
      <alignment horizontal="right"/>
      <protection locked="0" hidden="1"/>
    </xf>
    <xf numFmtId="169" fontId="35" fillId="0" borderId="249" xfId="2" applyNumberFormat="1" applyFont="1" applyBorder="1" applyAlignment="1" applyProtection="1">
      <alignment horizontal="center"/>
      <protection locked="0" hidden="1"/>
    </xf>
    <xf numFmtId="0" fontId="257" fillId="0" borderId="0" xfId="2" applyFont="1" applyBorder="1" applyAlignment="1" applyProtection="1">
      <alignment horizontal="left" vertical="center"/>
      <protection locked="0" hidden="1"/>
    </xf>
    <xf numFmtId="169" fontId="35" fillId="0" borderId="248" xfId="2" applyNumberFormat="1" applyFont="1" applyBorder="1" applyAlignment="1" applyProtection="1">
      <alignment horizontal="right"/>
      <protection locked="0" hidden="1"/>
    </xf>
    <xf numFmtId="169" fontId="35" fillId="0" borderId="248" xfId="2" applyNumberFormat="1" applyFont="1" applyBorder="1" applyAlignment="1" applyProtection="1">
      <alignment horizontal="center"/>
      <protection locked="0" hidden="1"/>
    </xf>
    <xf numFmtId="0" fontId="171" fillId="0" borderId="0" xfId="2" applyFont="1" applyBorder="1" applyAlignment="1" applyProtection="1">
      <protection locked="0" hidden="1"/>
    </xf>
    <xf numFmtId="0" fontId="36" fillId="0" borderId="250" xfId="2" applyFont="1" applyBorder="1" applyAlignment="1" applyProtection="1">
      <alignment vertical="center"/>
      <protection locked="0" hidden="1"/>
    </xf>
    <xf numFmtId="169" fontId="257" fillId="0" borderId="210" xfId="2" applyNumberFormat="1" applyFont="1" applyBorder="1" applyAlignment="1" applyProtection="1">
      <alignment vertical="center"/>
      <protection locked="0" hidden="1"/>
    </xf>
    <xf numFmtId="0" fontId="158" fillId="0" borderId="0" xfId="2" applyAlignment="1" applyProtection="1">
      <alignment horizontal="left" vertical="center"/>
    </xf>
    <xf numFmtId="0" fontId="158" fillId="18" borderId="0" xfId="2" applyFill="1" applyAlignment="1" applyProtection="1">
      <alignment horizontal="left" vertical="center"/>
    </xf>
    <xf numFmtId="0" fontId="170" fillId="0" borderId="244" xfId="2" applyFont="1" applyBorder="1" applyAlignment="1" applyProtection="1">
      <alignment horizontal="left" vertical="center"/>
      <protection locked="0" hidden="1"/>
    </xf>
    <xf numFmtId="0" fontId="170" fillId="0" borderId="0" xfId="2" applyFont="1" applyBorder="1" applyAlignment="1" applyProtection="1">
      <alignment horizontal="left" vertical="center"/>
      <protection locked="0" hidden="1"/>
    </xf>
    <xf numFmtId="0" fontId="230" fillId="0" borderId="0" xfId="2" applyFont="1" applyBorder="1" applyAlignment="1" applyProtection="1">
      <alignment horizontal="left" vertical="center"/>
      <protection locked="0" hidden="1"/>
    </xf>
    <xf numFmtId="0" fontId="230" fillId="0" borderId="248" xfId="2" applyFont="1" applyBorder="1" applyAlignment="1" applyProtection="1">
      <alignment horizontal="left" vertical="center"/>
      <protection locked="0" hidden="1"/>
    </xf>
    <xf numFmtId="0" fontId="36" fillId="0" borderId="246" xfId="2" applyFont="1" applyBorder="1" applyAlignment="1" applyProtection="1">
      <alignment horizontal="left" vertical="center"/>
      <protection locked="0" hidden="1"/>
    </xf>
    <xf numFmtId="169" fontId="142" fillId="0" borderId="143" xfId="2" applyNumberFormat="1" applyFont="1" applyBorder="1" applyAlignment="1" applyProtection="1">
      <alignment horizontal="left" vertical="center"/>
      <protection locked="0" hidden="1"/>
    </xf>
    <xf numFmtId="0" fontId="158" fillId="67" borderId="0" xfId="2" applyFill="1" applyAlignment="1" applyProtection="1">
      <alignment horizontal="left" vertical="center"/>
    </xf>
    <xf numFmtId="0" fontId="35" fillId="0" borderId="244" xfId="2" applyFont="1" applyBorder="1" applyAlignment="1" applyProtection="1">
      <alignment horizontal="center"/>
      <protection locked="0" hidden="1"/>
    </xf>
    <xf numFmtId="0" fontId="230" fillId="0" borderId="0" xfId="2" applyFont="1" applyBorder="1" applyAlignment="1" applyProtection="1">
      <protection locked="0" hidden="1"/>
    </xf>
    <xf numFmtId="0" fontId="230" fillId="0" borderId="248" xfId="2" applyFont="1" applyBorder="1" applyAlignment="1" applyProtection="1">
      <protection locked="0" hidden="1"/>
    </xf>
    <xf numFmtId="169" fontId="35" fillId="0" borderId="143" xfId="2" applyNumberFormat="1" applyFont="1" applyBorder="1" applyAlignment="1" applyProtection="1">
      <protection locked="0" hidden="1"/>
    </xf>
    <xf numFmtId="0" fontId="35" fillId="0" borderId="0" xfId="2" applyFont="1" applyBorder="1" applyAlignment="1" applyProtection="1">
      <alignment horizontal="left"/>
      <protection locked="0" hidden="1"/>
    </xf>
    <xf numFmtId="0" fontId="36" fillId="0" borderId="250" xfId="2" applyFont="1" applyBorder="1" applyAlignment="1" applyProtection="1">
      <protection locked="0" hidden="1"/>
    </xf>
    <xf numFmtId="169" fontId="142" fillId="0" borderId="210" xfId="2" applyNumberFormat="1" applyFont="1" applyBorder="1" applyAlignment="1" applyProtection="1">
      <alignment horizontal="right"/>
      <protection locked="0" hidden="1"/>
    </xf>
    <xf numFmtId="0" fontId="202" fillId="0" borderId="0" xfId="2" applyFont="1" applyBorder="1" applyAlignment="1" applyProtection="1">
      <alignment horizontal="left"/>
      <protection locked="0" hidden="1"/>
    </xf>
    <xf numFmtId="169" fontId="35" fillId="0" borderId="210" xfId="2" applyNumberFormat="1" applyFont="1" applyBorder="1" applyAlignment="1" applyProtection="1">
      <alignment horizontal="right"/>
      <protection locked="0" hidden="1"/>
    </xf>
    <xf numFmtId="0" fontId="221" fillId="0" borderId="111" xfId="2" applyFont="1" applyBorder="1" applyAlignment="1" applyProtection="1">
      <alignment horizontal="center"/>
      <protection locked="0" hidden="1"/>
    </xf>
    <xf numFmtId="0" fontId="202" fillId="0" borderId="0" xfId="2" applyFont="1" applyBorder="1" applyAlignment="1" applyProtection="1">
      <alignment horizontal="right" vertical="center"/>
      <protection locked="0" hidden="1"/>
    </xf>
    <xf numFmtId="169" fontId="221" fillId="0" borderId="0" xfId="2" applyNumberFormat="1" applyFont="1" applyBorder="1" applyAlignment="1" applyProtection="1">
      <alignment vertical="center"/>
      <protection locked="0" hidden="1"/>
    </xf>
    <xf numFmtId="0" fontId="221" fillId="0" borderId="0" xfId="2" applyFont="1" applyBorder="1" applyAlignment="1" applyProtection="1">
      <protection locked="0" hidden="1"/>
    </xf>
    <xf numFmtId="0" fontId="221" fillId="0" borderId="0" xfId="2" applyFont="1" applyBorder="1" applyAlignment="1" applyProtection="1">
      <alignment horizontal="left"/>
      <protection locked="0" hidden="1"/>
    </xf>
    <xf numFmtId="169" fontId="35" fillId="0" borderId="210" xfId="2" applyNumberFormat="1" applyFont="1" applyBorder="1" applyAlignment="1" applyProtection="1">
      <protection locked="0" hidden="1"/>
    </xf>
    <xf numFmtId="0" fontId="258" fillId="0" borderId="0" xfId="2" applyFont="1" applyFill="1" applyBorder="1" applyAlignment="1" applyProtection="1">
      <alignment horizontal="left"/>
      <protection locked="0" hidden="1"/>
    </xf>
    <xf numFmtId="169" fontId="51" fillId="0" borderId="143" xfId="2" applyNumberFormat="1" applyFont="1" applyBorder="1" applyAlignment="1" applyProtection="1">
      <protection locked="0" hidden="1"/>
    </xf>
    <xf numFmtId="0" fontId="246" fillId="0" borderId="111" xfId="2" applyFont="1" applyBorder="1" applyAlignment="1" applyProtection="1">
      <protection locked="0" hidden="1"/>
    </xf>
    <xf numFmtId="0" fontId="246" fillId="0" borderId="0" xfId="2" applyFont="1" applyBorder="1" applyAlignment="1" applyProtection="1">
      <protection locked="0" hidden="1"/>
    </xf>
    <xf numFmtId="0" fontId="246" fillId="0" borderId="0" xfId="2" applyFont="1" applyBorder="1" applyAlignment="1" applyProtection="1">
      <alignment horizontal="left"/>
      <protection locked="0" hidden="1"/>
    </xf>
    <xf numFmtId="169" fontId="170" fillId="0" borderId="210" xfId="2" applyNumberFormat="1" applyFont="1" applyBorder="1" applyAlignment="1" applyProtection="1">
      <alignment horizontal="right"/>
      <protection locked="0" hidden="1"/>
    </xf>
    <xf numFmtId="0" fontId="35" fillId="0" borderId="111" xfId="2" applyFont="1" applyBorder="1" applyAlignment="1" applyProtection="1">
      <alignment vertical="center"/>
      <protection locked="0" hidden="1"/>
    </xf>
    <xf numFmtId="0" fontId="35" fillId="0" borderId="0" xfId="2" applyFont="1" applyBorder="1" applyAlignment="1" applyProtection="1">
      <alignment vertical="center"/>
      <protection locked="0" hidden="1"/>
    </xf>
    <xf numFmtId="0" fontId="35" fillId="0" borderId="0" xfId="2" applyFont="1" applyBorder="1" applyAlignment="1" applyProtection="1">
      <alignment horizontal="left" vertical="center"/>
      <protection locked="0" hidden="1"/>
    </xf>
    <xf numFmtId="0" fontId="246" fillId="0" borderId="0" xfId="2" applyFont="1" applyBorder="1" applyAlignment="1" applyProtection="1">
      <alignment horizontal="left"/>
      <protection locked="0" hidden="1"/>
    </xf>
    <xf numFmtId="169" fontId="170" fillId="0" borderId="210" xfId="2" applyNumberFormat="1" applyFont="1" applyBorder="1" applyAlignment="1" applyProtection="1">
      <protection locked="0" hidden="1"/>
    </xf>
    <xf numFmtId="0" fontId="154" fillId="0" borderId="0" xfId="2" applyFont="1" applyBorder="1" applyAlignment="1" applyProtection="1">
      <alignment horizontal="left"/>
      <protection locked="0" hidden="1"/>
    </xf>
    <xf numFmtId="0" fontId="154" fillId="0" borderId="0" xfId="2" applyFont="1" applyBorder="1" applyAlignment="1" applyProtection="1">
      <alignment vertical="center"/>
      <protection locked="0" hidden="1"/>
    </xf>
    <xf numFmtId="0" fontId="35" fillId="0" borderId="174" xfId="2" applyFont="1" applyBorder="1" applyAlignment="1" applyProtection="1">
      <alignment horizontal="center" vertical="center"/>
      <protection locked="0" hidden="1"/>
    </xf>
    <xf numFmtId="0" fontId="230" fillId="0" borderId="118" xfId="2" applyFont="1" applyBorder="1" applyAlignment="1" applyProtection="1">
      <alignment vertical="center"/>
      <protection locked="0" hidden="1"/>
    </xf>
    <xf numFmtId="0" fontId="230" fillId="0" borderId="251" xfId="2" applyFont="1" applyBorder="1" applyAlignment="1" applyProtection="1">
      <alignment vertical="center"/>
      <protection locked="0" hidden="1"/>
    </xf>
    <xf numFmtId="0" fontId="36" fillId="0" borderId="118" xfId="2" applyFont="1" applyBorder="1" applyAlignment="1" applyProtection="1">
      <alignment vertical="center"/>
      <protection locked="0" hidden="1"/>
    </xf>
    <xf numFmtId="169" fontId="142" fillId="0" borderId="182" xfId="2" applyNumberFormat="1" applyFont="1" applyBorder="1" applyAlignment="1" applyProtection="1">
      <alignment horizontal="right" vertical="center"/>
      <protection locked="0" hidden="1"/>
    </xf>
    <xf numFmtId="0" fontId="230" fillId="0" borderId="142" xfId="2" applyFont="1" applyBorder="1" applyAlignment="1" applyProtection="1">
      <protection locked="0" hidden="1"/>
    </xf>
    <xf numFmtId="0" fontId="230" fillId="0" borderId="143" xfId="2" applyFont="1" applyBorder="1" applyAlignment="1" applyProtection="1">
      <protection locked="0" hidden="1"/>
    </xf>
    <xf numFmtId="0" fontId="230" fillId="0" borderId="183" xfId="2" applyFont="1" applyBorder="1" applyAlignment="1" applyProtection="1">
      <alignment horizontal="center"/>
      <protection locked="0" hidden="1"/>
    </xf>
    <xf numFmtId="0" fontId="230" fillId="0" borderId="94" xfId="2" applyFont="1" applyBorder="1" applyAlignment="1" applyProtection="1">
      <alignment horizontal="center"/>
      <protection locked="0" hidden="1"/>
    </xf>
    <xf numFmtId="0" fontId="230" fillId="0" borderId="136" xfId="2" applyFont="1" applyBorder="1" applyAlignment="1" applyProtection="1">
      <alignment horizontal="center"/>
      <protection locked="0" hidden="1"/>
    </xf>
    <xf numFmtId="0" fontId="154" fillId="0" borderId="129" xfId="0" applyFont="1" applyBorder="1" applyAlignment="1" applyProtection="1">
      <alignment horizontal="center" vertical="center"/>
      <protection locked="0" hidden="1"/>
    </xf>
    <xf numFmtId="0" fontId="230" fillId="0" borderId="142" xfId="2" applyFont="1" applyBorder="1" applyAlignment="1" applyProtection="1">
      <alignment horizontal="center"/>
      <protection locked="0" hidden="1"/>
    </xf>
    <xf numFmtId="0" fontId="230" fillId="0" borderId="0" xfId="2" applyFont="1" applyBorder="1" applyAlignment="1" applyProtection="1">
      <alignment horizontal="center"/>
      <protection locked="0" hidden="1"/>
    </xf>
    <xf numFmtId="0" fontId="230" fillId="0" borderId="152" xfId="2" applyFont="1" applyBorder="1" applyAlignment="1" applyProtection="1">
      <alignment horizontal="center"/>
      <protection locked="0" hidden="1"/>
    </xf>
    <xf numFmtId="0" fontId="154" fillId="0" borderId="134" xfId="0" applyFont="1" applyBorder="1" applyAlignment="1" applyProtection="1">
      <alignment horizontal="center" vertical="center"/>
      <protection locked="0" hidden="1"/>
    </xf>
    <xf numFmtId="0" fontId="230" fillId="0" borderId="181" xfId="2" applyFont="1" applyBorder="1" applyAlignment="1" applyProtection="1">
      <protection locked="0" hidden="1"/>
    </xf>
    <xf numFmtId="0" fontId="230" fillId="0" borderId="118" xfId="2" applyFont="1" applyBorder="1" applyAlignment="1" applyProtection="1">
      <alignment horizontal="center"/>
      <protection locked="0" hidden="1"/>
    </xf>
    <xf numFmtId="0" fontId="230" fillId="0" borderId="120" xfId="2" applyFont="1" applyBorder="1" applyAlignment="1" applyProtection="1">
      <alignment horizontal="center"/>
      <protection locked="0" hidden="1"/>
    </xf>
    <xf numFmtId="0" fontId="230" fillId="0" borderId="116" xfId="2" applyFont="1" applyBorder="1" applyAlignment="1" applyProtection="1">
      <alignment horizontal="center"/>
      <protection locked="0" hidden="1"/>
    </xf>
    <xf numFmtId="0" fontId="230" fillId="0" borderId="177" xfId="2" applyFont="1" applyBorder="1" applyAlignment="1" applyProtection="1">
      <protection locked="0" hidden="1"/>
    </xf>
    <xf numFmtId="0" fontId="230" fillId="0" borderId="35" xfId="2" applyFont="1" applyBorder="1" applyAlignment="1" applyProtection="1">
      <alignment horizontal="center"/>
      <protection locked="0" hidden="1"/>
    </xf>
    <xf numFmtId="0" fontId="158" fillId="18" borderId="0" xfId="2" applyNumberFormat="1" applyFill="1" applyAlignment="1" applyProtection="1"/>
    <xf numFmtId="0" fontId="230" fillId="0" borderId="0" xfId="2" applyFont="1" applyBorder="1" applyAlignment="1" applyProtection="1">
      <alignment horizontal="center"/>
      <protection locked="0" hidden="1"/>
    </xf>
    <xf numFmtId="0" fontId="230" fillId="0" borderId="142" xfId="2" applyFont="1" applyBorder="1" applyAlignment="1" applyProtection="1">
      <alignment horizontal="left"/>
      <protection locked="0" hidden="1"/>
    </xf>
    <xf numFmtId="0" fontId="230" fillId="0" borderId="143" xfId="2" applyFont="1" applyBorder="1" applyAlignment="1" applyProtection="1">
      <alignment horizontal="left"/>
      <protection locked="0" hidden="1"/>
    </xf>
    <xf numFmtId="0" fontId="154" fillId="0" borderId="142" xfId="2" applyFont="1" applyBorder="1" applyAlignment="1" applyProtection="1">
      <protection locked="0" hidden="1"/>
    </xf>
    <xf numFmtId="0" fontId="154" fillId="0" borderId="143" xfId="2" applyFont="1" applyBorder="1" applyAlignment="1" applyProtection="1">
      <protection locked="0" hidden="1"/>
    </xf>
    <xf numFmtId="169" fontId="259" fillId="0" borderId="0" xfId="2" applyNumberFormat="1" applyFont="1" applyBorder="1" applyAlignment="1" applyProtection="1">
      <protection locked="0" hidden="1"/>
    </xf>
    <xf numFmtId="0" fontId="259" fillId="0" borderId="0" xfId="2" applyFont="1" applyBorder="1" applyAlignment="1" applyProtection="1">
      <protection locked="0" hidden="1"/>
    </xf>
    <xf numFmtId="0" fontId="35" fillId="0" borderId="0" xfId="2" applyFont="1" applyBorder="1" applyAlignment="1" applyProtection="1">
      <protection locked="0" hidden="1"/>
    </xf>
    <xf numFmtId="0" fontId="35" fillId="0" borderId="0" xfId="2" applyFont="1" applyBorder="1" applyAlignment="1" applyProtection="1">
      <protection locked="0" hidden="1"/>
    </xf>
    <xf numFmtId="0" fontId="154" fillId="0" borderId="143" xfId="2" applyFont="1" applyBorder="1" applyAlignment="1" applyProtection="1">
      <protection locked="0" hidden="1"/>
    </xf>
    <xf numFmtId="0" fontId="260" fillId="0" borderId="0" xfId="2" applyFont="1" applyBorder="1" applyAlignment="1" applyProtection="1">
      <alignment horizontal="left"/>
      <protection locked="0" hidden="1"/>
    </xf>
    <xf numFmtId="0" fontId="35" fillId="0" borderId="0" xfId="2" applyFont="1" applyBorder="1" applyAlignment="1" applyProtection="1">
      <alignment horizontal="left"/>
      <protection locked="0" hidden="1"/>
    </xf>
    <xf numFmtId="169" fontId="246" fillId="0" borderId="0" xfId="2" applyNumberFormat="1" applyFont="1" applyBorder="1" applyAlignment="1" applyProtection="1">
      <protection locked="0" hidden="1"/>
    </xf>
    <xf numFmtId="0" fontId="259" fillId="0" borderId="0" xfId="2" applyFont="1" applyBorder="1" applyAlignment="1" applyProtection="1">
      <alignment horizontal="left"/>
      <protection locked="0" hidden="1"/>
    </xf>
    <xf numFmtId="0" fontId="154" fillId="0" borderId="143" xfId="2" applyFont="1" applyBorder="1" applyAlignment="1" applyProtection="1">
      <alignment horizontal="left"/>
      <protection locked="0" hidden="1"/>
    </xf>
    <xf numFmtId="49" fontId="154" fillId="0" borderId="0" xfId="2" applyNumberFormat="1" applyFont="1" applyBorder="1" applyAlignment="1" applyProtection="1">
      <alignment horizontal="left"/>
      <protection locked="0" hidden="1"/>
    </xf>
    <xf numFmtId="0" fontId="259" fillId="0" borderId="0" xfId="2" applyFont="1" applyBorder="1" applyAlignment="1" applyProtection="1">
      <protection locked="0" hidden="1"/>
    </xf>
    <xf numFmtId="0" fontId="230" fillId="0" borderId="144" xfId="2" applyFont="1" applyBorder="1" applyAlignment="1" applyProtection="1">
      <protection locked="0" hidden="1"/>
    </xf>
    <xf numFmtId="0" fontId="230" fillId="0" borderId="145" xfId="2" applyFont="1" applyBorder="1" applyAlignment="1" applyProtection="1">
      <protection locked="0" hidden="1"/>
    </xf>
    <xf numFmtId="0" fontId="230" fillId="0" borderId="146" xfId="2" applyFont="1" applyBorder="1" applyAlignment="1" applyProtection="1">
      <protection locked="0" hidden="1"/>
    </xf>
    <xf numFmtId="0" fontId="60" fillId="0" borderId="0" xfId="2" applyFont="1" applyAlignment="1" applyProtection="1"/>
    <xf numFmtId="0" fontId="154" fillId="0" borderId="160" xfId="0" applyFont="1" applyFill="1" applyBorder="1" applyAlignment="1"/>
    <xf numFmtId="0" fontId="154" fillId="0" borderId="161" xfId="0" applyFont="1" applyFill="1" applyBorder="1" applyAlignment="1"/>
    <xf numFmtId="0" fontId="154" fillId="0" borderId="162" xfId="0" applyFont="1" applyFill="1" applyBorder="1" applyAlignment="1"/>
    <xf numFmtId="0" fontId="154" fillId="0" borderId="163" xfId="0" applyFont="1" applyFill="1" applyBorder="1" applyAlignment="1" applyProtection="1">
      <protection locked="0" hidden="1"/>
    </xf>
    <xf numFmtId="0" fontId="154" fillId="0" borderId="0" xfId="0" applyFont="1" applyFill="1" applyBorder="1" applyProtection="1">
      <alignment vertical="center"/>
      <protection locked="0" hidden="1"/>
    </xf>
    <xf numFmtId="0" fontId="154" fillId="0" borderId="0" xfId="0" applyFont="1" applyFill="1" applyBorder="1" applyAlignment="1" applyProtection="1">
      <alignment horizontal="left" vertical="center"/>
      <protection locked="0" hidden="1"/>
    </xf>
    <xf numFmtId="0" fontId="260" fillId="0" borderId="0" xfId="0" applyFont="1" applyFill="1" applyBorder="1" applyProtection="1">
      <alignment vertical="center"/>
      <protection locked="0" hidden="1"/>
    </xf>
    <xf numFmtId="0" fontId="260" fillId="0" borderId="164" xfId="0" applyFont="1" applyFill="1" applyBorder="1" applyProtection="1">
      <alignment vertical="center"/>
      <protection locked="0" hidden="1"/>
    </xf>
    <xf numFmtId="0" fontId="154" fillId="0" borderId="0" xfId="0" applyFont="1" applyAlignment="1"/>
    <xf numFmtId="0" fontId="154" fillId="18" borderId="0" xfId="0" applyFont="1" applyFill="1" applyAlignment="1"/>
    <xf numFmtId="3" fontId="154" fillId="0" borderId="0" xfId="0" applyNumberFormat="1" applyFont="1" applyFill="1" applyBorder="1" applyProtection="1">
      <alignment vertical="center"/>
      <protection locked="0" hidden="1"/>
    </xf>
    <xf numFmtId="0" fontId="154" fillId="0" borderId="164" xfId="0" applyFont="1" applyFill="1" applyBorder="1" applyProtection="1">
      <alignment vertical="center"/>
      <protection locked="0" hidden="1"/>
    </xf>
    <xf numFmtId="0" fontId="154" fillId="0" borderId="163" xfId="0" applyFont="1" applyFill="1" applyBorder="1" applyProtection="1">
      <alignment vertical="center"/>
      <protection locked="0" hidden="1"/>
    </xf>
    <xf numFmtId="0" fontId="154" fillId="0" borderId="112" xfId="0" applyFont="1" applyFill="1" applyBorder="1" applyProtection="1">
      <alignment vertical="center"/>
      <protection locked="0" hidden="1"/>
    </xf>
    <xf numFmtId="0" fontId="154" fillId="0" borderId="252" xfId="0" applyFont="1" applyFill="1" applyBorder="1" applyProtection="1">
      <alignment vertical="center"/>
      <protection locked="0" hidden="1"/>
    </xf>
    <xf numFmtId="0" fontId="35" fillId="0" borderId="0" xfId="0" applyFont="1" applyAlignment="1"/>
    <xf numFmtId="0" fontId="35" fillId="18" borderId="0" xfId="0" applyFont="1" applyFill="1" applyAlignment="1"/>
    <xf numFmtId="0" fontId="35" fillId="0" borderId="253" xfId="0" applyFont="1" applyFill="1" applyBorder="1" applyAlignment="1" applyProtection="1">
      <protection locked="0" hidden="1"/>
    </xf>
    <xf numFmtId="0" fontId="154" fillId="0" borderId="256" xfId="0" applyFont="1" applyFill="1" applyBorder="1" applyAlignment="1" applyProtection="1">
      <protection locked="0" hidden="1"/>
    </xf>
    <xf numFmtId="0" fontId="35" fillId="0" borderId="0" xfId="0" applyFont="1" applyFill="1" applyBorder="1" applyProtection="1">
      <alignment vertical="center"/>
      <protection locked="0" hidden="1"/>
    </xf>
    <xf numFmtId="0" fontId="154" fillId="0" borderId="131" xfId="0" applyFont="1" applyFill="1" applyBorder="1" applyProtection="1">
      <alignment vertical="center"/>
      <protection locked="0" hidden="1"/>
    </xf>
    <xf numFmtId="0" fontId="154" fillId="0" borderId="257" xfId="0" applyFont="1" applyFill="1" applyBorder="1" applyAlignment="1" applyProtection="1">
      <protection locked="0" hidden="1"/>
    </xf>
    <xf numFmtId="0" fontId="154" fillId="0" borderId="0" xfId="0" applyFont="1" applyFill="1" applyBorder="1" applyAlignment="1" applyProtection="1">
      <alignment horizontal="right" vertical="center"/>
      <protection locked="0" hidden="1"/>
    </xf>
    <xf numFmtId="0" fontId="154" fillId="0" borderId="0" xfId="0" applyFont="1" applyFill="1" applyBorder="1" applyAlignment="1" applyProtection="1">
      <alignment horizontal="center" vertical="top" wrapText="1"/>
      <protection locked="0" hidden="1"/>
    </xf>
    <xf numFmtId="0" fontId="154" fillId="0" borderId="135" xfId="0" applyFont="1" applyFill="1" applyBorder="1" applyProtection="1">
      <alignment vertical="center"/>
      <protection locked="0" hidden="1"/>
    </xf>
    <xf numFmtId="0" fontId="154" fillId="0" borderId="258" xfId="0" applyFont="1" applyFill="1" applyBorder="1" applyAlignment="1" applyProtection="1">
      <protection locked="0" hidden="1"/>
    </xf>
    <xf numFmtId="0" fontId="154" fillId="0" borderId="112" xfId="0" applyFont="1" applyFill="1" applyBorder="1" applyAlignment="1" applyProtection="1">
      <alignment horizontal="right" vertical="center"/>
      <protection locked="0" hidden="1"/>
    </xf>
    <xf numFmtId="0" fontId="154" fillId="0" borderId="138" xfId="0" applyFont="1" applyFill="1" applyBorder="1" applyProtection="1">
      <alignment vertical="center"/>
      <protection locked="0" hidden="1"/>
    </xf>
    <xf numFmtId="0" fontId="154" fillId="0" borderId="0" xfId="0" applyFont="1" applyFill="1" applyBorder="1" applyAlignment="1" applyProtection="1">
      <alignment horizontal="center" vertical="center"/>
      <protection locked="0" hidden="1"/>
    </xf>
    <xf numFmtId="0" fontId="154" fillId="0" borderId="0" xfId="0" applyFont="1" applyFill="1" applyBorder="1" applyAlignment="1" applyProtection="1">
      <protection locked="0" hidden="1"/>
    </xf>
    <xf numFmtId="0" fontId="154" fillId="0" borderId="257" xfId="0" applyFont="1" applyFill="1" applyBorder="1" applyAlignment="1" applyProtection="1">
      <alignment horizontal="right"/>
      <protection locked="0" hidden="1"/>
    </xf>
    <xf numFmtId="3" fontId="154" fillId="0" borderId="0" xfId="0" applyNumberFormat="1" applyFont="1" applyFill="1" applyBorder="1" applyAlignment="1" applyProtection="1">
      <protection locked="0" hidden="1"/>
    </xf>
    <xf numFmtId="41" fontId="154" fillId="0" borderId="0" xfId="0" applyNumberFormat="1" applyFont="1" applyFill="1" applyBorder="1" applyProtection="1">
      <alignment vertical="center"/>
      <protection locked="0" hidden="1"/>
    </xf>
    <xf numFmtId="41" fontId="260" fillId="0" borderId="0" xfId="0" applyNumberFormat="1" applyFont="1" applyFill="1" applyBorder="1" applyProtection="1">
      <alignment vertical="center"/>
      <protection locked="0" hidden="1"/>
    </xf>
    <xf numFmtId="3" fontId="260" fillId="0" borderId="0" xfId="0" applyNumberFormat="1" applyFont="1" applyFill="1" applyBorder="1" applyProtection="1">
      <alignment vertical="center"/>
      <protection locked="0" hidden="1"/>
    </xf>
    <xf numFmtId="0" fontId="154" fillId="0" borderId="0" xfId="0" applyFont="1" applyFill="1" applyBorder="1" applyAlignment="1" applyProtection="1">
      <alignment vertical="center" wrapText="1"/>
      <protection locked="0" hidden="1"/>
    </xf>
    <xf numFmtId="41" fontId="1" fillId="18" borderId="0" xfId="0" applyNumberFormat="1" applyFont="1" applyFill="1" applyAlignment="1"/>
    <xf numFmtId="0" fontId="230" fillId="0" borderId="0" xfId="0" applyFont="1" applyFill="1" applyBorder="1" applyProtection="1">
      <alignment vertical="center"/>
      <protection locked="0" hidden="1"/>
    </xf>
    <xf numFmtId="0" fontId="230" fillId="0" borderId="0" xfId="0" applyFont="1" applyFill="1" applyBorder="1" applyAlignment="1" applyProtection="1">
      <alignment horizontal="left" vertical="center"/>
      <protection locked="0" hidden="1"/>
    </xf>
    <xf numFmtId="0" fontId="154" fillId="0" borderId="112" xfId="0" applyFont="1" applyFill="1" applyBorder="1" applyAlignment="1" applyProtection="1">
      <alignment horizontal="left" vertical="center"/>
      <protection locked="0" hidden="1"/>
    </xf>
    <xf numFmtId="0" fontId="154" fillId="0" borderId="138" xfId="0" applyFont="1" applyFill="1" applyBorder="1" applyAlignment="1" applyProtection="1">
      <alignment horizontal="left" vertical="center"/>
      <protection locked="0" hidden="1"/>
    </xf>
    <xf numFmtId="41" fontId="154" fillId="0" borderId="137" xfId="0" applyNumberFormat="1" applyFont="1" applyFill="1" applyBorder="1" applyAlignment="1" applyProtection="1">
      <alignment horizontal="center" vertical="center"/>
      <protection locked="0" hidden="1"/>
    </xf>
    <xf numFmtId="0" fontId="154" fillId="0" borderId="112" xfId="0" applyFont="1" applyFill="1" applyBorder="1" applyAlignment="1" applyProtection="1">
      <alignment horizontal="center" vertical="center"/>
      <protection locked="0" hidden="1"/>
    </xf>
    <xf numFmtId="0" fontId="154" fillId="0" borderId="138" xfId="0" applyFont="1" applyFill="1" applyBorder="1" applyAlignment="1" applyProtection="1">
      <alignment horizontal="center" vertical="center"/>
      <protection locked="0" hidden="1"/>
    </xf>
    <xf numFmtId="0" fontId="154" fillId="0" borderId="164" xfId="0" applyFont="1" applyFill="1" applyBorder="1" applyAlignment="1" applyProtection="1">
      <alignment horizontal="left" vertical="center"/>
      <protection locked="0" hidden="1"/>
    </xf>
    <xf numFmtId="0" fontId="154" fillId="0" borderId="259" xfId="0" applyFont="1" applyFill="1" applyBorder="1" applyAlignment="1" applyProtection="1">
      <protection locked="0" hidden="1"/>
    </xf>
    <xf numFmtId="0" fontId="154" fillId="0" borderId="261" xfId="0" applyFont="1" applyFill="1" applyBorder="1" applyAlignment="1" applyProtection="1">
      <protection locked="0" hidden="1"/>
    </xf>
    <xf numFmtId="0" fontId="257" fillId="0" borderId="130" xfId="0" applyFont="1" applyFill="1" applyBorder="1" applyAlignment="1" applyProtection="1">
      <alignment horizontal="right" vertical="center"/>
      <protection locked="0" hidden="1"/>
    </xf>
    <xf numFmtId="0" fontId="257" fillId="0" borderId="130" xfId="0" applyFont="1" applyFill="1" applyBorder="1" applyAlignment="1" applyProtection="1">
      <protection locked="0" hidden="1"/>
    </xf>
    <xf numFmtId="0" fontId="154" fillId="0" borderId="262" xfId="0" applyFont="1" applyFill="1" applyBorder="1" applyAlignment="1" applyProtection="1">
      <protection locked="0" hidden="1"/>
    </xf>
    <xf numFmtId="0" fontId="257" fillId="0" borderId="112" xfId="0" applyFont="1" applyFill="1" applyBorder="1" applyProtection="1">
      <alignment vertical="center"/>
      <protection locked="0" hidden="1"/>
    </xf>
    <xf numFmtId="0" fontId="257" fillId="0" borderId="112" xfId="0" applyFont="1" applyFill="1" applyBorder="1" applyAlignment="1" applyProtection="1">
      <protection locked="0" hidden="1"/>
    </xf>
    <xf numFmtId="0" fontId="257" fillId="0" borderId="252" xfId="0" applyFont="1" applyFill="1" applyBorder="1" applyAlignment="1" applyProtection="1">
      <protection locked="0" hidden="1"/>
    </xf>
    <xf numFmtId="0" fontId="154" fillId="0" borderId="163" xfId="0" applyFont="1" applyFill="1" applyBorder="1" applyAlignment="1"/>
    <xf numFmtId="0" fontId="154" fillId="0" borderId="130" xfId="0" applyFont="1" applyFill="1" applyBorder="1">
      <alignment vertical="center"/>
    </xf>
    <xf numFmtId="0" fontId="154" fillId="0" borderId="0" xfId="0" applyFont="1" applyFill="1" applyBorder="1">
      <alignment vertical="center"/>
    </xf>
    <xf numFmtId="0" fontId="154" fillId="0" borderId="0" xfId="0" applyFont="1" applyFill="1" applyBorder="1" applyAlignment="1"/>
    <xf numFmtId="0" fontId="154" fillId="0" borderId="164" xfId="0" applyFont="1" applyFill="1" applyBorder="1" applyAlignment="1"/>
    <xf numFmtId="0" fontId="154" fillId="0" borderId="165" xfId="0" applyFont="1" applyFill="1" applyBorder="1" applyAlignment="1"/>
    <xf numFmtId="0" fontId="154" fillId="0" borderId="166" xfId="0" applyFont="1" applyFill="1" applyBorder="1">
      <alignment vertical="center"/>
    </xf>
    <xf numFmtId="0" fontId="154" fillId="0" borderId="166" xfId="0" applyFont="1" applyFill="1" applyBorder="1" applyAlignment="1"/>
    <xf numFmtId="0" fontId="154" fillId="0" borderId="167" xfId="0" applyFont="1" applyFill="1" applyBorder="1" applyAlignment="1"/>
    <xf numFmtId="0" fontId="1" fillId="0" borderId="0" xfId="0" applyFont="1" applyAlignment="1">
      <alignment horizontal="center" vertical="center"/>
    </xf>
    <xf numFmtId="0" fontId="1" fillId="0" borderId="0" xfId="0" applyFont="1" applyAlignment="1">
      <alignment horizontal="center"/>
    </xf>
    <xf numFmtId="0" fontId="1" fillId="18" borderId="0" xfId="0" applyFont="1" applyFill="1" applyAlignment="1">
      <alignment horizontal="center" vertical="center"/>
    </xf>
    <xf numFmtId="0" fontId="1" fillId="18" borderId="0" xfId="0" applyFont="1" applyFill="1" applyAlignment="1">
      <alignment horizontal="center"/>
    </xf>
    <xf numFmtId="0" fontId="1" fillId="0" borderId="160" xfId="0" applyFont="1" applyFill="1" applyBorder="1" applyAlignment="1" applyProtection="1">
      <protection locked="0" hidden="1"/>
    </xf>
    <xf numFmtId="0" fontId="1" fillId="0" borderId="161" xfId="0" applyFont="1" applyFill="1" applyBorder="1" applyAlignment="1" applyProtection="1">
      <protection locked="0" hidden="1"/>
    </xf>
    <xf numFmtId="0" fontId="1" fillId="0" borderId="162" xfId="0" applyFont="1" applyFill="1" applyBorder="1" applyAlignment="1" applyProtection="1">
      <protection locked="0" hidden="1"/>
    </xf>
    <xf numFmtId="0" fontId="1" fillId="18" borderId="0" xfId="0" applyFont="1" applyFill="1" applyBorder="1" applyAlignment="1" applyProtection="1">
      <protection locked="0" hidden="1"/>
    </xf>
    <xf numFmtId="0" fontId="1" fillId="18" borderId="0" xfId="0" applyFont="1" applyFill="1" applyBorder="1" applyAlignment="1"/>
    <xf numFmtId="0" fontId="263" fillId="18" borderId="0" xfId="0" applyFont="1" applyFill="1" applyBorder="1" applyAlignment="1" applyProtection="1">
      <alignment horizontal="center" vertical="top"/>
      <protection locked="0" hidden="1"/>
    </xf>
    <xf numFmtId="0" fontId="1" fillId="0" borderId="164" xfId="0" applyFont="1" applyBorder="1" applyAlignment="1" applyProtection="1">
      <alignment horizontal="center" vertical="center"/>
      <protection locked="0" hidden="1"/>
    </xf>
    <xf numFmtId="0" fontId="1" fillId="18" borderId="0" xfId="0" applyFont="1" applyFill="1" applyAlignment="1" applyProtection="1">
      <protection locked="0" hidden="1"/>
    </xf>
    <xf numFmtId="0" fontId="1" fillId="18" borderId="0" xfId="0" applyFont="1" applyFill="1" applyBorder="1" applyAlignment="1" applyProtection="1">
      <alignment horizontal="center" vertical="top"/>
      <protection locked="0" hidden="1"/>
    </xf>
    <xf numFmtId="0" fontId="35" fillId="0" borderId="163" xfId="0" applyFont="1" applyFill="1" applyBorder="1" applyAlignment="1" applyProtection="1">
      <alignment vertical="top"/>
      <protection locked="0" hidden="1"/>
    </xf>
    <xf numFmtId="0" fontId="35" fillId="0" borderId="0" xfId="0" applyFont="1" applyFill="1" applyBorder="1" applyAlignment="1" applyProtection="1">
      <alignment vertical="top"/>
      <protection locked="0" hidden="1"/>
    </xf>
    <xf numFmtId="0" fontId="1" fillId="0" borderId="164" xfId="0" applyFont="1" applyFill="1" applyBorder="1" applyAlignment="1" applyProtection="1">
      <alignment vertical="top"/>
      <protection locked="0" hidden="1"/>
    </xf>
    <xf numFmtId="0" fontId="1" fillId="18" borderId="0" xfId="0" applyFont="1" applyFill="1" applyBorder="1" applyAlignment="1" applyProtection="1">
      <alignment vertical="top"/>
      <protection locked="0" hidden="1"/>
    </xf>
    <xf numFmtId="0" fontId="257" fillId="70" borderId="258" xfId="0" applyFont="1" applyFill="1" applyBorder="1" applyAlignment="1" applyProtection="1">
      <alignment horizontal="left" vertical="center"/>
      <protection locked="0" hidden="1"/>
    </xf>
    <xf numFmtId="41" fontId="257" fillId="0" borderId="266" xfId="4" applyNumberFormat="1" applyFont="1" applyBorder="1" applyAlignment="1" applyProtection="1">
      <alignment horizontal="center" vertical="center"/>
      <protection locked="0" hidden="1"/>
    </xf>
    <xf numFmtId="0" fontId="257" fillId="70" borderId="266" xfId="0" applyFont="1" applyFill="1" applyBorder="1" applyAlignment="1" applyProtection="1">
      <alignment horizontal="left" vertical="center"/>
      <protection locked="0" hidden="1"/>
    </xf>
    <xf numFmtId="0" fontId="257" fillId="70" borderId="256" xfId="0" applyFont="1" applyFill="1" applyBorder="1" applyAlignment="1" applyProtection="1">
      <alignment horizontal="left" vertical="center"/>
      <protection locked="0" hidden="1"/>
    </xf>
    <xf numFmtId="41" fontId="257" fillId="0" borderId="267" xfId="4" applyNumberFormat="1" applyFont="1" applyBorder="1" applyAlignment="1" applyProtection="1">
      <alignment horizontal="center" vertical="center"/>
      <protection locked="0" hidden="1"/>
    </xf>
    <xf numFmtId="0" fontId="257" fillId="70" borderId="267" xfId="0" applyFont="1" applyFill="1" applyBorder="1" applyAlignment="1" applyProtection="1">
      <alignment horizontal="left" vertical="center"/>
      <protection locked="0" hidden="1"/>
    </xf>
    <xf numFmtId="0" fontId="43" fillId="18" borderId="0" xfId="0" applyFont="1" applyFill="1">
      <alignment vertical="center"/>
    </xf>
    <xf numFmtId="0" fontId="257" fillId="70" borderId="253" xfId="0" applyFont="1" applyFill="1" applyBorder="1" applyAlignment="1" applyProtection="1">
      <alignment horizontal="left" vertical="center"/>
      <protection hidden="1"/>
    </xf>
    <xf numFmtId="41" fontId="257" fillId="0" borderId="115" xfId="4" applyNumberFormat="1" applyFont="1" applyBorder="1" applyAlignment="1" applyProtection="1">
      <alignment horizontal="center" vertical="center"/>
      <protection hidden="1"/>
    </xf>
    <xf numFmtId="0" fontId="257" fillId="70" borderId="115" xfId="0" applyFont="1" applyFill="1" applyBorder="1" applyAlignment="1" applyProtection="1">
      <alignment horizontal="left" vertical="center"/>
      <protection hidden="1"/>
    </xf>
    <xf numFmtId="0" fontId="1" fillId="0" borderId="164" xfId="0" applyFont="1" applyBorder="1" applyAlignment="1">
      <alignment horizontal="center" vertical="center"/>
    </xf>
    <xf numFmtId="0" fontId="1" fillId="18" borderId="0" xfId="0" applyFont="1" applyFill="1" applyBorder="1" applyAlignment="1">
      <alignment vertical="top"/>
    </xf>
    <xf numFmtId="0" fontId="252" fillId="18" borderId="0" xfId="0" applyFont="1" applyFill="1" applyAlignment="1">
      <alignment horizontal="center"/>
    </xf>
    <xf numFmtId="0" fontId="257" fillId="70" borderId="258" xfId="0" applyFont="1" applyFill="1" applyBorder="1" applyAlignment="1" applyProtection="1">
      <alignment horizontal="left" vertical="center" wrapText="1"/>
      <protection hidden="1"/>
    </xf>
    <xf numFmtId="41" fontId="257" fillId="0" borderId="266" xfId="4" applyNumberFormat="1" applyFont="1" applyBorder="1" applyAlignment="1" applyProtection="1">
      <alignment horizontal="center" vertical="center"/>
      <protection hidden="1"/>
    </xf>
    <xf numFmtId="0" fontId="257" fillId="70" borderId="266" xfId="0" applyFont="1" applyFill="1" applyBorder="1" applyAlignment="1" applyProtection="1">
      <alignment horizontal="left" vertical="center" wrapText="1"/>
      <protection hidden="1"/>
    </xf>
    <xf numFmtId="41" fontId="1" fillId="18" borderId="0" xfId="0" applyNumberFormat="1" applyFont="1" applyFill="1" applyBorder="1">
      <alignment vertical="center"/>
    </xf>
    <xf numFmtId="0" fontId="1" fillId="18" borderId="0" xfId="0" applyFont="1" applyFill="1">
      <alignment vertical="center"/>
    </xf>
    <xf numFmtId="0" fontId="1" fillId="0" borderId="163" xfId="0" applyFont="1" applyFill="1" applyBorder="1" applyAlignment="1" applyProtection="1">
      <alignment vertical="top"/>
      <protection locked="0" hidden="1"/>
    </xf>
    <xf numFmtId="0" fontId="1" fillId="0" borderId="0" xfId="0" applyFont="1" applyFill="1" applyBorder="1" applyAlignment="1" applyProtection="1">
      <alignment vertical="top"/>
      <protection locked="0" hidden="1"/>
    </xf>
    <xf numFmtId="0" fontId="17" fillId="0" borderId="0" xfId="0" applyFont="1" applyFill="1" applyBorder="1" applyAlignment="1" applyProtection="1">
      <alignment horizontal="left" vertical="top"/>
      <protection locked="0" hidden="1"/>
    </xf>
    <xf numFmtId="0" fontId="257" fillId="70" borderId="256" xfId="0" applyFont="1" applyFill="1" applyBorder="1" applyAlignment="1">
      <alignment horizontal="left" vertical="center" wrapText="1"/>
    </xf>
    <xf numFmtId="0" fontId="257" fillId="70" borderId="267" xfId="0" applyFont="1" applyFill="1" applyBorder="1" applyAlignment="1">
      <alignment horizontal="left" vertical="center" wrapText="1"/>
    </xf>
    <xf numFmtId="41" fontId="257" fillId="0" borderId="267" xfId="4" applyNumberFormat="1" applyFont="1" applyBorder="1" applyAlignment="1" applyProtection="1">
      <alignment horizontal="center" vertical="center"/>
    </xf>
    <xf numFmtId="0" fontId="264" fillId="63" borderId="268" xfId="0" applyFont="1" applyFill="1" applyBorder="1">
      <alignment vertical="center"/>
    </xf>
    <xf numFmtId="0" fontId="265" fillId="63" borderId="269" xfId="0" applyFont="1" applyFill="1" applyBorder="1">
      <alignment vertical="center"/>
    </xf>
    <xf numFmtId="0" fontId="265" fillId="63" borderId="270" xfId="0" applyFont="1" applyFill="1" applyBorder="1">
      <alignment vertical="center"/>
    </xf>
    <xf numFmtId="0" fontId="136" fillId="18" borderId="0" xfId="0" applyFont="1" applyFill="1">
      <alignment vertical="center"/>
    </xf>
    <xf numFmtId="0" fontId="257" fillId="70" borderId="253" xfId="0" applyFont="1" applyFill="1" applyBorder="1" applyAlignment="1">
      <alignment horizontal="left" vertical="center" wrapText="1"/>
    </xf>
    <xf numFmtId="41" fontId="257" fillId="0" borderId="115" xfId="4" applyNumberFormat="1" applyFont="1" applyBorder="1" applyAlignment="1" applyProtection="1">
      <alignment horizontal="center" vertical="center"/>
    </xf>
    <xf numFmtId="0" fontId="257" fillId="70" borderId="115" xfId="0" applyFont="1" applyFill="1" applyBorder="1" applyAlignment="1">
      <alignment horizontal="left" vertical="center" wrapText="1"/>
    </xf>
    <xf numFmtId="0" fontId="265" fillId="71" borderId="160" xfId="0" applyFont="1" applyFill="1" applyBorder="1" applyAlignment="1">
      <alignment horizontal="center" vertical="center"/>
    </xf>
    <xf numFmtId="0" fontId="134" fillId="0" borderId="271" xfId="0" applyFont="1" applyFill="1" applyBorder="1" applyAlignment="1">
      <alignment horizontal="center" vertical="center"/>
    </xf>
    <xf numFmtId="0" fontId="134" fillId="0" borderId="272" xfId="0" applyFont="1" applyFill="1" applyBorder="1" applyAlignment="1">
      <alignment horizontal="center" vertical="center"/>
    </xf>
    <xf numFmtId="0" fontId="252" fillId="18" borderId="0" xfId="0" applyFont="1" applyFill="1" applyAlignment="1" applyProtection="1">
      <alignment horizontal="center"/>
      <protection locked="0" hidden="1"/>
    </xf>
    <xf numFmtId="0" fontId="257" fillId="70" borderId="253" xfId="0" applyFont="1" applyFill="1" applyBorder="1" applyAlignment="1">
      <alignment horizontal="left" vertical="center"/>
    </xf>
    <xf numFmtId="0" fontId="257" fillId="70" borderId="115" xfId="0" applyFont="1" applyFill="1" applyBorder="1" applyAlignment="1">
      <alignment horizontal="left" vertical="center"/>
    </xf>
    <xf numFmtId="41" fontId="1" fillId="18" borderId="0" xfId="0" applyNumberFormat="1" applyFont="1" applyFill="1" applyBorder="1" applyAlignment="1">
      <alignment vertical="top"/>
    </xf>
    <xf numFmtId="0" fontId="1" fillId="18" borderId="0" xfId="0" applyFont="1" applyFill="1" applyAlignment="1">
      <alignment vertical="top"/>
    </xf>
    <xf numFmtId="0" fontId="265" fillId="71" borderId="268" xfId="0" applyFont="1" applyFill="1" applyBorder="1" applyAlignment="1">
      <alignment horizontal="center" vertical="center"/>
    </xf>
    <xf numFmtId="3" fontId="134" fillId="40" borderId="273" xfId="0" applyNumberFormat="1" applyFont="1" applyFill="1" applyBorder="1" applyAlignment="1">
      <alignment horizontal="center" vertical="center"/>
    </xf>
    <xf numFmtId="3" fontId="134" fillId="40" borderId="274" xfId="0" applyNumberFormat="1" applyFont="1" applyFill="1" applyBorder="1" applyAlignment="1">
      <alignment horizontal="center" vertical="center"/>
    </xf>
    <xf numFmtId="0" fontId="266" fillId="21" borderId="4" xfId="0" applyFont="1" applyFill="1" applyBorder="1" applyAlignment="1"/>
    <xf numFmtId="0" fontId="266" fillId="21" borderId="4" xfId="0" applyFont="1" applyFill="1" applyBorder="1" applyAlignment="1"/>
    <xf numFmtId="0" fontId="1" fillId="0" borderId="163" xfId="0" applyFont="1" applyFill="1" applyBorder="1" applyAlignment="1" applyProtection="1">
      <alignment horizontal="right" vertical="top" wrapText="1"/>
      <protection locked="0" hidden="1"/>
    </xf>
    <xf numFmtId="0" fontId="1" fillId="0" borderId="0" xfId="0" applyFont="1" applyFill="1" applyBorder="1" applyAlignment="1" applyProtection="1">
      <alignment horizontal="center" vertical="top" wrapText="1"/>
      <protection locked="0" hidden="1"/>
    </xf>
    <xf numFmtId="0" fontId="35" fillId="0" borderId="0" xfId="0" applyFont="1" applyFill="1" applyBorder="1" applyAlignment="1" applyProtection="1">
      <alignment horizontal="left" vertical="center" wrapText="1"/>
      <protection locked="0" hidden="1"/>
    </xf>
    <xf numFmtId="0" fontId="1" fillId="0" borderId="164" xfId="0" applyFont="1" applyFill="1" applyBorder="1" applyAlignment="1" applyProtection="1">
      <alignment horizontal="center" vertical="top" wrapText="1"/>
      <protection locked="0" hidden="1"/>
    </xf>
    <xf numFmtId="0" fontId="1" fillId="18" borderId="0" xfId="0" applyFont="1" applyFill="1" applyBorder="1" applyAlignment="1" applyProtection="1">
      <alignment horizontal="center" vertical="top" wrapText="1"/>
      <protection locked="0" hidden="1"/>
    </xf>
    <xf numFmtId="0" fontId="142" fillId="70" borderId="258" xfId="0" applyFont="1" applyFill="1" applyBorder="1" applyAlignment="1" applyProtection="1">
      <alignment horizontal="left" vertical="center" wrapText="1"/>
      <protection hidden="1"/>
    </xf>
    <xf numFmtId="41" fontId="267" fillId="0" borderId="266" xfId="4" applyNumberFormat="1" applyFont="1" applyBorder="1" applyAlignment="1" applyProtection="1">
      <alignment horizontal="center" vertical="center"/>
    </xf>
    <xf numFmtId="0" fontId="142" fillId="70" borderId="266" xfId="0" applyFont="1" applyFill="1" applyBorder="1" applyAlignment="1" applyProtection="1">
      <alignment horizontal="left" vertical="center" wrapText="1"/>
      <protection hidden="1"/>
    </xf>
    <xf numFmtId="0" fontId="1" fillId="0" borderId="164" xfId="0" applyFont="1" applyBorder="1">
      <alignment vertical="center"/>
    </xf>
    <xf numFmtId="41" fontId="1" fillId="18" borderId="0" xfId="0" applyNumberFormat="1" applyFont="1" applyFill="1" applyBorder="1" applyAlignment="1">
      <alignment horizontal="center" vertical="top" wrapText="1"/>
    </xf>
    <xf numFmtId="0" fontId="1" fillId="18" borderId="0" xfId="0" applyFont="1" applyFill="1" applyBorder="1" applyAlignment="1">
      <alignment horizontal="center" vertical="top" wrapText="1"/>
    </xf>
    <xf numFmtId="0" fontId="265" fillId="71" borderId="275" xfId="0" applyFont="1" applyFill="1" applyBorder="1" applyAlignment="1">
      <alignment horizontal="center" vertical="center"/>
    </xf>
    <xf numFmtId="3" fontId="134" fillId="0" borderId="75" xfId="0" applyNumberFormat="1" applyFont="1" applyFill="1" applyBorder="1" applyAlignment="1">
      <alignment horizontal="center" vertical="center"/>
    </xf>
    <xf numFmtId="3" fontId="134" fillId="0" borderId="80" xfId="0" applyNumberFormat="1" applyFont="1" applyFill="1" applyBorder="1" applyAlignment="1">
      <alignment horizontal="center" vertical="center"/>
    </xf>
    <xf numFmtId="0" fontId="1" fillId="18" borderId="4" xfId="0" applyFont="1" applyFill="1" applyBorder="1" applyAlignment="1"/>
    <xf numFmtId="0" fontId="257" fillId="70" borderId="257" xfId="0" applyFont="1" applyFill="1" applyBorder="1" applyAlignment="1" applyProtection="1">
      <alignment horizontal="left" vertical="center" wrapText="1"/>
      <protection hidden="1"/>
    </xf>
    <xf numFmtId="41" fontId="257" fillId="0" borderId="276" xfId="4" applyNumberFormat="1" applyFont="1" applyBorder="1" applyAlignment="1" applyProtection="1">
      <alignment horizontal="center" vertical="center"/>
    </xf>
    <xf numFmtId="0" fontId="257" fillId="70" borderId="276" xfId="0" applyFont="1" applyFill="1" applyBorder="1" applyAlignment="1" applyProtection="1">
      <alignment horizontal="left" vertical="center" wrapText="1"/>
      <protection hidden="1"/>
    </xf>
    <xf numFmtId="0" fontId="268" fillId="72" borderId="262" xfId="0" applyFont="1" applyFill="1" applyBorder="1" applyAlignment="1" applyProtection="1">
      <alignment horizontal="center" vertical="center"/>
      <protection hidden="1"/>
    </xf>
    <xf numFmtId="3" fontId="16" fillId="0" borderId="103" xfId="0" applyNumberFormat="1" applyFont="1" applyFill="1" applyBorder="1" applyAlignment="1" applyProtection="1">
      <alignment horizontal="center" vertical="center"/>
      <protection locked="0" hidden="1"/>
    </xf>
    <xf numFmtId="3" fontId="16" fillId="0" borderId="80" xfId="0" applyNumberFormat="1" applyFont="1" applyFill="1" applyBorder="1" applyAlignment="1" applyProtection="1">
      <alignment horizontal="center" vertical="center"/>
      <protection locked="0" hidden="1"/>
    </xf>
    <xf numFmtId="0" fontId="43" fillId="18" borderId="57" xfId="0" applyFont="1" applyFill="1" applyBorder="1">
      <alignment vertical="center"/>
    </xf>
    <xf numFmtId="3" fontId="43" fillId="18" borderId="0" xfId="0" applyNumberFormat="1" applyFont="1" applyFill="1" applyBorder="1" applyAlignment="1"/>
    <xf numFmtId="0" fontId="43" fillId="18" borderId="0" xfId="0" applyFont="1" applyFill="1" applyBorder="1" applyAlignment="1"/>
    <xf numFmtId="0" fontId="257" fillId="70" borderId="256" xfId="0" applyFont="1" applyFill="1" applyBorder="1" applyAlignment="1" applyProtection="1">
      <alignment horizontal="left" vertical="center" wrapText="1"/>
      <protection hidden="1"/>
    </xf>
    <xf numFmtId="0" fontId="257" fillId="70" borderId="267" xfId="0" applyFont="1" applyFill="1" applyBorder="1" applyAlignment="1" applyProtection="1">
      <alignment horizontal="left" vertical="center" wrapText="1"/>
      <protection hidden="1"/>
    </xf>
    <xf numFmtId="0" fontId="268" fillId="72" borderId="259" xfId="0" applyFont="1" applyFill="1" applyBorder="1" applyAlignment="1" applyProtection="1">
      <alignment horizontal="center" vertical="center"/>
      <protection hidden="1"/>
    </xf>
    <xf numFmtId="3" fontId="16" fillId="0" borderId="104" xfId="0" applyNumberFormat="1" applyFont="1" applyFill="1" applyBorder="1" applyAlignment="1" applyProtection="1">
      <alignment horizontal="center" vertical="center"/>
      <protection locked="0" hidden="1"/>
    </xf>
    <xf numFmtId="3" fontId="16" fillId="0" borderId="81" xfId="0" applyNumberFormat="1" applyFont="1" applyFill="1" applyBorder="1" applyAlignment="1" applyProtection="1">
      <alignment horizontal="center" vertical="center"/>
      <protection locked="0" hidden="1"/>
    </xf>
    <xf numFmtId="0" fontId="68" fillId="18" borderId="0" xfId="0" applyFont="1" applyFill="1" applyBorder="1">
      <alignment vertical="center"/>
    </xf>
    <xf numFmtId="0" fontId="262" fillId="27" borderId="277" xfId="0" applyFont="1" applyFill="1" applyBorder="1" applyAlignment="1" applyProtection="1">
      <alignment horizontal="center" vertical="center" wrapText="1"/>
      <protection hidden="1"/>
    </xf>
    <xf numFmtId="41" fontId="262" fillId="27" borderId="278" xfId="4" applyNumberFormat="1" applyFont="1" applyFill="1" applyBorder="1" applyAlignment="1" applyProtection="1">
      <alignment horizontal="center" vertical="center"/>
    </xf>
    <xf numFmtId="0" fontId="262" fillId="27" borderId="278" xfId="0" applyFont="1" applyFill="1" applyBorder="1" applyAlignment="1" applyProtection="1">
      <alignment horizontal="center" vertical="center" wrapText="1"/>
      <protection hidden="1"/>
    </xf>
    <xf numFmtId="41" fontId="262" fillId="27" borderId="279" xfId="0" applyNumberFormat="1" applyFont="1" applyFill="1" applyBorder="1" applyAlignment="1">
      <alignment horizontal="center" vertical="center"/>
    </xf>
    <xf numFmtId="0" fontId="269" fillId="18" borderId="57" xfId="0" applyFont="1" applyFill="1" applyBorder="1">
      <alignment vertical="center"/>
    </xf>
    <xf numFmtId="0" fontId="257" fillId="0" borderId="0" xfId="0" applyFont="1" applyFill="1" applyBorder="1" applyAlignment="1" applyProtection="1">
      <alignment horizontal="center" vertical="top" wrapText="1"/>
      <protection locked="0" hidden="1"/>
    </xf>
    <xf numFmtId="0" fontId="43" fillId="18" borderId="0" xfId="0" applyFont="1" applyFill="1" applyBorder="1">
      <alignment vertical="center"/>
    </xf>
    <xf numFmtId="0" fontId="257" fillId="70" borderId="258" xfId="0" applyFont="1" applyFill="1" applyBorder="1" applyAlignment="1">
      <alignment horizontal="left" vertical="center"/>
    </xf>
    <xf numFmtId="41" fontId="257" fillId="0" borderId="266" xfId="4" applyNumberFormat="1" applyFont="1" applyBorder="1" applyAlignment="1" applyProtection="1">
      <alignment horizontal="center" vertical="center"/>
    </xf>
    <xf numFmtId="0" fontId="257" fillId="70" borderId="266" xfId="0" applyFont="1" applyFill="1" applyBorder="1" applyAlignment="1">
      <alignment horizontal="left" vertical="center"/>
    </xf>
    <xf numFmtId="0" fontId="272" fillId="18" borderId="163" xfId="0" applyFont="1" applyFill="1" applyBorder="1">
      <alignment vertical="center"/>
    </xf>
    <xf numFmtId="0" fontId="252" fillId="18" borderId="0" xfId="0" applyFont="1" applyFill="1" applyAlignment="1"/>
    <xf numFmtId="0" fontId="257" fillId="70" borderId="266" xfId="0" applyFont="1" applyFill="1" applyBorder="1" applyAlignment="1">
      <alignment horizontal="left" vertical="center"/>
    </xf>
    <xf numFmtId="3" fontId="252" fillId="18" borderId="0" xfId="0" applyNumberFormat="1" applyFont="1" applyFill="1" applyAlignment="1"/>
    <xf numFmtId="0" fontId="257" fillId="70" borderId="256" xfId="0" applyFont="1" applyFill="1" applyBorder="1" applyAlignment="1">
      <alignment horizontal="left" vertical="center"/>
    </xf>
    <xf numFmtId="0" fontId="257" fillId="70" borderId="267" xfId="0" applyFont="1" applyFill="1" applyBorder="1" applyAlignment="1">
      <alignment horizontal="left" vertical="center"/>
    </xf>
    <xf numFmtId="0" fontId="22" fillId="18" borderId="0" xfId="0" applyFont="1" applyFill="1" applyAlignment="1"/>
    <xf numFmtId="3" fontId="268" fillId="18" borderId="0" xfId="0" applyNumberFormat="1" applyFont="1" applyFill="1" applyBorder="1" applyProtection="1">
      <alignment vertical="center"/>
      <protection locked="0" hidden="1"/>
    </xf>
    <xf numFmtId="0" fontId="268" fillId="18" borderId="0" xfId="0" applyFont="1" applyFill="1" applyBorder="1" applyProtection="1">
      <alignment vertical="center"/>
      <protection locked="0" hidden="1"/>
    </xf>
    <xf numFmtId="0" fontId="274" fillId="18" borderId="0" xfId="0" applyFont="1" applyFill="1" applyAlignment="1">
      <alignment vertical="top"/>
    </xf>
    <xf numFmtId="0" fontId="1" fillId="0" borderId="163" xfId="0" applyFont="1" applyFill="1" applyBorder="1" applyAlignment="1" applyProtection="1">
      <alignment horizontal="center" vertical="top" wrapText="1"/>
      <protection locked="0" hidden="1"/>
    </xf>
    <xf numFmtId="0" fontId="257" fillId="70" borderId="257" xfId="0" applyFont="1" applyFill="1" applyBorder="1" applyAlignment="1" applyProtection="1">
      <alignment horizontal="left" vertical="center" wrapText="1"/>
      <protection hidden="1"/>
    </xf>
    <xf numFmtId="0" fontId="257" fillId="70" borderId="276" xfId="0" applyFont="1" applyFill="1" applyBorder="1" applyAlignment="1" applyProtection="1">
      <alignment horizontal="left" vertical="center" wrapText="1"/>
      <protection hidden="1"/>
    </xf>
    <xf numFmtId="0" fontId="275" fillId="18" borderId="0" xfId="0" applyFont="1" applyFill="1" applyBorder="1" applyAlignment="1" applyProtection="1">
      <alignment horizontal="center" vertical="top" wrapText="1"/>
      <protection locked="0" hidden="1"/>
    </xf>
    <xf numFmtId="0" fontId="1" fillId="18" borderId="161" xfId="0" applyFont="1" applyFill="1" applyBorder="1">
      <alignment vertical="center"/>
    </xf>
    <xf numFmtId="0" fontId="1" fillId="18" borderId="0" xfId="0" applyFont="1" applyFill="1" applyBorder="1" applyAlignment="1">
      <alignment horizontal="center" vertical="center"/>
    </xf>
    <xf numFmtId="0" fontId="1" fillId="18" borderId="0" xfId="0" applyFont="1" applyFill="1" applyBorder="1">
      <alignment vertical="center"/>
    </xf>
    <xf numFmtId="0" fontId="1" fillId="18" borderId="283" xfId="0" applyFont="1" applyFill="1" applyBorder="1">
      <alignment vertical="center"/>
    </xf>
    <xf numFmtId="0" fontId="275" fillId="18" borderId="0" xfId="0" applyFont="1" applyFill="1" applyBorder="1" applyAlignment="1">
      <alignment horizontal="center" vertical="top" wrapText="1"/>
    </xf>
    <xf numFmtId="41" fontId="257" fillId="0" borderId="266" xfId="4" applyNumberFormat="1" applyFont="1" applyBorder="1" applyAlignment="1" applyProtection="1">
      <alignment horizontal="center" vertical="center"/>
    </xf>
    <xf numFmtId="0" fontId="1" fillId="0" borderId="0" xfId="0" applyFont="1" applyFill="1" applyBorder="1" applyAlignment="1" applyProtection="1">
      <alignment vertical="top" wrapText="1"/>
      <protection locked="0" hidden="1"/>
    </xf>
    <xf numFmtId="0" fontId="35" fillId="0" borderId="0" xfId="0" applyFont="1" applyFill="1" applyBorder="1" applyAlignment="1" applyProtection="1">
      <alignment horizontal="center" vertical="top" wrapText="1"/>
      <protection locked="0" hidden="1"/>
    </xf>
    <xf numFmtId="0" fontId="35" fillId="0" borderId="163" xfId="0" applyFont="1" applyFill="1" applyBorder="1" applyAlignment="1" applyProtection="1">
      <alignment horizontal="center" vertical="top" wrapText="1"/>
      <protection locked="0" hidden="1"/>
    </xf>
    <xf numFmtId="41" fontId="257" fillId="0" borderId="267" xfId="4" applyNumberFormat="1" applyFont="1" applyBorder="1" applyAlignment="1" applyProtection="1">
      <alignment horizontal="center" vertical="center"/>
    </xf>
    <xf numFmtId="0" fontId="35" fillId="0" borderId="0" xfId="0" applyFont="1" applyFill="1" applyBorder="1" applyAlignment="1" applyProtection="1">
      <alignment vertical="center" wrapText="1"/>
      <protection locked="0" hidden="1"/>
    </xf>
    <xf numFmtId="176" fontId="35" fillId="0" borderId="0" xfId="0" applyNumberFormat="1" applyFont="1" applyFill="1" applyBorder="1" applyAlignment="1" applyProtection="1">
      <alignment vertical="center" wrapText="1"/>
      <protection locked="0" hidden="1"/>
    </xf>
    <xf numFmtId="0" fontId="1" fillId="0" borderId="163" xfId="0" applyFont="1" applyFill="1" applyBorder="1" applyAlignment="1" applyProtection="1">
      <alignment horizontal="left" vertical="top" wrapText="1"/>
      <protection locked="0" hidden="1"/>
    </xf>
    <xf numFmtId="0" fontId="1" fillId="0" borderId="0" xfId="0" applyFont="1" applyFill="1" applyBorder="1" applyAlignment="1" applyProtection="1">
      <alignment horizontal="left" vertical="top" wrapText="1"/>
      <protection locked="0" hidden="1"/>
    </xf>
    <xf numFmtId="177" fontId="1" fillId="0" borderId="0" xfId="0" applyNumberFormat="1" applyFont="1" applyFill="1" applyBorder="1" applyAlignment="1" applyProtection="1">
      <alignment horizontal="left" vertical="top" wrapText="1"/>
      <protection locked="0" hidden="1"/>
    </xf>
    <xf numFmtId="0" fontId="1" fillId="0" borderId="0" xfId="0" applyFont="1" applyFill="1" applyBorder="1" applyAlignment="1" applyProtection="1">
      <alignment horizontal="right" vertical="top" wrapText="1"/>
      <protection locked="0" hidden="1"/>
    </xf>
    <xf numFmtId="0" fontId="257" fillId="70" borderId="256" xfId="0" applyFont="1" applyFill="1" applyBorder="1" applyAlignment="1" applyProtection="1">
      <alignment horizontal="left" vertical="center" wrapText="1"/>
      <protection hidden="1"/>
    </xf>
    <xf numFmtId="0" fontId="257" fillId="70" borderId="267" xfId="0" applyFont="1" applyFill="1" applyBorder="1" applyAlignment="1" applyProtection="1">
      <alignment horizontal="left" vertical="center" wrapText="1"/>
      <protection hidden="1"/>
    </xf>
    <xf numFmtId="0" fontId="1" fillId="0" borderId="165" xfId="0" applyFont="1" applyFill="1" applyBorder="1" applyAlignment="1" applyProtection="1">
      <alignment horizontal="center" vertical="center" wrapText="1"/>
      <protection locked="0" hidden="1"/>
    </xf>
    <xf numFmtId="0" fontId="1" fillId="0" borderId="166" xfId="0" applyFont="1" applyFill="1" applyBorder="1" applyAlignment="1" applyProtection="1">
      <alignment horizontal="center" vertical="center" wrapText="1"/>
      <protection locked="0" hidden="1"/>
    </xf>
    <xf numFmtId="0" fontId="1" fillId="0" borderId="167" xfId="0" applyFont="1" applyFill="1" applyBorder="1" applyAlignment="1" applyProtection="1">
      <alignment horizontal="center" vertical="center" wrapText="1"/>
      <protection locked="0" hidden="1"/>
    </xf>
    <xf numFmtId="0" fontId="1" fillId="18" borderId="0" xfId="0" applyFont="1" applyFill="1" applyBorder="1" applyAlignment="1" applyProtection="1">
      <alignment horizontal="center" vertical="center" wrapText="1"/>
      <protection locked="0" hidden="1"/>
    </xf>
    <xf numFmtId="0" fontId="1" fillId="18" borderId="0" xfId="0" applyFont="1" applyFill="1" applyBorder="1" applyAlignment="1">
      <alignment horizontal="center" vertical="center" wrapText="1"/>
    </xf>
    <xf numFmtId="0" fontId="1" fillId="18" borderId="0" xfId="0" applyFont="1" applyFill="1" applyBorder="1" applyAlignment="1">
      <alignment horizontal="center" vertical="center" wrapText="1"/>
    </xf>
    <xf numFmtId="0" fontId="1" fillId="18" borderId="0" xfId="0" applyFont="1" applyFill="1" applyBorder="1" applyAlignment="1">
      <alignment horizontal="center" vertical="center" wrapText="1"/>
    </xf>
    <xf numFmtId="0" fontId="276" fillId="18" borderId="0" xfId="0" applyFont="1" applyFill="1" applyBorder="1">
      <alignment vertical="center"/>
    </xf>
    <xf numFmtId="0" fontId="277" fillId="18" borderId="0" xfId="0" applyFont="1" applyFill="1" applyBorder="1" applyAlignment="1" applyProtection="1">
      <alignment horizontal="center" vertical="center" wrapText="1"/>
      <protection locked="0" hidden="1"/>
    </xf>
    <xf numFmtId="0" fontId="136" fillId="18" borderId="0" xfId="0" applyFont="1" applyFill="1" applyBorder="1">
      <alignment vertical="center"/>
    </xf>
    <xf numFmtId="41" fontId="47" fillId="18" borderId="0" xfId="0" applyNumberFormat="1" applyFont="1" applyFill="1" applyBorder="1" applyAlignment="1">
      <alignment horizontal="center" vertical="center" shrinkToFit="1"/>
    </xf>
    <xf numFmtId="0" fontId="277" fillId="18" borderId="0" xfId="0" applyFont="1" applyFill="1" applyBorder="1" applyAlignment="1">
      <alignment horizontal="center" vertical="center" wrapText="1"/>
    </xf>
    <xf numFmtId="0" fontId="266" fillId="18" borderId="0" xfId="0" applyFont="1" applyFill="1" applyAlignment="1"/>
    <xf numFmtId="0" fontId="266" fillId="18" borderId="0" xfId="0" applyFont="1" applyFill="1" applyAlignment="1">
      <alignment horizontal="center"/>
    </xf>
    <xf numFmtId="0" fontId="1" fillId="0" borderId="162" xfId="0" applyFont="1" applyBorder="1">
      <alignment vertical="center"/>
    </xf>
    <xf numFmtId="0" fontId="8" fillId="18" borderId="0" xfId="0" applyFont="1" applyFill="1" applyBorder="1" applyAlignment="1" applyProtection="1">
      <alignment horizontal="center" vertical="center" wrapText="1"/>
      <protection locked="0" hidden="1"/>
    </xf>
    <xf numFmtId="0" fontId="8" fillId="18" borderId="0" xfId="0" applyFont="1" applyFill="1" applyBorder="1" applyAlignment="1">
      <alignment horizontal="center" vertical="center" wrapText="1"/>
    </xf>
    <xf numFmtId="0" fontId="257" fillId="0" borderId="0" xfId="0" applyFont="1" applyAlignment="1"/>
    <xf numFmtId="0" fontId="257" fillId="18" borderId="0" xfId="0" applyFont="1" applyFill="1" applyAlignment="1"/>
    <xf numFmtId="0" fontId="257" fillId="0" borderId="261" xfId="0" applyFont="1" applyFill="1" applyBorder="1" applyAlignment="1" applyProtection="1">
      <alignment horizontal="center" vertical="center" wrapText="1"/>
      <protection locked="0" hidden="1"/>
    </xf>
    <xf numFmtId="3" fontId="257" fillId="0" borderId="130" xfId="0" applyNumberFormat="1" applyFont="1" applyFill="1" applyBorder="1" applyAlignment="1" applyProtection="1">
      <alignment vertical="center" wrapText="1"/>
      <protection locked="0" hidden="1"/>
    </xf>
    <xf numFmtId="0" fontId="257" fillId="0" borderId="255" xfId="0" applyFont="1" applyFill="1" applyBorder="1" applyAlignment="1" applyProtection="1">
      <alignment horizontal="center" vertical="center" wrapText="1"/>
      <protection locked="0" hidden="1"/>
    </xf>
    <xf numFmtId="0" fontId="257" fillId="18" borderId="0" xfId="0" applyFont="1" applyFill="1" applyBorder="1" applyAlignment="1" applyProtection="1">
      <alignment horizontal="center" vertical="center" wrapText="1"/>
      <protection locked="0" hidden="1"/>
    </xf>
    <xf numFmtId="41" fontId="257" fillId="0" borderId="266" xfId="4" applyNumberFormat="1" applyFont="1" applyBorder="1" applyAlignment="1" applyProtection="1">
      <alignment horizontal="center" vertical="center"/>
    </xf>
    <xf numFmtId="0" fontId="257" fillId="70" borderId="266" xfId="0" applyFont="1" applyFill="1" applyBorder="1" applyAlignment="1">
      <alignment horizontal="left" vertical="center"/>
    </xf>
    <xf numFmtId="0" fontId="278" fillId="18" borderId="0" xfId="0" applyFont="1" applyFill="1" applyBorder="1" applyAlignment="1">
      <alignment horizontal="center" vertical="center" wrapText="1"/>
    </xf>
    <xf numFmtId="0" fontId="173" fillId="18" borderId="0" xfId="0" applyFont="1" applyFill="1" applyBorder="1">
      <alignment vertical="center"/>
    </xf>
    <xf numFmtId="9" fontId="173" fillId="18" borderId="0" xfId="0" applyNumberFormat="1" applyFont="1" applyFill="1" applyBorder="1">
      <alignment vertical="center"/>
    </xf>
    <xf numFmtId="0" fontId="173" fillId="18" borderId="0" xfId="0" applyFont="1" applyFill="1" applyBorder="1" applyAlignment="1">
      <alignment horizontal="right" vertical="center"/>
    </xf>
    <xf numFmtId="0" fontId="173" fillId="18" borderId="0" xfId="0" applyFont="1" applyFill="1" applyBorder="1" applyAlignment="1"/>
    <xf numFmtId="0" fontId="173" fillId="18" borderId="0" xfId="0" applyFont="1" applyFill="1" applyAlignment="1"/>
    <xf numFmtId="0" fontId="257" fillId="0" borderId="0" xfId="0" applyFont="1" applyFill="1" applyAlignment="1"/>
    <xf numFmtId="0" fontId="257" fillId="0" borderId="284" xfId="0" applyFont="1" applyFill="1" applyBorder="1" applyAlignment="1" applyProtection="1">
      <alignment horizontal="center" vertical="center" wrapText="1"/>
      <protection locked="0" hidden="1"/>
    </xf>
    <xf numFmtId="3" fontId="257" fillId="0" borderId="285" xfId="0" applyNumberFormat="1" applyFont="1" applyFill="1" applyBorder="1" applyAlignment="1" applyProtection="1">
      <alignment vertical="center" wrapText="1"/>
      <protection locked="0" hidden="1"/>
    </xf>
    <xf numFmtId="0" fontId="257" fillId="0" borderId="286" xfId="0" applyFont="1" applyFill="1" applyBorder="1" applyAlignment="1" applyProtection="1">
      <alignment horizontal="center" vertical="center" wrapText="1"/>
      <protection locked="0" hidden="1"/>
    </xf>
    <xf numFmtId="3" fontId="173" fillId="18" borderId="0" xfId="0" applyNumberFormat="1" applyFont="1" applyFill="1" applyBorder="1">
      <alignment vertical="center"/>
    </xf>
    <xf numFmtId="41" fontId="257" fillId="0" borderId="267" xfId="4" applyNumberFormat="1" applyFont="1" applyBorder="1" applyAlignment="1" applyProtection="1">
      <alignment horizontal="center" vertical="center"/>
    </xf>
    <xf numFmtId="41" fontId="257" fillId="18" borderId="0" xfId="0" applyNumberFormat="1" applyFont="1" applyFill="1" applyBorder="1">
      <alignment vertical="center"/>
    </xf>
    <xf numFmtId="0" fontId="257" fillId="18" borderId="0" xfId="0" applyFont="1" applyFill="1">
      <alignment vertical="center"/>
    </xf>
    <xf numFmtId="0" fontId="257" fillId="70" borderId="253" xfId="0" applyFont="1" applyFill="1" applyBorder="1" applyAlignment="1">
      <alignment horizontal="left" vertical="center" wrapText="1"/>
    </xf>
    <xf numFmtId="41" fontId="257" fillId="0" borderId="115" xfId="4" applyNumberFormat="1" applyFont="1" applyBorder="1" applyAlignment="1" applyProtection="1">
      <alignment horizontal="center" vertical="center"/>
    </xf>
    <xf numFmtId="0" fontId="257" fillId="70" borderId="115" xfId="0" applyFont="1" applyFill="1" applyBorder="1" applyAlignment="1">
      <alignment horizontal="left" vertical="center"/>
    </xf>
    <xf numFmtId="0" fontId="173" fillId="18" borderId="0" xfId="0" applyFont="1" applyFill="1" applyBorder="1" applyAlignment="1">
      <alignment vertical="center" wrapText="1"/>
    </xf>
    <xf numFmtId="41" fontId="279" fillId="0" borderId="266" xfId="4" applyNumberFormat="1" applyFont="1" applyBorder="1" applyAlignment="1" applyProtection="1">
      <alignment horizontal="center" vertical="center"/>
    </xf>
    <xf numFmtId="0" fontId="278" fillId="18" borderId="0" xfId="0" applyFont="1" applyFill="1" applyBorder="1" applyAlignment="1"/>
    <xf numFmtId="0" fontId="278" fillId="18" borderId="0" xfId="0" applyFont="1" applyFill="1" applyBorder="1" applyAlignment="1">
      <alignment vertical="center" wrapText="1"/>
    </xf>
    <xf numFmtId="0" fontId="257" fillId="70" borderId="257" xfId="0" applyFont="1" applyFill="1" applyBorder="1" applyAlignment="1" applyProtection="1">
      <alignment horizontal="left" vertical="center" wrapText="1"/>
      <protection hidden="1"/>
    </xf>
    <xf numFmtId="41" fontId="257" fillId="0" borderId="276" xfId="4" applyNumberFormat="1" applyFont="1" applyBorder="1" applyAlignment="1" applyProtection="1">
      <alignment horizontal="center" vertical="center"/>
    </xf>
    <xf numFmtId="0" fontId="257" fillId="70" borderId="276" xfId="0" applyFont="1" applyFill="1" applyBorder="1" applyAlignment="1" applyProtection="1">
      <alignment horizontal="left" vertical="center" wrapText="1"/>
      <protection hidden="1"/>
    </xf>
    <xf numFmtId="0" fontId="257" fillId="18" borderId="0" xfId="0" applyFont="1" applyFill="1" applyBorder="1" applyAlignment="1">
      <alignment horizontal="center" vertical="center" wrapText="1"/>
    </xf>
    <xf numFmtId="1" fontId="257" fillId="18" borderId="0" xfId="0" applyNumberFormat="1" applyFont="1" applyFill="1" applyBorder="1" applyAlignment="1"/>
    <xf numFmtId="0" fontId="257" fillId="18" borderId="0" xfId="0" applyFont="1" applyFill="1" applyBorder="1" applyAlignment="1"/>
    <xf numFmtId="0" fontId="257" fillId="18" borderId="0" xfId="0" applyFont="1" applyFill="1" applyBorder="1" applyAlignment="1">
      <alignment vertical="center" wrapText="1"/>
    </xf>
    <xf numFmtId="0" fontId="1" fillId="0" borderId="262" xfId="0" applyFont="1" applyFill="1" applyBorder="1" applyAlignment="1" applyProtection="1">
      <alignment horizontal="center" vertical="center" wrapText="1"/>
      <protection locked="0" hidden="1"/>
    </xf>
    <xf numFmtId="0" fontId="1" fillId="0" borderId="112" xfId="0" applyFont="1" applyFill="1" applyBorder="1" applyAlignment="1" applyProtection="1">
      <alignment horizontal="center" vertical="center" wrapText="1"/>
      <protection locked="0" hidden="1"/>
    </xf>
    <xf numFmtId="0" fontId="1" fillId="0" borderId="252" xfId="0" applyFont="1" applyFill="1" applyBorder="1" applyAlignment="1" applyProtection="1">
      <alignment horizontal="center" vertical="center" wrapText="1"/>
      <protection locked="0" hidden="1"/>
    </xf>
    <xf numFmtId="41" fontId="257" fillId="0" borderId="267" xfId="4" applyNumberFormat="1" applyFont="1" applyBorder="1" applyAlignment="1" applyProtection="1">
      <alignment horizontal="center" vertical="center"/>
    </xf>
    <xf numFmtId="0" fontId="257" fillId="70" borderId="267" xfId="0" applyFont="1" applyFill="1" applyBorder="1" applyAlignment="1" applyProtection="1">
      <alignment horizontal="left" vertical="center" wrapText="1"/>
      <protection hidden="1"/>
    </xf>
    <xf numFmtId="1" fontId="153" fillId="18" borderId="0" xfId="0" applyNumberFormat="1" applyFont="1" applyFill="1" applyBorder="1" applyAlignment="1"/>
    <xf numFmtId="0" fontId="153" fillId="18" borderId="0" xfId="0" applyFont="1" applyFill="1" applyBorder="1" applyAlignment="1"/>
    <xf numFmtId="0" fontId="1" fillId="0" borderId="163" xfId="0" applyFont="1" applyFill="1" applyBorder="1" applyAlignment="1" applyProtection="1">
      <alignment horizontal="center" vertical="center" wrapText="1"/>
      <protection locked="0" hidden="1"/>
    </xf>
    <xf numFmtId="0" fontId="1" fillId="0" borderId="0" xfId="0" applyFont="1" applyFill="1" applyBorder="1" applyAlignment="1" applyProtection="1">
      <alignment horizontal="center" vertical="center" wrapText="1"/>
      <protection locked="0" hidden="1"/>
    </xf>
    <xf numFmtId="0" fontId="1" fillId="0" borderId="164" xfId="0" applyFont="1" applyFill="1" applyBorder="1" applyAlignment="1" applyProtection="1">
      <alignment horizontal="center" vertical="center" wrapText="1"/>
      <protection locked="0" hidden="1"/>
    </xf>
    <xf numFmtId="0" fontId="266" fillId="18" borderId="0" xfId="0" applyFont="1" applyFill="1" applyBorder="1" applyAlignment="1"/>
    <xf numFmtId="0" fontId="280" fillId="18" borderId="0" xfId="0" applyFont="1" applyFill="1" applyBorder="1" applyAlignment="1" applyProtection="1">
      <alignment horizontal="center" vertical="center" wrapText="1"/>
      <protection locked="0" hidden="1"/>
    </xf>
    <xf numFmtId="0" fontId="280" fillId="18" borderId="0" xfId="0" applyFont="1" applyFill="1" applyBorder="1" applyAlignment="1">
      <alignment horizontal="center" vertical="center" wrapText="1"/>
    </xf>
    <xf numFmtId="0" fontId="7" fillId="18" borderId="0" xfId="0" applyFont="1" applyFill="1" applyBorder="1" applyAlignment="1" applyProtection="1">
      <alignment horizontal="center" vertical="top" wrapText="1"/>
      <protection locked="0" hidden="1"/>
    </xf>
    <xf numFmtId="41" fontId="47" fillId="21" borderId="4" xfId="0" applyNumberFormat="1" applyFont="1" applyFill="1" applyBorder="1" applyAlignment="1">
      <alignment horizontal="center" vertical="center" shrinkToFit="1"/>
    </xf>
    <xf numFmtId="0" fontId="7" fillId="18" borderId="0" xfId="0" applyFont="1" applyFill="1" applyBorder="1" applyAlignment="1">
      <alignment horizontal="center" vertical="top" wrapText="1"/>
    </xf>
    <xf numFmtId="0" fontId="7" fillId="18" borderId="0" xfId="0" applyFont="1" applyFill="1" applyBorder="1" applyAlignment="1" applyProtection="1">
      <alignment horizontal="center" vertical="center" wrapText="1"/>
      <protection locked="0" hidden="1"/>
    </xf>
    <xf numFmtId="0" fontId="17" fillId="18" borderId="0" xfId="0" applyFont="1" applyFill="1" applyBorder="1" applyAlignment="1" applyProtection="1">
      <alignment horizontal="center" vertical="center" wrapText="1"/>
      <protection locked="0" hidden="1"/>
    </xf>
    <xf numFmtId="0" fontId="271" fillId="18" borderId="0" xfId="0" applyFont="1" applyFill="1" applyBorder="1">
      <alignment vertical="center"/>
    </xf>
    <xf numFmtId="0" fontId="17" fillId="18" borderId="0" xfId="0" applyFont="1" applyFill="1" applyBorder="1" applyAlignment="1">
      <alignment horizontal="center" vertical="center" wrapText="1"/>
    </xf>
    <xf numFmtId="0" fontId="262" fillId="18" borderId="0" xfId="0" applyFont="1" applyFill="1" applyBorder="1" applyAlignment="1">
      <alignment horizontal="center" vertical="center"/>
    </xf>
    <xf numFmtId="0" fontId="262" fillId="18" borderId="0" xfId="0" applyFont="1" applyFill="1" applyBorder="1" applyAlignment="1">
      <alignment horizontal="center" vertical="center"/>
    </xf>
    <xf numFmtId="0" fontId="262" fillId="21" borderId="163" xfId="0" applyFont="1" applyFill="1" applyBorder="1" applyAlignment="1">
      <alignment horizontal="center" vertical="center"/>
    </xf>
    <xf numFmtId="0" fontId="262" fillId="21" borderId="0" xfId="0" applyFont="1" applyFill="1" applyBorder="1" applyAlignment="1">
      <alignment horizontal="center" vertical="center"/>
    </xf>
    <xf numFmtId="3" fontId="17" fillId="18" borderId="0" xfId="0" applyNumberFormat="1" applyFont="1" applyFill="1" applyBorder="1" applyAlignment="1" applyProtection="1">
      <alignment horizontal="right" vertical="center" wrapText="1"/>
      <protection locked="0" hidden="1"/>
    </xf>
    <xf numFmtId="3" fontId="17" fillId="18" borderId="0" xfId="0" applyNumberFormat="1" applyFont="1" applyFill="1" applyBorder="1" applyAlignment="1">
      <alignment horizontal="right" vertical="center" wrapText="1"/>
    </xf>
    <xf numFmtId="41" fontId="257" fillId="0" borderId="267" xfId="4" applyNumberFormat="1" applyFont="1" applyBorder="1" applyAlignment="1" applyProtection="1">
      <alignment horizontal="center" vertical="center"/>
    </xf>
    <xf numFmtId="0" fontId="142" fillId="0" borderId="261" xfId="0" applyFont="1" applyFill="1" applyBorder="1" applyAlignment="1" applyProtection="1">
      <alignment vertical="center" wrapText="1"/>
      <protection locked="0" hidden="1"/>
    </xf>
    <xf numFmtId="0" fontId="142" fillId="0" borderId="130" xfId="0" applyFont="1" applyFill="1" applyBorder="1" applyAlignment="1" applyProtection="1">
      <alignment vertical="center" wrapText="1"/>
      <protection locked="0" hidden="1"/>
    </xf>
    <xf numFmtId="1" fontId="142" fillId="0" borderId="130" xfId="0" applyNumberFormat="1" applyFont="1" applyFill="1" applyBorder="1" applyAlignment="1" applyProtection="1">
      <alignment vertical="center" wrapText="1"/>
      <protection locked="0" hidden="1"/>
    </xf>
    <xf numFmtId="1" fontId="142" fillId="0" borderId="255" xfId="0" applyNumberFormat="1" applyFont="1" applyFill="1" applyBorder="1" applyAlignment="1" applyProtection="1">
      <alignment vertical="center" wrapText="1"/>
      <protection locked="0" hidden="1"/>
    </xf>
    <xf numFmtId="3" fontId="8" fillId="18" borderId="0" xfId="0" applyNumberFormat="1" applyFont="1" applyFill="1" applyBorder="1" applyAlignment="1" applyProtection="1">
      <alignment horizontal="right" vertical="center" wrapText="1"/>
      <protection locked="0" hidden="1"/>
    </xf>
    <xf numFmtId="0" fontId="257" fillId="0" borderId="0" xfId="0" applyFont="1" applyBorder="1" applyAlignment="1"/>
    <xf numFmtId="0" fontId="154" fillId="0" borderId="0" xfId="0" applyFont="1" applyFill="1" applyBorder="1" applyAlignment="1" applyProtection="1">
      <alignment horizontal="center" vertical="center" wrapText="1"/>
      <protection locked="0" hidden="1"/>
    </xf>
    <xf numFmtId="0" fontId="257" fillId="0" borderId="0" xfId="0" applyFont="1" applyFill="1" applyBorder="1" applyAlignment="1" applyProtection="1">
      <alignment horizontal="left" vertical="center"/>
      <protection locked="0" hidden="1"/>
    </xf>
    <xf numFmtId="0" fontId="257" fillId="0" borderId="0" xfId="0" applyFont="1" applyFill="1" applyBorder="1" applyAlignment="1" applyProtection="1">
      <alignment horizontal="center" vertical="center" wrapText="1"/>
      <protection locked="0" hidden="1"/>
    </xf>
    <xf numFmtId="0" fontId="1" fillId="0" borderId="163" xfId="0" applyFont="1" applyFill="1" applyBorder="1" applyAlignment="1" applyProtection="1">
      <protection locked="0" hidden="1"/>
    </xf>
    <xf numFmtId="0" fontId="257" fillId="0" borderId="0" xfId="0" applyFont="1" applyFill="1" applyBorder="1" applyAlignment="1" applyProtection="1">
      <protection locked="0" hidden="1"/>
    </xf>
    <xf numFmtId="0" fontId="1" fillId="0" borderId="0" xfId="0" applyFont="1" applyFill="1" applyBorder="1" applyAlignment="1" applyProtection="1">
      <protection locked="0" hidden="1"/>
    </xf>
    <xf numFmtId="0" fontId="1" fillId="0" borderId="164" xfId="0" applyFont="1" applyFill="1" applyBorder="1" applyAlignment="1" applyProtection="1">
      <protection locked="0" hidden="1"/>
    </xf>
    <xf numFmtId="0" fontId="257" fillId="70" borderId="257" xfId="0" applyFont="1" applyFill="1" applyBorder="1" applyAlignment="1" applyProtection="1">
      <alignment horizontal="left" vertical="center" wrapText="1"/>
      <protection hidden="1"/>
    </xf>
    <xf numFmtId="41" fontId="257" fillId="0" borderId="276" xfId="4" applyNumberFormat="1" applyFont="1" applyBorder="1" applyAlignment="1" applyProtection="1">
      <alignment horizontal="center" vertical="center"/>
    </xf>
    <xf numFmtId="0" fontId="257" fillId="70" borderId="276" xfId="0" applyFont="1" applyFill="1" applyBorder="1" applyAlignment="1" applyProtection="1">
      <alignment horizontal="left" vertical="center" wrapText="1"/>
      <protection hidden="1"/>
    </xf>
    <xf numFmtId="0" fontId="257" fillId="70" borderId="256" xfId="0" applyFont="1" applyFill="1" applyBorder="1" applyAlignment="1" applyProtection="1">
      <alignment horizontal="left" vertical="center" wrapText="1"/>
      <protection hidden="1"/>
    </xf>
    <xf numFmtId="0" fontId="257" fillId="70" borderId="267" xfId="0" applyFont="1" applyFill="1" applyBorder="1" applyAlignment="1" applyProtection="1">
      <alignment horizontal="left" vertical="center" wrapText="1"/>
      <protection hidden="1"/>
    </xf>
    <xf numFmtId="0" fontId="1" fillId="0" borderId="165" xfId="0" applyFont="1" applyFill="1" applyBorder="1" applyAlignment="1" applyProtection="1">
      <protection locked="0" hidden="1"/>
    </xf>
    <xf numFmtId="0" fontId="1" fillId="0" borderId="166" xfId="0" applyFont="1" applyFill="1" applyBorder="1" applyAlignment="1" applyProtection="1">
      <protection locked="0" hidden="1"/>
    </xf>
    <xf numFmtId="0" fontId="1" fillId="0" borderId="167" xfId="0" applyFont="1" applyFill="1" applyBorder="1" applyAlignment="1" applyProtection="1">
      <protection locked="0" hidden="1"/>
    </xf>
    <xf numFmtId="41" fontId="257" fillId="0" borderId="267" xfId="4" applyNumberFormat="1" applyFont="1" applyBorder="1" applyAlignment="1" applyProtection="1">
      <alignment horizontal="center" vertical="center"/>
    </xf>
    <xf numFmtId="0" fontId="257" fillId="70" borderId="257" xfId="0" applyFont="1" applyFill="1" applyBorder="1" applyAlignment="1" applyProtection="1">
      <alignment horizontal="left" vertical="center" wrapText="1"/>
      <protection hidden="1"/>
    </xf>
    <xf numFmtId="41" fontId="257" fillId="0" borderId="276" xfId="4" applyNumberFormat="1" applyFont="1" applyBorder="1" applyAlignment="1" applyProtection="1">
      <alignment horizontal="center" vertical="center"/>
    </xf>
    <xf numFmtId="0" fontId="257" fillId="70" borderId="256" xfId="0" applyFont="1" applyFill="1" applyBorder="1" applyAlignment="1" applyProtection="1">
      <alignment horizontal="left" vertical="center" wrapText="1"/>
      <protection hidden="1"/>
    </xf>
    <xf numFmtId="41" fontId="257" fillId="0" borderId="266" xfId="4" applyNumberFormat="1" applyFont="1" applyBorder="1" applyAlignment="1" applyProtection="1">
      <alignment horizontal="center" vertical="center"/>
      <protection locked="0" hidden="1"/>
    </xf>
    <xf numFmtId="0" fontId="257" fillId="70" borderId="266" xfId="0" applyFont="1" applyFill="1" applyBorder="1" applyAlignment="1" applyProtection="1">
      <alignment horizontal="left" vertical="center"/>
      <protection locked="0" hidden="1"/>
    </xf>
    <xf numFmtId="41" fontId="257" fillId="0" borderId="267" xfId="4" applyNumberFormat="1" applyFont="1" applyBorder="1" applyAlignment="1" applyProtection="1">
      <alignment horizontal="center" vertical="center"/>
    </xf>
    <xf numFmtId="0" fontId="257" fillId="70" borderId="257" xfId="0" applyFont="1" applyFill="1" applyBorder="1" applyAlignment="1" applyProtection="1">
      <alignment horizontal="left" vertical="center" wrapText="1"/>
      <protection hidden="1"/>
    </xf>
    <xf numFmtId="41" fontId="257" fillId="0" borderId="276" xfId="4" applyNumberFormat="1" applyFont="1" applyBorder="1" applyAlignment="1" applyProtection="1">
      <alignment horizontal="center" vertical="center"/>
    </xf>
    <xf numFmtId="0" fontId="257" fillId="70" borderId="276" xfId="0" applyFont="1" applyFill="1" applyBorder="1" applyAlignment="1" applyProtection="1">
      <alignment horizontal="left" vertical="center" wrapText="1"/>
      <protection hidden="1"/>
    </xf>
    <xf numFmtId="1" fontId="1" fillId="18" borderId="0" xfId="0" applyNumberFormat="1" applyFont="1" applyFill="1" applyAlignment="1"/>
    <xf numFmtId="0" fontId="257" fillId="70" borderId="256" xfId="0" applyFont="1" applyFill="1" applyBorder="1" applyAlignment="1" applyProtection="1">
      <alignment horizontal="left" vertical="center" wrapText="1"/>
      <protection hidden="1"/>
    </xf>
    <xf numFmtId="0" fontId="257" fillId="70" borderId="267" xfId="0" applyFont="1" applyFill="1" applyBorder="1" applyAlignment="1" applyProtection="1">
      <alignment horizontal="left" vertical="center" wrapText="1"/>
      <protection hidden="1"/>
    </xf>
    <xf numFmtId="0" fontId="279" fillId="0" borderId="0" xfId="0" applyFont="1" applyAlignment="1"/>
    <xf numFmtId="0" fontId="279" fillId="0" borderId="0" xfId="0" applyFont="1" applyAlignment="1">
      <alignment horizontal="center"/>
    </xf>
    <xf numFmtId="0" fontId="1" fillId="0" borderId="0" xfId="0" applyFont="1" applyAlignment="1">
      <alignment horizontal="left" vertical="center"/>
    </xf>
    <xf numFmtId="0" fontId="47" fillId="0" borderId="0" xfId="0" applyFont="1" applyFill="1" applyBorder="1" applyAlignment="1">
      <alignment horizontal="center" vertical="center" wrapText="1"/>
    </xf>
    <xf numFmtId="0" fontId="165" fillId="0" borderId="289" xfId="0" applyFont="1" applyBorder="1" applyAlignment="1" applyProtection="1">
      <alignment horizontal="left" vertical="center"/>
      <protection locked="0" hidden="1"/>
    </xf>
    <xf numFmtId="0" fontId="165" fillId="75" borderId="0" xfId="0" applyFont="1" applyFill="1" applyAlignment="1">
      <alignment horizontal="left" vertical="center"/>
    </xf>
    <xf numFmtId="0" fontId="1" fillId="75" borderId="0" xfId="0" applyFont="1" applyFill="1" applyAlignment="1">
      <alignment horizontal="left" vertical="center"/>
    </xf>
    <xf numFmtId="0" fontId="1" fillId="0" borderId="0" xfId="0" applyFont="1" applyAlignment="1" applyProtection="1">
      <alignment horizontal="left" vertical="center"/>
      <protection locked="0" hidden="1"/>
    </xf>
    <xf numFmtId="165" fontId="165" fillId="0" borderId="290" xfId="0" applyNumberFormat="1" applyFont="1" applyBorder="1" applyAlignment="1" applyProtection="1">
      <alignment horizontal="left" vertical="center"/>
      <protection locked="0" hidden="1"/>
    </xf>
    <xf numFmtId="0" fontId="165" fillId="0" borderId="290" xfId="0" applyFont="1" applyBorder="1" applyAlignment="1" applyProtection="1">
      <alignment horizontal="left" vertical="center"/>
      <protection locked="0" hidden="1"/>
    </xf>
    <xf numFmtId="0" fontId="165" fillId="75" borderId="291" xfId="0" applyFont="1" applyFill="1" applyBorder="1" applyAlignment="1">
      <alignment horizontal="left" vertical="center"/>
    </xf>
    <xf numFmtId="0" fontId="1" fillId="75" borderId="291" xfId="0" applyFont="1" applyFill="1" applyBorder="1" applyAlignment="1">
      <alignment horizontal="left" vertical="center"/>
    </xf>
    <xf numFmtId="0" fontId="43" fillId="75" borderId="0" xfId="0" applyFont="1" applyFill="1" applyBorder="1">
      <alignment vertical="center"/>
    </xf>
    <xf numFmtId="0" fontId="136" fillId="75" borderId="0" xfId="0" applyFont="1" applyFill="1" applyBorder="1">
      <alignment vertical="center"/>
    </xf>
    <xf numFmtId="0" fontId="165" fillId="0" borderId="292" xfId="0" applyFont="1" applyBorder="1" applyAlignment="1" applyProtection="1">
      <alignment horizontal="left" vertical="center"/>
      <protection locked="0" hidden="1"/>
    </xf>
    <xf numFmtId="165" fontId="165" fillId="75" borderId="44" xfId="0" applyNumberFormat="1" applyFont="1" applyFill="1" applyBorder="1" applyAlignment="1" applyProtection="1">
      <alignment horizontal="left" vertical="center"/>
      <protection locked="0" hidden="1"/>
    </xf>
    <xf numFmtId="0" fontId="1" fillId="75" borderId="46" xfId="0" applyFont="1" applyFill="1" applyBorder="1" applyAlignment="1">
      <alignment horizontal="left" vertical="center"/>
    </xf>
    <xf numFmtId="165" fontId="165" fillId="75" borderId="65" xfId="0" applyNumberFormat="1" applyFont="1" applyFill="1" applyBorder="1" applyAlignment="1" applyProtection="1">
      <alignment horizontal="left" vertical="center"/>
      <protection locked="0" hidden="1"/>
    </xf>
    <xf numFmtId="0" fontId="165" fillId="0" borderId="293" xfId="0" applyFont="1" applyBorder="1" applyAlignment="1" applyProtection="1">
      <alignment horizontal="left"/>
      <protection locked="0" hidden="1"/>
    </xf>
    <xf numFmtId="0" fontId="165" fillId="75" borderId="0" xfId="0" applyFont="1" applyFill="1" applyAlignment="1"/>
    <xf numFmtId="0" fontId="1" fillId="75" borderId="0" xfId="0" applyFont="1" applyFill="1" applyAlignment="1"/>
    <xf numFmtId="0" fontId="1" fillId="0" borderId="0" xfId="0" applyFont="1" applyAlignment="1" applyProtection="1">
      <protection locked="0" hidden="1"/>
    </xf>
    <xf numFmtId="0" fontId="155" fillId="0" borderId="0" xfId="0" applyFont="1" applyAlignment="1">
      <alignment horizontal="center"/>
    </xf>
    <xf numFmtId="0" fontId="279" fillId="0" borderId="0" xfId="0" applyFont="1" applyAlignment="1">
      <alignment horizontal="center" vertical="center"/>
    </xf>
    <xf numFmtId="0" fontId="267" fillId="58" borderId="263" xfId="0" applyFont="1" applyFill="1" applyBorder="1" applyAlignment="1">
      <alignment horizontal="center" vertical="center" wrapText="1"/>
    </xf>
    <xf numFmtId="0" fontId="279" fillId="0" borderId="0" xfId="0" applyFont="1" applyAlignment="1" applyProtection="1">
      <alignment horizontal="center" vertical="center"/>
      <protection locked="0" hidden="1"/>
    </xf>
    <xf numFmtId="167" fontId="69" fillId="21" borderId="287" xfId="0" applyNumberFormat="1" applyFont="1" applyFill="1" applyBorder="1" applyAlignment="1">
      <alignment horizontal="center" vertical="center"/>
    </xf>
    <xf numFmtId="167" fontId="69" fillId="21" borderId="294" xfId="0" applyNumberFormat="1" applyFont="1" applyFill="1" applyBorder="1" applyAlignment="1">
      <alignment horizontal="center" vertical="center" wrapText="1"/>
    </xf>
    <xf numFmtId="167" fontId="69" fillId="21" borderId="288" xfId="0" applyNumberFormat="1" applyFont="1" applyFill="1" applyBorder="1" applyAlignment="1">
      <alignment horizontal="center" vertical="center"/>
    </xf>
    <xf numFmtId="165" fontId="267" fillId="0" borderId="295" xfId="0" applyNumberFormat="1" applyFont="1" applyBorder="1" applyAlignment="1">
      <alignment horizontal="center" vertical="center"/>
    </xf>
    <xf numFmtId="0" fontId="267" fillId="0" borderId="296" xfId="0" applyFont="1" applyBorder="1" applyAlignment="1">
      <alignment horizontal="center" vertical="center"/>
    </xf>
    <xf numFmtId="0" fontId="267" fillId="0" borderId="297" xfId="0" applyFont="1" applyBorder="1" applyAlignment="1">
      <alignment horizontal="center" vertical="center"/>
    </xf>
    <xf numFmtId="0" fontId="267" fillId="0" borderId="298" xfId="0" applyFont="1" applyBorder="1" applyAlignment="1">
      <alignment horizontal="center" vertical="center"/>
    </xf>
    <xf numFmtId="0" fontId="283" fillId="0" borderId="0" xfId="1" applyFont="1" applyFill="1" applyAlignment="1" applyProtection="1">
      <alignment vertical="center"/>
    </xf>
    <xf numFmtId="0" fontId="267" fillId="0" borderId="299" xfId="0" applyFont="1" applyBorder="1" applyAlignment="1">
      <alignment horizontal="center" vertical="center"/>
    </xf>
    <xf numFmtId="0" fontId="267" fillId="0" borderId="300" xfId="0" applyFont="1" applyBorder="1" applyAlignment="1">
      <alignment horizontal="center" vertical="center"/>
    </xf>
    <xf numFmtId="0" fontId="267" fillId="0" borderId="301" xfId="0" applyFont="1" applyBorder="1" applyAlignment="1">
      <alignment horizontal="center" vertical="center"/>
    </xf>
    <xf numFmtId="0" fontId="267" fillId="0" borderId="302" xfId="0" applyFont="1" applyBorder="1" applyAlignment="1">
      <alignment horizontal="center" vertical="center"/>
    </xf>
    <xf numFmtId="165" fontId="267" fillId="0" borderId="303" xfId="0" applyNumberFormat="1" applyFont="1" applyBorder="1" applyAlignment="1">
      <alignment horizontal="center" vertical="center"/>
    </xf>
    <xf numFmtId="0" fontId="267" fillId="0" borderId="304" xfId="0" applyFont="1" applyBorder="1" applyAlignment="1">
      <alignment horizontal="center" vertical="center"/>
    </xf>
    <xf numFmtId="165" fontId="267" fillId="0" borderId="305" xfId="0" applyNumberFormat="1" applyFont="1" applyBorder="1" applyAlignment="1">
      <alignment horizontal="center" vertical="center"/>
    </xf>
    <xf numFmtId="0" fontId="267" fillId="0" borderId="306" xfId="0" applyFont="1" applyBorder="1" applyAlignment="1">
      <alignment horizontal="center" vertical="center"/>
    </xf>
    <xf numFmtId="165" fontId="267" fillId="43" borderId="305" xfId="0" applyNumberFormat="1" applyFont="1" applyFill="1" applyBorder="1" applyAlignment="1">
      <alignment horizontal="center" vertical="center"/>
    </xf>
    <xf numFmtId="0" fontId="267" fillId="43" borderId="296" xfId="0" applyFont="1" applyFill="1" applyBorder="1" applyAlignment="1">
      <alignment horizontal="center" vertical="center"/>
    </xf>
    <xf numFmtId="0" fontId="267" fillId="43" borderId="306" xfId="0" applyFont="1" applyFill="1" applyBorder="1" applyAlignment="1">
      <alignment horizontal="center" vertical="center"/>
    </xf>
    <xf numFmtId="0" fontId="267" fillId="43" borderId="298" xfId="0" applyFont="1" applyFill="1" applyBorder="1" applyAlignment="1">
      <alignment horizontal="center" vertical="center"/>
    </xf>
    <xf numFmtId="0" fontId="142" fillId="43" borderId="0" xfId="0" applyFont="1" applyFill="1" applyAlignment="1">
      <alignment horizontal="center" vertical="center"/>
    </xf>
    <xf numFmtId="0" fontId="1" fillId="0" borderId="0" xfId="0" applyFont="1">
      <alignment vertical="center"/>
    </xf>
    <xf numFmtId="0" fontId="267" fillId="0" borderId="0" xfId="0" applyFont="1" applyAlignment="1">
      <alignment horizontal="center" vertical="center"/>
    </xf>
    <xf numFmtId="165" fontId="267" fillId="58" borderId="287" xfId="0" applyNumberFormat="1" applyFont="1" applyFill="1" applyBorder="1" applyAlignment="1">
      <alignment horizontal="center" vertical="center"/>
    </xf>
    <xf numFmtId="0" fontId="267" fillId="58" borderId="307" xfId="0" applyFont="1" applyFill="1" applyBorder="1" applyAlignment="1">
      <alignment horizontal="center" vertical="center"/>
    </xf>
    <xf numFmtId="0" fontId="284" fillId="58" borderId="308" xfId="0" applyFont="1" applyFill="1" applyBorder="1" applyAlignment="1">
      <alignment horizontal="center" vertical="center"/>
    </xf>
    <xf numFmtId="177" fontId="267" fillId="0" borderId="310" xfId="0" applyNumberFormat="1" applyFont="1" applyBorder="1" applyAlignment="1">
      <alignment horizontal="center" vertical="center"/>
    </xf>
    <xf numFmtId="0" fontId="267" fillId="0" borderId="310" xfId="0" applyFont="1" applyBorder="1" applyAlignment="1">
      <alignment horizontal="center" vertical="center"/>
    </xf>
    <xf numFmtId="0" fontId="267" fillId="0" borderId="311" xfId="0" applyFont="1" applyBorder="1" applyAlignment="1">
      <alignment horizontal="center" vertical="center"/>
    </xf>
    <xf numFmtId="0" fontId="64" fillId="0" borderId="0" xfId="0" applyFont="1" applyAlignment="1">
      <alignment horizontal="center" vertical="center"/>
    </xf>
    <xf numFmtId="165" fontId="267" fillId="0" borderId="71" xfId="0" applyNumberFormat="1" applyFont="1" applyBorder="1" applyAlignment="1">
      <alignment horizontal="center" vertical="center"/>
    </xf>
    <xf numFmtId="0" fontId="267" fillId="0" borderId="312" xfId="0" applyFont="1" applyBorder="1" applyAlignment="1">
      <alignment horizontal="center" vertical="center"/>
    </xf>
    <xf numFmtId="0" fontId="273" fillId="21" borderId="291" xfId="0" applyFont="1" applyFill="1" applyBorder="1" applyAlignment="1">
      <alignment horizontal="center" vertical="center"/>
    </xf>
    <xf numFmtId="0" fontId="279" fillId="0" borderId="291" xfId="0" applyFont="1" applyBorder="1" applyAlignment="1">
      <alignment horizontal="center" vertical="center"/>
    </xf>
    <xf numFmtId="0" fontId="279" fillId="0" borderId="0" xfId="0" applyFont="1">
      <alignment vertical="center"/>
    </xf>
    <xf numFmtId="0" fontId="284" fillId="0" borderId="313" xfId="0" applyFont="1" applyFill="1" applyBorder="1" applyAlignment="1">
      <alignment horizontal="center" vertical="center"/>
    </xf>
    <xf numFmtId="0" fontId="284" fillId="0" borderId="79" xfId="0" applyFont="1" applyFill="1" applyBorder="1" applyAlignment="1">
      <alignment horizontal="center" vertical="center"/>
    </xf>
    <xf numFmtId="0" fontId="284" fillId="0" borderId="79" xfId="0" applyFont="1" applyBorder="1" applyAlignment="1">
      <alignment horizontal="center" vertical="center"/>
    </xf>
    <xf numFmtId="0" fontId="284" fillId="0" borderId="274" xfId="0" applyFont="1" applyFill="1" applyBorder="1" applyAlignment="1">
      <alignment horizontal="center" vertical="center"/>
    </xf>
    <xf numFmtId="0" fontId="267" fillId="0" borderId="314" xfId="0" applyFont="1" applyBorder="1" applyAlignment="1">
      <alignment horizontal="center" vertical="center"/>
    </xf>
    <xf numFmtId="0" fontId="267" fillId="0" borderId="315" xfId="0" applyFont="1" applyBorder="1" applyAlignment="1">
      <alignment horizontal="center" vertical="center"/>
    </xf>
    <xf numFmtId="0" fontId="267" fillId="0" borderId="316" xfId="0" applyFont="1" applyBorder="1" applyAlignment="1">
      <alignment horizontal="center" vertical="center"/>
    </xf>
    <xf numFmtId="0" fontId="286" fillId="0" borderId="0" xfId="1" applyFont="1" applyFill="1" applyAlignment="1" applyProtection="1">
      <alignment vertical="center"/>
      <protection locked="0" hidden="1"/>
    </xf>
    <xf numFmtId="165" fontId="279" fillId="0" borderId="0" xfId="0" applyNumberFormat="1" applyFont="1" applyAlignment="1"/>
    <xf numFmtId="165" fontId="1" fillId="0" borderId="0" xfId="0" applyNumberFormat="1" applyFont="1" applyAlignment="1"/>
    <xf numFmtId="0" fontId="1" fillId="0" borderId="0" xfId="0" applyNumberFormat="1" applyFont="1" applyAlignment="1"/>
    <xf numFmtId="17" fontId="1" fillId="0" borderId="0" xfId="0" applyNumberFormat="1" applyFont="1" applyAlignment="1"/>
    <xf numFmtId="0" fontId="1" fillId="43" borderId="0" xfId="0" applyFont="1" applyFill="1" applyAlignment="1" applyProtection="1">
      <protection locked="0" hidden="1"/>
    </xf>
    <xf numFmtId="179" fontId="1" fillId="0" borderId="0" xfId="0" applyNumberFormat="1" applyFont="1" applyAlignment="1"/>
    <xf numFmtId="0" fontId="279" fillId="43" borderId="0" xfId="0" applyNumberFormat="1" applyFont="1" applyFill="1" applyAlignment="1" applyProtection="1">
      <protection locked="0" hidden="1"/>
    </xf>
    <xf numFmtId="0" fontId="279" fillId="43" borderId="0" xfId="0" applyFont="1" applyFill="1" applyAlignment="1" applyProtection="1">
      <protection locked="0" hidden="1"/>
    </xf>
    <xf numFmtId="17" fontId="279" fillId="0" borderId="0" xfId="0" applyNumberFormat="1" applyFont="1" applyAlignment="1"/>
    <xf numFmtId="17" fontId="1" fillId="0" borderId="0" xfId="0" applyNumberFormat="1" applyFont="1" applyAlignment="1">
      <alignment horizontal="right"/>
    </xf>
    <xf numFmtId="0" fontId="1" fillId="0" borderId="0" xfId="0" applyNumberFormat="1" applyFont="1" applyAlignment="1">
      <alignment horizontal="right"/>
    </xf>
    <xf numFmtId="168" fontId="279" fillId="0" borderId="0" xfId="0" applyNumberFormat="1" applyFont="1" applyAlignment="1"/>
    <xf numFmtId="0" fontId="1" fillId="43" borderId="0" xfId="0" applyFont="1" applyFill="1" applyAlignment="1"/>
    <xf numFmtId="165" fontId="1" fillId="43" borderId="0" xfId="0" applyNumberFormat="1" applyFont="1" applyFill="1" applyAlignment="1"/>
    <xf numFmtId="0" fontId="287" fillId="76" borderId="0" xfId="0" applyFont="1" applyFill="1" applyAlignment="1"/>
    <xf numFmtId="165" fontId="287" fillId="76" borderId="0" xfId="0" applyNumberFormat="1" applyFont="1" applyFill="1" applyAlignment="1"/>
    <xf numFmtId="0" fontId="1" fillId="65" borderId="0" xfId="0" applyFont="1" applyFill="1" applyAlignment="1"/>
    <xf numFmtId="0" fontId="1" fillId="77" borderId="0" xfId="0" applyFont="1" applyFill="1" applyAlignment="1"/>
    <xf numFmtId="0" fontId="1" fillId="77" borderId="0" xfId="0" applyNumberFormat="1" applyFont="1" applyFill="1" applyAlignment="1"/>
    <xf numFmtId="1" fontId="1" fillId="0" borderId="0" xfId="0" applyNumberFormat="1" applyFont="1" applyAlignment="1"/>
    <xf numFmtId="0" fontId="1" fillId="0" borderId="37" xfId="0" applyFont="1" applyBorder="1" applyAlignment="1"/>
    <xf numFmtId="0" fontId="1" fillId="0" borderId="38" xfId="0" applyFont="1" applyBorder="1" applyAlignment="1"/>
    <xf numFmtId="165" fontId="1" fillId="0" borderId="38" xfId="0" applyNumberFormat="1" applyFont="1" applyBorder="1" applyAlignment="1"/>
    <xf numFmtId="0" fontId="1" fillId="0" borderId="39" xfId="0" applyFont="1" applyBorder="1" applyAlignment="1"/>
    <xf numFmtId="0" fontId="1" fillId="0" borderId="57" xfId="0" applyFont="1" applyBorder="1" applyAlignment="1"/>
    <xf numFmtId="165" fontId="1" fillId="0" borderId="0" xfId="0" applyNumberFormat="1" applyFont="1" applyBorder="1" applyAlignment="1"/>
    <xf numFmtId="0" fontId="1" fillId="0" borderId="36" xfId="0" applyFont="1" applyBorder="1" applyAlignment="1"/>
    <xf numFmtId="0" fontId="1" fillId="0" borderId="40" xfId="0" applyFont="1" applyBorder="1" applyAlignment="1"/>
    <xf numFmtId="0" fontId="1" fillId="0" borderId="41" xfId="0" applyFont="1" applyBorder="1" applyAlignment="1"/>
    <xf numFmtId="165" fontId="1" fillId="0" borderId="41" xfId="0" applyNumberFormat="1" applyFont="1" applyBorder="1" applyAlignment="1"/>
    <xf numFmtId="0" fontId="1" fillId="0" borderId="42" xfId="0" applyFont="1" applyBorder="1" applyAlignment="1"/>
    <xf numFmtId="0" fontId="1" fillId="0" borderId="129" xfId="0" applyFont="1" applyBorder="1" applyAlignment="1"/>
    <xf numFmtId="0" fontId="1" fillId="0" borderId="130" xfId="0" applyFont="1" applyBorder="1" applyAlignment="1"/>
    <xf numFmtId="0" fontId="1" fillId="0" borderId="131" xfId="0" applyFont="1" applyBorder="1" applyAlignment="1"/>
    <xf numFmtId="0" fontId="1" fillId="0" borderId="134" xfId="0" applyFont="1" applyBorder="1" applyAlignment="1"/>
    <xf numFmtId="0" fontId="1" fillId="0" borderId="135" xfId="0" applyFont="1" applyBorder="1" applyAlignment="1"/>
    <xf numFmtId="177" fontId="1" fillId="0" borderId="134" xfId="0" applyNumberFormat="1" applyFont="1" applyBorder="1" applyAlignment="1"/>
    <xf numFmtId="178" fontId="1" fillId="0" borderId="134" xfId="0" applyNumberFormat="1" applyFont="1" applyBorder="1" applyAlignment="1"/>
    <xf numFmtId="14" fontId="1" fillId="0" borderId="0" xfId="0" applyNumberFormat="1" applyFont="1" applyAlignment="1"/>
    <xf numFmtId="0" fontId="1" fillId="0" borderId="137" xfId="0" applyFont="1" applyBorder="1" applyAlignment="1"/>
    <xf numFmtId="0" fontId="1" fillId="0" borderId="112" xfId="0" applyFont="1" applyBorder="1" applyAlignment="1"/>
    <xf numFmtId="0" fontId="1" fillId="0" borderId="138" xfId="0" applyFont="1" applyBorder="1" applyAlignment="1"/>
    <xf numFmtId="0" fontId="169" fillId="0" borderId="317" xfId="2" applyFont="1" applyFill="1" applyBorder="1" applyAlignment="1" applyProtection="1">
      <protection locked="0" hidden="1"/>
    </xf>
    <xf numFmtId="0" fontId="169" fillId="0" borderId="318" xfId="2" applyFont="1" applyFill="1" applyBorder="1" applyAlignment="1" applyProtection="1">
      <alignment vertical="center"/>
      <protection locked="0" hidden="1"/>
    </xf>
    <xf numFmtId="0" fontId="169" fillId="0" borderId="318" xfId="2" applyFont="1" applyFill="1" applyBorder="1" applyAlignment="1" applyProtection="1">
      <protection locked="0" hidden="1"/>
    </xf>
    <xf numFmtId="0" fontId="169" fillId="0" borderId="319" xfId="2" applyFont="1" applyFill="1" applyBorder="1" applyAlignment="1" applyProtection="1">
      <protection locked="0" hidden="1"/>
    </xf>
    <xf numFmtId="0" fontId="169" fillId="0" borderId="320" xfId="2" applyFont="1" applyFill="1" applyBorder="1" applyAlignment="1" applyProtection="1">
      <protection locked="0" hidden="1"/>
    </xf>
    <xf numFmtId="0" fontId="169" fillId="0" borderId="0" xfId="2" applyFont="1" applyBorder="1" applyAlignment="1" applyProtection="1">
      <alignment vertical="center"/>
      <protection locked="0" hidden="1"/>
    </xf>
    <xf numFmtId="0" fontId="169" fillId="0" borderId="321" xfId="2" applyFont="1" applyFill="1" applyBorder="1" applyAlignment="1" applyProtection="1">
      <protection locked="0" hidden="1"/>
    </xf>
    <xf numFmtId="0" fontId="166" fillId="0" borderId="0" xfId="2" applyFont="1" applyFill="1" applyBorder="1" applyAlignment="1" applyProtection="1">
      <alignment vertical="center"/>
    </xf>
    <xf numFmtId="0" fontId="158" fillId="0" borderId="0" xfId="2" applyFill="1" applyBorder="1" applyAlignment="1" applyProtection="1"/>
    <xf numFmtId="0" fontId="261" fillId="0" borderId="0" xfId="2" applyFont="1" applyBorder="1" applyAlignment="1" applyProtection="1">
      <alignment vertical="center"/>
      <protection locked="0" hidden="1"/>
    </xf>
    <xf numFmtId="0" fontId="158" fillId="0" borderId="0" xfId="2" applyAlignment="1" applyProtection="1">
      <protection locked="0" hidden="1"/>
    </xf>
    <xf numFmtId="0" fontId="289" fillId="0" borderId="0" xfId="2" applyFont="1" applyFill="1" applyBorder="1" applyAlignment="1" applyProtection="1">
      <alignment vertical="center"/>
    </xf>
    <xf numFmtId="0" fontId="290" fillId="0" borderId="0" xfId="2" applyFont="1" applyAlignment="1" applyProtection="1">
      <alignment vertical="center"/>
    </xf>
    <xf numFmtId="0" fontId="169" fillId="0" borderId="0" xfId="2" applyFont="1" applyFill="1" applyBorder="1" applyAlignment="1" applyProtection="1">
      <alignment horizontal="left" vertical="center"/>
    </xf>
    <xf numFmtId="0" fontId="169" fillId="0" borderId="0" xfId="2" applyFont="1" applyFill="1" applyBorder="1" applyAlignment="1" applyProtection="1">
      <alignment vertical="center"/>
      <protection locked="0" hidden="1"/>
    </xf>
    <xf numFmtId="0" fontId="158" fillId="0" borderId="0" xfId="2" applyAlignment="1" applyProtection="1">
      <alignment wrapText="1"/>
    </xf>
    <xf numFmtId="0" fontId="165" fillId="0" borderId="0" xfId="2" applyFont="1" applyBorder="1" applyAlignment="1" applyProtection="1">
      <alignment vertical="center"/>
      <protection locked="0" hidden="1"/>
    </xf>
    <xf numFmtId="0" fontId="169" fillId="0" borderId="0" xfId="2" applyFont="1" applyFill="1" applyBorder="1" applyAlignment="1" applyProtection="1">
      <protection locked="0" hidden="1"/>
    </xf>
    <xf numFmtId="0" fontId="166" fillId="0" borderId="321" xfId="2" applyFont="1" applyFill="1" applyBorder="1" applyAlignment="1" applyProtection="1">
      <protection locked="0" hidden="1"/>
    </xf>
    <xf numFmtId="0" fontId="158" fillId="0" borderId="0" xfId="2" applyAlignment="1" applyProtection="1"/>
    <xf numFmtId="0" fontId="158" fillId="0" borderId="320" xfId="2" applyFill="1" applyBorder="1" applyAlignment="1" applyProtection="1">
      <protection locked="0" hidden="1"/>
    </xf>
    <xf numFmtId="0" fontId="158" fillId="0" borderId="0" xfId="2" applyBorder="1" applyAlignment="1" applyProtection="1">
      <alignment vertical="center"/>
      <protection locked="0" hidden="1"/>
    </xf>
    <xf numFmtId="0" fontId="291" fillId="0" borderId="0" xfId="2" applyFont="1" applyBorder="1" applyAlignment="1" applyProtection="1">
      <alignment horizontal="right" vertical="center"/>
      <protection locked="0" hidden="1"/>
    </xf>
    <xf numFmtId="0" fontId="158" fillId="0" borderId="0" xfId="2" applyBorder="1" applyAlignment="1" applyProtection="1">
      <protection locked="0" hidden="1"/>
    </xf>
    <xf numFmtId="0" fontId="158" fillId="0" borderId="321" xfId="2" applyFill="1" applyBorder="1" applyAlignment="1" applyProtection="1">
      <protection locked="0" hidden="1"/>
    </xf>
    <xf numFmtId="0" fontId="291" fillId="0" borderId="0" xfId="2" applyFont="1" applyBorder="1" applyAlignment="1">
      <alignment vertical="center" wrapText="1"/>
      <protection locked="0"/>
    </xf>
    <xf numFmtId="0" fontId="140" fillId="0" borderId="0" xfId="2" applyFont="1" applyBorder="1" applyAlignment="1" applyProtection="1">
      <alignment vertical="center"/>
      <protection locked="0" hidden="1"/>
    </xf>
    <xf numFmtId="0" fontId="291" fillId="0" borderId="0" xfId="2" applyFont="1" applyBorder="1" applyAlignment="1" applyProtection="1">
      <alignment vertical="center"/>
      <protection locked="0" hidden="1"/>
    </xf>
    <xf numFmtId="0" fontId="165" fillId="0" borderId="0" xfId="2" applyFont="1" applyFill="1" applyBorder="1" applyAlignment="1" applyProtection="1">
      <alignment vertical="center"/>
      <protection locked="0" hidden="1"/>
    </xf>
    <xf numFmtId="0" fontId="261" fillId="0" borderId="169" xfId="2" applyFont="1" applyFill="1" applyBorder="1" applyAlignment="1" applyProtection="1">
      <alignment vertical="center"/>
      <protection locked="0" hidden="1"/>
    </xf>
    <xf numFmtId="0" fontId="35" fillId="0" borderId="0" xfId="2" applyFont="1" applyFill="1" applyBorder="1" applyAlignment="1" applyProtection="1">
      <alignment horizontal="left" vertical="center"/>
      <protection locked="0" hidden="1"/>
    </xf>
    <xf numFmtId="0" fontId="277" fillId="0" borderId="0" xfId="2" applyFont="1" applyBorder="1" applyAlignment="1" applyProtection="1">
      <alignment vertical="center"/>
      <protection locked="0" hidden="1"/>
    </xf>
    <xf numFmtId="0" fontId="293" fillId="0" borderId="0" xfId="2" applyFont="1" applyBorder="1" applyAlignment="1" applyProtection="1">
      <alignment vertical="center" wrapText="1"/>
      <protection locked="0" hidden="1"/>
    </xf>
    <xf numFmtId="0" fontId="291" fillId="0" borderId="0" xfId="2" applyFont="1" applyBorder="1" applyAlignment="1" applyProtection="1">
      <alignment vertical="center" wrapText="1"/>
      <protection locked="0" hidden="1"/>
    </xf>
    <xf numFmtId="0" fontId="158" fillId="0" borderId="130" xfId="2" applyBorder="1" applyAlignment="1" applyProtection="1">
      <alignment wrapText="1"/>
    </xf>
    <xf numFmtId="0" fontId="158" fillId="0" borderId="0" xfId="2" applyFill="1" applyBorder="1" applyAlignment="1" applyProtection="1">
      <alignment vertical="center"/>
      <protection locked="0" hidden="1"/>
    </xf>
    <xf numFmtId="0" fontId="158" fillId="0" borderId="0" xfId="2" applyFill="1" applyBorder="1" applyAlignment="1" applyProtection="1">
      <protection locked="0" hidden="1"/>
    </xf>
    <xf numFmtId="0" fontId="158" fillId="0" borderId="322" xfId="2" applyFill="1" applyBorder="1" applyAlignment="1" applyProtection="1">
      <protection locked="0" hidden="1"/>
    </xf>
    <xf numFmtId="0" fontId="158" fillId="0" borderId="323" xfId="2" applyFill="1" applyBorder="1" applyAlignment="1" applyProtection="1">
      <protection locked="0" hidden="1"/>
    </xf>
    <xf numFmtId="0" fontId="158" fillId="0" borderId="324" xfId="2" applyFill="1" applyBorder="1" applyAlignment="1" applyProtection="1">
      <protection locked="0" hidden="1"/>
    </xf>
    <xf numFmtId="0" fontId="2" fillId="3" borderId="0" xfId="0" applyFont="1" applyFill="1" applyBorder="1" applyAlignment="1" applyProtection="1">
      <alignment horizontal="center" vertical="center" wrapText="1"/>
      <protection hidden="1"/>
    </xf>
    <xf numFmtId="0" fontId="5" fillId="4" borderId="0" xfId="0" applyFont="1" applyFill="1" applyBorder="1" applyAlignment="1" applyProtection="1">
      <alignment horizontal="center" vertical="center" wrapText="1"/>
      <protection hidden="1"/>
    </xf>
    <xf numFmtId="0" fontId="6" fillId="5" borderId="0" xfId="0" applyFont="1" applyFill="1" applyBorder="1" applyAlignment="1" applyProtection="1">
      <alignment horizontal="center" vertical="top" wrapText="1"/>
      <protection hidden="1"/>
    </xf>
    <xf numFmtId="0" fontId="144" fillId="0" borderId="18" xfId="2" applyFont="1" applyBorder="1" applyAlignment="1" applyProtection="1">
      <alignment horizontal="center"/>
    </xf>
    <xf numFmtId="0" fontId="126" fillId="0" borderId="107" xfId="2" applyFont="1" applyFill="1" applyBorder="1" applyAlignment="1" applyProtection="1">
      <alignment horizontal="center" vertical="center"/>
      <protection locked="0" hidden="1"/>
    </xf>
    <xf numFmtId="0" fontId="126" fillId="0" borderId="108" xfId="2" applyFont="1" applyFill="1" applyBorder="1" applyAlignment="1" applyProtection="1">
      <alignment horizontal="center" vertical="center"/>
      <protection locked="0" hidden="1"/>
    </xf>
    <xf numFmtId="0" fontId="67" fillId="0" borderId="52" xfId="2" applyFont="1" applyFill="1" applyBorder="1" applyAlignment="1" applyProtection="1">
      <alignment horizontal="left" vertical="center"/>
      <protection locked="0" hidden="1"/>
    </xf>
    <xf numFmtId="0" fontId="67" fillId="0" borderId="53" xfId="2" applyFont="1" applyFill="1" applyBorder="1" applyAlignment="1" applyProtection="1">
      <alignment horizontal="left" vertical="center"/>
      <protection locked="0" hidden="1"/>
    </xf>
    <xf numFmtId="0" fontId="67" fillId="0" borderId="54" xfId="2" applyFont="1" applyFill="1" applyBorder="1" applyAlignment="1" applyProtection="1">
      <alignment horizontal="left" vertical="center"/>
      <protection locked="0" hidden="1"/>
    </xf>
    <xf numFmtId="0" fontId="102" fillId="0" borderId="48" xfId="2" applyFont="1" applyFill="1" applyBorder="1" applyAlignment="1" applyProtection="1">
      <alignment horizontal="center" vertical="center"/>
      <protection hidden="1"/>
    </xf>
    <xf numFmtId="0" fontId="102" fillId="0" borderId="53" xfId="2" applyFont="1" applyFill="1" applyBorder="1" applyAlignment="1" applyProtection="1">
      <alignment horizontal="center" vertical="center"/>
      <protection hidden="1"/>
    </xf>
    <xf numFmtId="0" fontId="102" fillId="0" borderId="49" xfId="2" applyFont="1" applyFill="1" applyBorder="1" applyAlignment="1" applyProtection="1">
      <alignment horizontal="center" vertical="center"/>
      <protection hidden="1"/>
    </xf>
    <xf numFmtId="0" fontId="50" fillId="0" borderId="73" xfId="2" applyFont="1" applyFill="1" applyBorder="1" applyAlignment="1" applyProtection="1">
      <alignment horizontal="center" vertical="center"/>
      <protection locked="0" hidden="1"/>
    </xf>
    <xf numFmtId="0" fontId="50" fillId="0" borderId="64" xfId="2" applyFont="1" applyFill="1" applyBorder="1" applyAlignment="1" applyProtection="1">
      <alignment horizontal="center" vertical="center"/>
      <protection locked="0" hidden="1"/>
    </xf>
    <xf numFmtId="0" fontId="126" fillId="0" borderId="62" xfId="2" applyFont="1" applyFill="1" applyBorder="1" applyAlignment="1" applyProtection="1">
      <alignment horizontal="center" vertical="center"/>
      <protection locked="0" hidden="1"/>
    </xf>
    <xf numFmtId="0" fontId="126" fillId="0" borderId="81" xfId="2" applyFont="1" applyFill="1" applyBorder="1" applyAlignment="1" applyProtection="1">
      <alignment horizontal="center" vertical="center"/>
      <protection locked="0" hidden="1"/>
    </xf>
    <xf numFmtId="0" fontId="144" fillId="0" borderId="118" xfId="2" applyFont="1" applyBorder="1" applyAlignment="1" applyProtection="1">
      <alignment horizontal="center"/>
    </xf>
    <xf numFmtId="0" fontId="67" fillId="0" borderId="62" xfId="2" applyFont="1" applyFill="1" applyBorder="1" applyAlignment="1" applyProtection="1">
      <alignment horizontal="left" vertical="center"/>
      <protection locked="0" hidden="1"/>
    </xf>
    <xf numFmtId="0" fontId="16" fillId="18" borderId="0" xfId="2" applyFont="1" applyFill="1" applyBorder="1" applyAlignment="1" applyProtection="1">
      <alignment horizontal="center" vertical="center"/>
      <protection locked="0" hidden="1"/>
    </xf>
    <xf numFmtId="0" fontId="51" fillId="0" borderId="43" xfId="2" applyFont="1" applyFill="1" applyBorder="1" applyAlignment="1" applyProtection="1">
      <alignment horizontal="center" vertical="center"/>
      <protection locked="0" hidden="1"/>
    </xf>
    <xf numFmtId="0" fontId="51" fillId="0" borderId="56" xfId="2" applyFont="1" applyFill="1" applyBorder="1" applyAlignment="1" applyProtection="1">
      <alignment horizontal="center" vertical="center"/>
      <protection locked="0" hidden="1"/>
    </xf>
    <xf numFmtId="0" fontId="83" fillId="57" borderId="57" xfId="2" applyFont="1" applyFill="1" applyBorder="1" applyAlignment="1" applyProtection="1">
      <alignment horizontal="left" vertical="center" wrapText="1"/>
      <protection hidden="1"/>
    </xf>
    <xf numFmtId="0" fontId="83" fillId="57" borderId="0" xfId="2" applyFont="1" applyFill="1" applyBorder="1" applyAlignment="1" applyProtection="1">
      <alignment horizontal="left" vertical="center" wrapText="1"/>
      <protection hidden="1"/>
    </xf>
    <xf numFmtId="0" fontId="83" fillId="57" borderId="36" xfId="2" applyFont="1" applyFill="1" applyBorder="1" applyAlignment="1" applyProtection="1">
      <alignment horizontal="left" vertical="center" wrapText="1"/>
      <protection hidden="1"/>
    </xf>
    <xf numFmtId="0" fontId="118" fillId="21" borderId="0" xfId="2" applyFont="1" applyFill="1" applyBorder="1" applyAlignment="1" applyProtection="1">
      <alignment horizontal="center" vertical="center"/>
    </xf>
    <xf numFmtId="0" fontId="39" fillId="21" borderId="55" xfId="2" applyFont="1" applyFill="1" applyBorder="1" applyAlignment="1" applyProtection="1">
      <alignment horizontal="center" vertical="center"/>
    </xf>
    <xf numFmtId="0" fontId="39" fillId="21" borderId="56" xfId="2" applyFont="1" applyFill="1" applyBorder="1" applyAlignment="1" applyProtection="1">
      <alignment horizontal="center" vertical="center"/>
    </xf>
    <xf numFmtId="0" fontId="104" fillId="27" borderId="106" xfId="2" applyFont="1" applyFill="1" applyBorder="1" applyAlignment="1" applyProtection="1">
      <alignment horizontal="left" vertical="center"/>
    </xf>
    <xf numFmtId="0" fontId="104" fillId="27" borderId="107" xfId="2" applyFont="1" applyFill="1" applyBorder="1" applyAlignment="1" applyProtection="1">
      <alignment horizontal="left" vertical="center"/>
    </xf>
    <xf numFmtId="0" fontId="73" fillId="0" borderId="63" xfId="2" applyFont="1" applyFill="1" applyBorder="1" applyAlignment="1" applyProtection="1">
      <alignment horizontal="center" vertical="top"/>
      <protection hidden="1"/>
    </xf>
    <xf numFmtId="0" fontId="73" fillId="0" borderId="64" xfId="2" applyFont="1" applyFill="1" applyBorder="1" applyAlignment="1" applyProtection="1">
      <alignment horizontal="center" vertical="top"/>
      <protection hidden="1"/>
    </xf>
    <xf numFmtId="0" fontId="66" fillId="32" borderId="58" xfId="2" applyFont="1" applyFill="1" applyBorder="1" applyAlignment="1" applyProtection="1">
      <alignment horizontal="left" vertical="center"/>
      <protection hidden="1"/>
    </xf>
    <xf numFmtId="0" fontId="66" fillId="32" borderId="59" xfId="2" applyFont="1" applyFill="1" applyBorder="1" applyAlignment="1" applyProtection="1">
      <alignment horizontal="left" vertical="center"/>
      <protection hidden="1"/>
    </xf>
    <xf numFmtId="0" fontId="143" fillId="21" borderId="0" xfId="2" applyFont="1" applyFill="1" applyAlignment="1" applyProtection="1">
      <alignment horizontal="center" vertical="center"/>
    </xf>
    <xf numFmtId="0" fontId="67" fillId="0" borderId="43" xfId="2" applyFont="1" applyFill="1" applyBorder="1" applyAlignment="1" applyProtection="1">
      <alignment horizontal="center" vertical="center"/>
      <protection locked="0" hidden="1"/>
    </xf>
    <xf numFmtId="0" fontId="67" fillId="0" borderId="61" xfId="2" applyFont="1" applyFill="1" applyBorder="1" applyAlignment="1" applyProtection="1">
      <alignment horizontal="center" vertical="center"/>
      <protection locked="0" hidden="1"/>
    </xf>
    <xf numFmtId="0" fontId="66" fillId="26" borderId="58" xfId="2" applyFont="1" applyFill="1" applyBorder="1" applyAlignment="1" applyProtection="1">
      <alignment horizontal="left" vertical="center"/>
      <protection hidden="1"/>
    </xf>
    <xf numFmtId="0" fontId="66" fillId="26" borderId="0" xfId="2" applyFont="1" applyFill="1" applyBorder="1" applyAlignment="1" applyProtection="1">
      <alignment horizontal="left" vertical="center"/>
      <protection hidden="1"/>
    </xf>
    <xf numFmtId="0" fontId="144" fillId="43" borderId="0" xfId="2" applyFont="1" applyFill="1" applyAlignment="1" applyProtection="1">
      <alignment horizontal="center"/>
    </xf>
    <xf numFmtId="0" fontId="40" fillId="21" borderId="0" xfId="1" applyFont="1" applyFill="1" applyAlignment="1" applyProtection="1">
      <alignment horizontal="center" vertical="center" wrapText="1"/>
    </xf>
    <xf numFmtId="0" fontId="54" fillId="21" borderId="44" xfId="2" applyFont="1" applyFill="1" applyBorder="1" applyAlignment="1" applyProtection="1">
      <alignment horizontal="center" vertical="center"/>
    </xf>
    <xf numFmtId="0" fontId="54" fillId="21" borderId="45" xfId="2" applyFont="1" applyFill="1" applyBorder="1" applyAlignment="1" applyProtection="1">
      <alignment horizontal="center" vertical="center"/>
    </xf>
    <xf numFmtId="0" fontId="43" fillId="21" borderId="37" xfId="2" applyFont="1" applyFill="1" applyBorder="1" applyAlignment="1" applyProtection="1">
      <alignment horizontal="center" vertical="center" wrapText="1"/>
      <protection hidden="1"/>
    </xf>
    <xf numFmtId="0" fontId="43" fillId="21" borderId="38" xfId="2" applyFont="1" applyFill="1" applyBorder="1" applyAlignment="1" applyProtection="1">
      <alignment horizontal="center" vertical="center" wrapText="1"/>
      <protection hidden="1"/>
    </xf>
    <xf numFmtId="0" fontId="43" fillId="21" borderId="39" xfId="2" applyFont="1" applyFill="1" applyBorder="1" applyAlignment="1" applyProtection="1">
      <alignment horizontal="center" vertical="center" wrapText="1"/>
      <protection hidden="1"/>
    </xf>
    <xf numFmtId="0" fontId="43" fillId="21" borderId="40" xfId="2" applyFont="1" applyFill="1" applyBorder="1" applyAlignment="1" applyProtection="1">
      <alignment horizontal="center" vertical="center" wrapText="1"/>
      <protection hidden="1"/>
    </xf>
    <xf numFmtId="0" fontId="43" fillId="21" borderId="41" xfId="2" applyFont="1" applyFill="1" applyBorder="1" applyAlignment="1" applyProtection="1">
      <alignment horizontal="center" vertical="center" wrapText="1"/>
      <protection hidden="1"/>
    </xf>
    <xf numFmtId="0" fontId="43" fillId="21" borderId="42" xfId="2" applyFont="1" applyFill="1" applyBorder="1" applyAlignment="1" applyProtection="1">
      <alignment horizontal="center" vertical="center" wrapText="1"/>
      <protection hidden="1"/>
    </xf>
    <xf numFmtId="0" fontId="54" fillId="24" borderId="44" xfId="2" applyFont="1" applyFill="1" applyBorder="1" applyAlignment="1" applyProtection="1">
      <alignment horizontal="center" vertical="center"/>
      <protection hidden="1"/>
    </xf>
    <xf numFmtId="0" fontId="54" fillId="24" borderId="45" xfId="2" applyFont="1" applyFill="1" applyBorder="1" applyAlignment="1" applyProtection="1">
      <alignment horizontal="center" vertical="center"/>
      <protection hidden="1"/>
    </xf>
    <xf numFmtId="0" fontId="51" fillId="18" borderId="0" xfId="2" applyFont="1" applyFill="1" applyBorder="1" applyAlignment="1" applyProtection="1">
      <alignment horizontal="center" vertical="center"/>
    </xf>
    <xf numFmtId="0" fontId="66" fillId="32" borderId="50" xfId="2" applyFont="1" applyFill="1" applyBorder="1" applyAlignment="1" applyProtection="1">
      <alignment horizontal="left" vertical="center"/>
      <protection hidden="1"/>
    </xf>
    <xf numFmtId="0" fontId="66" fillId="32" borderId="51" xfId="2" applyFont="1" applyFill="1" applyBorder="1" applyAlignment="1" applyProtection="1">
      <alignment horizontal="left" vertical="center"/>
      <protection hidden="1"/>
    </xf>
    <xf numFmtId="0" fontId="136" fillId="18" borderId="0" xfId="2" applyFont="1" applyFill="1" applyBorder="1" applyAlignment="1" applyProtection="1">
      <alignment horizontal="left" vertical="center"/>
      <protection locked="0" hidden="1"/>
    </xf>
    <xf numFmtId="0" fontId="104" fillId="27" borderId="104" xfId="2" applyFont="1" applyFill="1" applyBorder="1" applyAlignment="1" applyProtection="1">
      <alignment horizontal="left" vertical="center"/>
    </xf>
    <xf numFmtId="0" fontId="104" fillId="27" borderId="62" xfId="2" applyFont="1" applyFill="1" applyBorder="1" applyAlignment="1" applyProtection="1">
      <alignment horizontal="left" vertical="center"/>
    </xf>
    <xf numFmtId="0" fontId="43" fillId="27" borderId="43" xfId="2" applyFont="1" applyFill="1" applyBorder="1" applyAlignment="1" applyProtection="1">
      <alignment horizontal="center" vertical="center"/>
    </xf>
    <xf numFmtId="0" fontId="51" fillId="0" borderId="61" xfId="2" applyFont="1" applyFill="1" applyBorder="1" applyAlignment="1" applyProtection="1">
      <alignment horizontal="center" vertical="center"/>
      <protection locked="0" hidden="1"/>
    </xf>
    <xf numFmtId="0" fontId="50" fillId="0" borderId="73" xfId="2" applyFont="1" applyBorder="1" applyAlignment="1" applyProtection="1">
      <alignment horizontal="center" vertical="center"/>
      <protection locked="0" hidden="1"/>
    </xf>
    <xf numFmtId="0" fontId="140" fillId="57" borderId="57" xfId="2" applyFont="1" applyFill="1" applyBorder="1" applyAlignment="1" applyProtection="1">
      <alignment horizontal="center" vertical="center" wrapText="1"/>
    </xf>
    <xf numFmtId="0" fontId="140" fillId="57" borderId="0" xfId="2" applyFont="1" applyFill="1" applyBorder="1" applyAlignment="1" applyProtection="1">
      <alignment horizontal="center" vertical="center" wrapText="1"/>
    </xf>
    <xf numFmtId="0" fontId="54" fillId="22" borderId="47" xfId="2" applyFont="1" applyFill="1" applyBorder="1" applyAlignment="1" applyProtection="1">
      <alignment horizontal="center" vertical="center"/>
    </xf>
    <xf numFmtId="0" fontId="42" fillId="21" borderId="0" xfId="1" applyFont="1" applyFill="1" applyAlignment="1" applyProtection="1">
      <alignment horizontal="center" vertical="center" wrapText="1"/>
    </xf>
    <xf numFmtId="0" fontId="54" fillId="24" borderId="46" xfId="2" applyFont="1" applyFill="1" applyBorder="1" applyAlignment="1" applyProtection="1">
      <alignment horizontal="center" vertical="center"/>
      <protection hidden="1"/>
    </xf>
    <xf numFmtId="0" fontId="49" fillId="21" borderId="0" xfId="2" applyFont="1" applyFill="1" applyAlignment="1" applyProtection="1">
      <alignment horizontal="center" vertical="center"/>
    </xf>
    <xf numFmtId="0" fontId="77" fillId="33" borderId="57" xfId="2" applyFont="1" applyFill="1" applyBorder="1" applyAlignment="1" applyProtection="1">
      <alignment horizontal="left" vertical="center"/>
      <protection hidden="1"/>
    </xf>
    <xf numFmtId="0" fontId="77" fillId="33" borderId="0" xfId="2" applyFont="1" applyFill="1" applyBorder="1" applyAlignment="1" applyProtection="1">
      <alignment horizontal="left" vertical="center"/>
      <protection hidden="1"/>
    </xf>
    <xf numFmtId="0" fontId="57" fillId="19" borderId="48" xfId="2" applyFont="1" applyFill="1" applyBorder="1" applyAlignment="1" applyProtection="1">
      <alignment horizontal="center" vertical="center"/>
    </xf>
    <xf numFmtId="0" fontId="57" fillId="19" borderId="49" xfId="2" applyFont="1" applyFill="1" applyBorder="1" applyAlignment="1" applyProtection="1">
      <alignment horizontal="center" vertical="center"/>
    </xf>
    <xf numFmtId="0" fontId="57" fillId="19" borderId="55" xfId="2" applyFont="1" applyFill="1" applyBorder="1" applyAlignment="1" applyProtection="1">
      <alignment horizontal="center" vertical="center"/>
    </xf>
    <xf numFmtId="0" fontId="57" fillId="19" borderId="56" xfId="2" applyFont="1" applyFill="1" applyBorder="1" applyAlignment="1" applyProtection="1">
      <alignment horizontal="center" vertical="center"/>
    </xf>
    <xf numFmtId="0" fontId="56" fillId="26" borderId="44" xfId="2" applyFont="1" applyFill="1" applyBorder="1" applyAlignment="1" applyProtection="1">
      <alignment horizontal="left" vertical="center" wrapText="1"/>
      <protection hidden="1"/>
    </xf>
    <xf numFmtId="0" fontId="56" fillId="26" borderId="45" xfId="2" applyFont="1" applyFill="1" applyBorder="1" applyAlignment="1" applyProtection="1">
      <alignment horizontal="left" vertical="center" wrapText="1"/>
      <protection hidden="1"/>
    </xf>
    <xf numFmtId="0" fontId="51" fillId="18" borderId="0" xfId="2" applyFont="1" applyFill="1" applyAlignment="1" applyProtection="1">
      <alignment horizontal="center" vertical="center"/>
    </xf>
    <xf numFmtId="0" fontId="73" fillId="0" borderId="55" xfId="2" applyFont="1" applyFill="1" applyBorder="1" applyAlignment="1" applyProtection="1">
      <alignment horizontal="center" vertical="center"/>
      <protection locked="0" hidden="1"/>
    </xf>
    <xf numFmtId="0" fontId="73" fillId="0" borderId="56" xfId="2" applyFont="1" applyFill="1" applyBorder="1" applyAlignment="1" applyProtection="1">
      <alignment horizontal="center" vertical="center"/>
      <protection locked="0" hidden="1"/>
    </xf>
    <xf numFmtId="0" fontId="73" fillId="0" borderId="55" xfId="2" applyNumberFormat="1" applyFont="1" applyFill="1" applyBorder="1" applyAlignment="1" applyProtection="1">
      <alignment horizontal="center" vertical="center"/>
      <protection hidden="1"/>
    </xf>
    <xf numFmtId="0" fontId="73" fillId="0" borderId="56" xfId="2" applyNumberFormat="1" applyFont="1" applyFill="1" applyBorder="1" applyAlignment="1" applyProtection="1">
      <alignment horizontal="center" vertical="center"/>
      <protection hidden="1"/>
    </xf>
    <xf numFmtId="0" fontId="39" fillId="19" borderId="0" xfId="2" applyFont="1" applyFill="1" applyBorder="1" applyAlignment="1" applyProtection="1">
      <alignment horizontal="center" vertical="center"/>
      <protection hidden="1"/>
    </xf>
    <xf numFmtId="0" fontId="144" fillId="0" borderId="0" xfId="2" applyFont="1" applyBorder="1" applyAlignment="1" applyProtection="1">
      <alignment horizontal="left" wrapText="1"/>
    </xf>
    <xf numFmtId="0" fontId="66" fillId="32" borderId="38" xfId="2" applyFont="1" applyFill="1" applyBorder="1" applyAlignment="1" applyProtection="1">
      <alignment horizontal="left" vertical="center"/>
      <protection hidden="1"/>
    </xf>
    <xf numFmtId="0" fontId="126" fillId="40" borderId="0" xfId="2" applyFont="1" applyFill="1" applyBorder="1" applyAlignment="1" applyProtection="1">
      <alignment horizontal="center" vertical="center"/>
      <protection locked="0" hidden="1"/>
    </xf>
    <xf numFmtId="0" fontId="126" fillId="40" borderId="36" xfId="2" applyFont="1" applyFill="1" applyBorder="1" applyAlignment="1" applyProtection="1">
      <alignment horizontal="center" vertical="center"/>
      <protection locked="0" hidden="1"/>
    </xf>
    <xf numFmtId="0" fontId="95" fillId="32" borderId="57" xfId="2" applyFont="1" applyFill="1" applyBorder="1" applyAlignment="1" applyProtection="1">
      <alignment horizontal="left" vertical="center"/>
      <protection hidden="1"/>
    </xf>
    <xf numFmtId="0" fontId="95" fillId="32" borderId="0" xfId="2" applyFont="1" applyFill="1" applyBorder="1" applyAlignment="1" applyProtection="1">
      <alignment horizontal="left" vertical="center"/>
      <protection hidden="1"/>
    </xf>
    <xf numFmtId="0" fontId="98" fillId="32" borderId="57" xfId="2" applyFont="1" applyFill="1" applyBorder="1" applyAlignment="1" applyProtection="1">
      <alignment horizontal="left" vertical="center" wrapText="1"/>
      <protection hidden="1"/>
    </xf>
    <xf numFmtId="0" fontId="83" fillId="32" borderId="0" xfId="2" applyFont="1" applyFill="1" applyBorder="1" applyAlignment="1" applyProtection="1">
      <alignment horizontal="left" vertical="center" wrapText="1"/>
      <protection hidden="1"/>
    </xf>
    <xf numFmtId="0" fontId="66" fillId="32" borderId="57" xfId="2" applyFont="1" applyFill="1" applyBorder="1" applyAlignment="1" applyProtection="1">
      <alignment horizontal="left" vertical="center" wrapText="1"/>
      <protection hidden="1"/>
    </xf>
    <xf numFmtId="0" fontId="78" fillId="32" borderId="0" xfId="2" applyFont="1" applyFill="1" applyBorder="1" applyAlignment="1" applyProtection="1">
      <alignment horizontal="left" vertical="center" wrapText="1"/>
      <protection hidden="1"/>
    </xf>
    <xf numFmtId="0" fontId="54" fillId="21" borderId="37" xfId="2" applyFont="1" applyFill="1" applyBorder="1" applyAlignment="1" applyProtection="1">
      <alignment horizontal="center" vertical="center" wrapText="1"/>
      <protection hidden="1"/>
    </xf>
    <xf numFmtId="0" fontId="54" fillId="21" borderId="38" xfId="2" applyFont="1" applyFill="1" applyBorder="1" applyAlignment="1" applyProtection="1">
      <alignment horizontal="center" vertical="center" wrapText="1"/>
      <protection hidden="1"/>
    </xf>
    <xf numFmtId="0" fontId="54" fillId="21" borderId="39" xfId="2" applyFont="1" applyFill="1" applyBorder="1" applyAlignment="1" applyProtection="1">
      <alignment horizontal="center" vertical="center" wrapText="1"/>
      <protection hidden="1"/>
    </xf>
    <xf numFmtId="0" fontId="54" fillId="21" borderId="40" xfId="2" applyFont="1" applyFill="1" applyBorder="1" applyAlignment="1" applyProtection="1">
      <alignment horizontal="center" vertical="center" wrapText="1"/>
      <protection hidden="1"/>
    </xf>
    <xf numFmtId="0" fontId="54" fillId="21" borderId="41" xfId="2" applyFont="1" applyFill="1" applyBorder="1" applyAlignment="1" applyProtection="1">
      <alignment horizontal="center" vertical="center" wrapText="1"/>
      <protection hidden="1"/>
    </xf>
    <xf numFmtId="0" fontId="110" fillId="27" borderId="63" xfId="2" applyFont="1" applyFill="1" applyBorder="1" applyAlignment="1" applyProtection="1">
      <alignment horizontal="left" vertical="center"/>
      <protection hidden="1"/>
    </xf>
    <xf numFmtId="0" fontId="110" fillId="27" borderId="73" xfId="2" applyFont="1" applyFill="1" applyBorder="1" applyAlignment="1" applyProtection="1">
      <alignment horizontal="left" vertical="center"/>
      <protection hidden="1"/>
    </xf>
    <xf numFmtId="0" fontId="110" fillId="27" borderId="64" xfId="2" applyFont="1" applyFill="1" applyBorder="1" applyAlignment="1" applyProtection="1">
      <alignment horizontal="left" vertical="center"/>
      <protection hidden="1"/>
    </xf>
    <xf numFmtId="0" fontId="43" fillId="27" borderId="70" xfId="2" applyFont="1" applyFill="1" applyBorder="1" applyAlignment="1" applyProtection="1">
      <alignment horizontal="center" vertical="center"/>
    </xf>
    <xf numFmtId="0" fontId="67" fillId="0" borderId="43" xfId="2" applyFont="1" applyFill="1" applyBorder="1" applyAlignment="1" applyProtection="1">
      <alignment horizontal="center" vertical="center" wrapText="1"/>
      <protection locked="0" hidden="1"/>
    </xf>
    <xf numFmtId="0" fontId="67" fillId="0" borderId="61" xfId="2" applyFont="1" applyFill="1" applyBorder="1" applyAlignment="1" applyProtection="1">
      <alignment horizontal="center" vertical="center" wrapText="1"/>
      <protection locked="0" hidden="1"/>
    </xf>
    <xf numFmtId="0" fontId="61" fillId="57" borderId="40" xfId="2" applyFont="1" applyFill="1" applyBorder="1" applyAlignment="1" applyProtection="1">
      <alignment horizontal="center" vertical="center" wrapText="1"/>
      <protection hidden="1"/>
    </xf>
    <xf numFmtId="0" fontId="61" fillId="57" borderId="41" xfId="2" applyFont="1" applyFill="1" applyBorder="1" applyAlignment="1" applyProtection="1">
      <alignment horizontal="center" vertical="center" wrapText="1"/>
      <protection hidden="1"/>
    </xf>
    <xf numFmtId="0" fontId="50" fillId="40" borderId="71" xfId="2" applyNumberFormat="1" applyFont="1" applyFill="1" applyBorder="1" applyAlignment="1" applyProtection="1">
      <alignment horizontal="center"/>
      <protection locked="0" hidden="1"/>
    </xf>
    <xf numFmtId="0" fontId="50" fillId="40" borderId="105" xfId="2" applyNumberFormat="1" applyFont="1" applyFill="1" applyBorder="1" applyAlignment="1" applyProtection="1">
      <alignment horizontal="center"/>
      <protection locked="0" hidden="1"/>
    </xf>
    <xf numFmtId="0" fontId="144" fillId="0" borderId="0" xfId="2" applyFont="1" applyFill="1" applyAlignment="1" applyProtection="1">
      <alignment horizontal="center"/>
    </xf>
    <xf numFmtId="0" fontId="66" fillId="32" borderId="58" xfId="2" applyFont="1" applyFill="1" applyBorder="1" applyAlignment="1" applyProtection="1">
      <alignment horizontal="left"/>
      <protection hidden="1"/>
    </xf>
    <xf numFmtId="0" fontId="66" fillId="32" borderId="0" xfId="2" applyFont="1" applyFill="1" applyBorder="1" applyAlignment="1" applyProtection="1">
      <alignment horizontal="left"/>
      <protection hidden="1"/>
    </xf>
    <xf numFmtId="0" fontId="82" fillId="26" borderId="58" xfId="2" applyFont="1" applyFill="1" applyBorder="1" applyAlignment="1" applyProtection="1">
      <alignment horizontal="left" vertical="center" wrapText="1"/>
      <protection hidden="1"/>
    </xf>
    <xf numFmtId="0" fontId="82" fillId="26" borderId="0" xfId="2" applyFont="1" applyFill="1" applyBorder="1" applyAlignment="1" applyProtection="1">
      <alignment horizontal="left" vertical="center" wrapText="1"/>
      <protection hidden="1"/>
    </xf>
    <xf numFmtId="0" fontId="77" fillId="21" borderId="40" xfId="2" applyFont="1" applyFill="1" applyBorder="1" applyAlignment="1" applyProtection="1">
      <alignment horizontal="left" vertical="center"/>
    </xf>
    <xf numFmtId="0" fontId="77" fillId="21" borderId="41" xfId="2" applyFont="1" applyFill="1" applyBorder="1" applyAlignment="1" applyProtection="1">
      <alignment horizontal="left" vertical="center"/>
    </xf>
    <xf numFmtId="0" fontId="77" fillId="21" borderId="57" xfId="0" applyFont="1" applyFill="1" applyBorder="1" applyAlignment="1">
      <alignment horizontal="left" vertical="center"/>
    </xf>
    <xf numFmtId="0" fontId="77" fillId="21" borderId="0" xfId="0" applyFont="1" applyFill="1" applyBorder="1" applyAlignment="1">
      <alignment horizontal="left" vertical="center"/>
    </xf>
    <xf numFmtId="0" fontId="33" fillId="18" borderId="0" xfId="2" applyFont="1" applyFill="1" applyBorder="1" applyAlignment="1" applyProtection="1">
      <alignment horizontal="center" vertical="center"/>
    </xf>
    <xf numFmtId="0" fontId="144" fillId="57" borderId="0" xfId="2" applyFont="1" applyFill="1" applyAlignment="1" applyProtection="1">
      <alignment horizontal="center"/>
    </xf>
    <xf numFmtId="0" fontId="55" fillId="25" borderId="0" xfId="2" applyFont="1" applyFill="1" applyBorder="1" applyAlignment="1" applyProtection="1">
      <alignment horizontal="center" vertical="center"/>
      <protection hidden="1"/>
    </xf>
    <xf numFmtId="0" fontId="44" fillId="32" borderId="0" xfId="2" applyFont="1" applyFill="1" applyBorder="1" applyAlignment="1" applyProtection="1">
      <alignment horizontal="center" vertical="center" wrapText="1"/>
      <protection hidden="1"/>
    </xf>
    <xf numFmtId="0" fontId="50" fillId="40" borderId="71" xfId="2" applyFont="1" applyFill="1" applyBorder="1" applyAlignment="1" applyProtection="1">
      <alignment horizontal="center"/>
      <protection locked="0" hidden="1"/>
    </xf>
    <xf numFmtId="0" fontId="50" fillId="40" borderId="105" xfId="2" applyFont="1" applyFill="1" applyBorder="1" applyAlignment="1" applyProtection="1">
      <alignment horizontal="center"/>
      <protection locked="0" hidden="1"/>
    </xf>
    <xf numFmtId="0" fontId="50" fillId="0" borderId="43" xfId="2" applyFont="1" applyFill="1" applyBorder="1" applyAlignment="1" applyProtection="1">
      <alignment horizontal="center" vertical="center"/>
      <protection locked="0" hidden="1"/>
    </xf>
    <xf numFmtId="0" fontId="50" fillId="0" borderId="56" xfId="2" applyFont="1" applyFill="1" applyBorder="1" applyAlignment="1" applyProtection="1">
      <alignment horizontal="center" vertical="center"/>
      <protection locked="0" hidden="1"/>
    </xf>
    <xf numFmtId="0" fontId="75" fillId="32" borderId="57" xfId="2" applyFont="1" applyFill="1" applyBorder="1" applyAlignment="1" applyProtection="1">
      <alignment horizontal="left" vertical="center" wrapText="1"/>
      <protection hidden="1"/>
    </xf>
    <xf numFmtId="0" fontId="66" fillId="32" borderId="0" xfId="2" applyFont="1" applyFill="1" applyBorder="1" applyAlignment="1" applyProtection="1">
      <alignment horizontal="left" vertical="center" wrapText="1"/>
      <protection hidden="1"/>
    </xf>
    <xf numFmtId="0" fontId="126" fillId="40" borderId="73" xfId="2" applyFont="1" applyFill="1" applyBorder="1" applyAlignment="1" applyProtection="1">
      <alignment horizontal="center" vertical="center"/>
      <protection locked="0" hidden="1"/>
    </xf>
    <xf numFmtId="0" fontId="126" fillId="40" borderId="64" xfId="2" applyFont="1" applyFill="1" applyBorder="1" applyAlignment="1" applyProtection="1">
      <alignment horizontal="center" vertical="center"/>
      <protection locked="0" hidden="1"/>
    </xf>
    <xf numFmtId="0" fontId="112" fillId="21" borderId="41" xfId="2" applyFont="1" applyFill="1" applyBorder="1" applyAlignment="1" applyProtection="1">
      <alignment horizontal="center" vertical="center" wrapText="1"/>
      <protection hidden="1"/>
    </xf>
    <xf numFmtId="0" fontId="50" fillId="58" borderId="73" xfId="2" applyFont="1" applyFill="1" applyBorder="1" applyAlignment="1" applyProtection="1">
      <alignment horizontal="center" vertical="center"/>
      <protection hidden="1"/>
    </xf>
    <xf numFmtId="0" fontId="50" fillId="58" borderId="64" xfId="2" applyFont="1" applyFill="1" applyBorder="1" applyAlignment="1" applyProtection="1">
      <alignment horizontal="center" vertical="center"/>
      <protection hidden="1"/>
    </xf>
    <xf numFmtId="0" fontId="50" fillId="58" borderId="43" xfId="2" applyFont="1" applyFill="1" applyBorder="1" applyAlignment="1" applyProtection="1">
      <alignment horizontal="center" vertical="center"/>
      <protection hidden="1"/>
    </xf>
    <xf numFmtId="0" fontId="50" fillId="58" borderId="56" xfId="2" applyFont="1" applyFill="1" applyBorder="1" applyAlignment="1" applyProtection="1">
      <alignment horizontal="center" vertical="center"/>
      <protection hidden="1"/>
    </xf>
    <xf numFmtId="0" fontId="126" fillId="40" borderId="73" xfId="2" applyFont="1" applyFill="1" applyBorder="1" applyAlignment="1" applyProtection="1">
      <alignment horizontal="left" vertical="center"/>
      <protection locked="0" hidden="1"/>
    </xf>
    <xf numFmtId="0" fontId="97" fillId="18" borderId="0" xfId="2" applyFont="1" applyFill="1" applyBorder="1" applyAlignment="1" applyProtection="1">
      <alignment horizontal="left" vertical="center"/>
      <protection locked="0" hidden="1"/>
    </xf>
    <xf numFmtId="0" fontId="66" fillId="32" borderId="38" xfId="2" applyFont="1" applyFill="1" applyBorder="1" applyAlignment="1" applyProtection="1">
      <alignment horizontal="center" vertical="center" wrapText="1"/>
      <protection hidden="1"/>
    </xf>
    <xf numFmtId="0" fontId="66" fillId="32" borderId="0" xfId="2" applyFont="1" applyFill="1" applyBorder="1" applyAlignment="1" applyProtection="1">
      <alignment horizontal="left" vertical="center"/>
      <protection hidden="1"/>
    </xf>
    <xf numFmtId="0" fontId="105" fillId="19" borderId="45" xfId="2" applyFont="1" applyFill="1" applyBorder="1" applyAlignment="1" applyProtection="1">
      <alignment horizontal="center" vertical="center" wrapText="1"/>
      <protection hidden="1"/>
    </xf>
    <xf numFmtId="0" fontId="105" fillId="19" borderId="46" xfId="2" applyFont="1" applyFill="1" applyBorder="1" applyAlignment="1" applyProtection="1">
      <alignment horizontal="center" vertical="center" wrapText="1"/>
      <protection hidden="1"/>
    </xf>
    <xf numFmtId="0" fontId="91" fillId="21" borderId="0" xfId="2" applyFont="1" applyFill="1" applyAlignment="1" applyProtection="1">
      <alignment horizontal="center" vertical="center"/>
    </xf>
    <xf numFmtId="0" fontId="144" fillId="0" borderId="129" xfId="2" applyFont="1" applyBorder="1" applyAlignment="1" applyProtection="1">
      <alignment horizontal="center"/>
    </xf>
    <xf numFmtId="0" fontId="144" fillId="0" borderId="131" xfId="2" applyFont="1" applyBorder="1" applyAlignment="1" applyProtection="1">
      <alignment horizontal="center"/>
    </xf>
    <xf numFmtId="0" fontId="144" fillId="0" borderId="109" xfId="2" applyFont="1" applyBorder="1" applyAlignment="1" applyProtection="1">
      <alignment horizontal="center"/>
    </xf>
    <xf numFmtId="0" fontId="144" fillId="0" borderId="130" xfId="2" applyFont="1" applyBorder="1" applyAlignment="1" applyProtection="1">
      <alignment horizontal="center"/>
    </xf>
    <xf numFmtId="0" fontId="43" fillId="27" borderId="71" xfId="2" applyFont="1" applyFill="1" applyBorder="1" applyAlignment="1" applyProtection="1">
      <alignment horizontal="center" vertical="center"/>
    </xf>
    <xf numFmtId="0" fontId="104" fillId="57" borderId="48" xfId="0" applyFont="1" applyFill="1" applyBorder="1" applyAlignment="1" applyProtection="1">
      <alignment horizontal="center" vertical="center"/>
      <protection hidden="1"/>
    </xf>
    <xf numFmtId="0" fontId="104" fillId="57" borderId="53" xfId="0" applyFont="1" applyFill="1" applyBorder="1" applyAlignment="1" applyProtection="1">
      <alignment horizontal="center" vertical="center"/>
      <protection hidden="1"/>
    </xf>
    <xf numFmtId="0" fontId="105" fillId="20" borderId="0" xfId="2" applyFont="1" applyFill="1" applyBorder="1" applyAlignment="1" applyProtection="1">
      <alignment horizontal="center" vertical="center" wrapText="1"/>
      <protection hidden="1"/>
    </xf>
    <xf numFmtId="0" fontId="50" fillId="48" borderId="79" xfId="2" applyNumberFormat="1" applyFont="1" applyFill="1" applyBorder="1" applyAlignment="1" applyProtection="1">
      <alignment horizontal="center" vertical="center"/>
      <protection locked="0" hidden="1"/>
    </xf>
    <xf numFmtId="0" fontId="129" fillId="21" borderId="57" xfId="2" applyFont="1" applyFill="1" applyBorder="1" applyAlignment="1" applyProtection="1">
      <alignment horizontal="center" vertical="center" wrapText="1"/>
      <protection hidden="1"/>
    </xf>
    <xf numFmtId="0" fontId="129" fillId="21" borderId="0" xfId="2" applyFont="1" applyFill="1" applyBorder="1" applyAlignment="1" applyProtection="1">
      <alignment horizontal="center" vertical="center" wrapText="1"/>
      <protection hidden="1"/>
    </xf>
    <xf numFmtId="0" fontId="99" fillId="57" borderId="0" xfId="2" applyFont="1" applyFill="1" applyBorder="1" applyAlignment="1" applyProtection="1">
      <alignment horizontal="center" vertical="center"/>
    </xf>
    <xf numFmtId="0" fontId="99" fillId="57" borderId="36" xfId="2" applyFont="1" applyFill="1" applyBorder="1" applyAlignment="1" applyProtection="1">
      <alignment horizontal="center" vertical="center"/>
    </xf>
    <xf numFmtId="0" fontId="50" fillId="40" borderId="71" xfId="2" applyFont="1" applyFill="1" applyBorder="1" applyAlignment="1" applyProtection="1">
      <alignment horizontal="center" vertical="center"/>
      <protection locked="0" hidden="1"/>
    </xf>
    <xf numFmtId="0" fontId="144" fillId="0" borderId="0" xfId="2" applyFont="1" applyAlignment="1" applyProtection="1">
      <alignment horizontal="center" vertical="center" wrapText="1"/>
    </xf>
    <xf numFmtId="0" fontId="123" fillId="22" borderId="47" xfId="0" applyFont="1" applyFill="1" applyBorder="1" applyAlignment="1" applyProtection="1">
      <alignment horizontal="center" vertical="center"/>
      <protection hidden="1"/>
    </xf>
    <xf numFmtId="0" fontId="68" fillId="18" borderId="0" xfId="2" applyFont="1" applyFill="1" applyBorder="1" applyAlignment="1" applyProtection="1">
      <alignment horizontal="center" vertical="center"/>
      <protection locked="0" hidden="1"/>
    </xf>
    <xf numFmtId="165" fontId="117" fillId="28" borderId="0" xfId="2" applyNumberFormat="1" applyFont="1" applyFill="1" applyBorder="1" applyAlignment="1" applyProtection="1">
      <alignment horizontal="center" vertical="center"/>
      <protection hidden="1"/>
    </xf>
    <xf numFmtId="0" fontId="56" fillId="21" borderId="57" xfId="2" applyFont="1" applyFill="1" applyBorder="1" applyAlignment="1" applyProtection="1">
      <alignment horizontal="center" vertical="center"/>
    </xf>
    <xf numFmtId="0" fontId="56" fillId="21" borderId="0" xfId="2" applyFont="1" applyFill="1" applyBorder="1" applyAlignment="1" applyProtection="1">
      <alignment horizontal="center" vertical="center"/>
    </xf>
    <xf numFmtId="0" fontId="56" fillId="21" borderId="36" xfId="2" applyFont="1" applyFill="1" applyBorder="1" applyAlignment="1" applyProtection="1">
      <alignment horizontal="center" vertical="center"/>
    </xf>
    <xf numFmtId="165" fontId="142" fillId="18" borderId="0" xfId="2" applyNumberFormat="1" applyFont="1" applyFill="1" applyBorder="1" applyAlignment="1" applyProtection="1">
      <alignment horizontal="center" vertical="center"/>
      <protection locked="0" hidden="1"/>
    </xf>
    <xf numFmtId="0" fontId="66" fillId="32" borderId="0" xfId="2" applyFont="1" applyFill="1" applyBorder="1" applyAlignment="1" applyProtection="1">
      <alignment horizontal="center" vertical="center" wrapText="1"/>
      <protection hidden="1"/>
    </xf>
    <xf numFmtId="0" fontId="43" fillId="27" borderId="73" xfId="2" applyFont="1" applyFill="1" applyBorder="1" applyAlignment="1" applyProtection="1">
      <alignment horizontal="center" vertical="center"/>
    </xf>
    <xf numFmtId="0" fontId="39" fillId="21" borderId="37" xfId="2" applyFont="1" applyFill="1" applyBorder="1" applyAlignment="1" applyProtection="1">
      <alignment horizontal="center" vertical="center"/>
    </xf>
    <xf numFmtId="0" fontId="39" fillId="21" borderId="38" xfId="2" applyFont="1" applyFill="1" applyBorder="1" applyAlignment="1" applyProtection="1">
      <alignment horizontal="center" vertical="center"/>
    </xf>
    <xf numFmtId="0" fontId="39" fillId="21" borderId="39" xfId="2" applyFont="1" applyFill="1" applyBorder="1" applyAlignment="1" applyProtection="1">
      <alignment horizontal="center" vertical="center"/>
    </xf>
    <xf numFmtId="0" fontId="39" fillId="21" borderId="101" xfId="2" applyFont="1" applyFill="1" applyBorder="1" applyAlignment="1" applyProtection="1">
      <alignment horizontal="center" vertical="center"/>
    </xf>
    <xf numFmtId="0" fontId="39" fillId="21" borderId="70" xfId="2" applyFont="1" applyFill="1" applyBorder="1" applyAlignment="1" applyProtection="1">
      <alignment horizontal="center" vertical="center"/>
    </xf>
    <xf numFmtId="0" fontId="39" fillId="21" borderId="102" xfId="2" applyFont="1" applyFill="1" applyBorder="1" applyAlignment="1" applyProtection="1">
      <alignment horizontal="center" vertical="center"/>
    </xf>
    <xf numFmtId="0" fontId="51" fillId="0" borderId="53" xfId="2" applyFont="1" applyFill="1" applyBorder="1" applyAlignment="1" applyProtection="1">
      <alignment horizontal="center" vertical="center"/>
      <protection locked="0" hidden="1"/>
    </xf>
    <xf numFmtId="0" fontId="51" fillId="0" borderId="54" xfId="2" applyFont="1" applyFill="1" applyBorder="1" applyAlignment="1" applyProtection="1">
      <alignment horizontal="center" vertical="center"/>
      <protection locked="0" hidden="1"/>
    </xf>
    <xf numFmtId="0" fontId="67" fillId="0" borderId="43" xfId="2" applyFont="1" applyFill="1" applyBorder="1" applyAlignment="1" applyProtection="1">
      <alignment horizontal="left" vertical="center"/>
      <protection locked="0" hidden="1"/>
    </xf>
    <xf numFmtId="0" fontId="67" fillId="0" borderId="61" xfId="2" applyFont="1" applyFill="1" applyBorder="1" applyAlignment="1" applyProtection="1">
      <alignment horizontal="left" vertical="center"/>
      <protection locked="0" hidden="1"/>
    </xf>
    <xf numFmtId="0" fontId="51" fillId="0" borderId="70" xfId="2" applyFont="1" applyFill="1" applyBorder="1" applyAlignment="1" applyProtection="1">
      <alignment horizontal="center" vertical="center"/>
      <protection locked="0" hidden="1"/>
    </xf>
    <xf numFmtId="0" fontId="51" fillId="0" borderId="75" xfId="2" applyFont="1" applyFill="1" applyBorder="1" applyAlignment="1" applyProtection="1">
      <alignment horizontal="center" vertical="center"/>
      <protection locked="0" hidden="1"/>
    </xf>
    <xf numFmtId="0" fontId="75" fillId="32" borderId="58" xfId="2" applyFont="1" applyFill="1" applyBorder="1" applyAlignment="1" applyProtection="1">
      <alignment horizontal="left" vertical="center"/>
      <protection hidden="1"/>
    </xf>
    <xf numFmtId="165" fontId="94" fillId="25" borderId="57" xfId="2" applyNumberFormat="1" applyFont="1" applyFill="1" applyBorder="1" applyAlignment="1" applyProtection="1">
      <alignment horizontal="center" vertical="center" textRotation="90"/>
    </xf>
    <xf numFmtId="0" fontId="79" fillId="27" borderId="58" xfId="2" applyFont="1" applyFill="1" applyBorder="1" applyAlignment="1" applyProtection="1">
      <alignment horizontal="left" vertical="center" wrapText="1"/>
    </xf>
    <xf numFmtId="0" fontId="79" fillId="27" borderId="0" xfId="2" applyFont="1" applyFill="1" applyBorder="1" applyAlignment="1" applyProtection="1">
      <alignment horizontal="left" vertical="center" wrapText="1"/>
    </xf>
    <xf numFmtId="0" fontId="126" fillId="40" borderId="43" xfId="2" applyFont="1" applyFill="1" applyBorder="1" applyAlignment="1" applyProtection="1">
      <alignment horizontal="center" vertical="center"/>
      <protection locked="0" hidden="1"/>
    </xf>
    <xf numFmtId="0" fontId="126" fillId="40" borderId="56" xfId="2" applyFont="1" applyFill="1" applyBorder="1" applyAlignment="1" applyProtection="1">
      <alignment horizontal="center" vertical="center"/>
      <protection locked="0" hidden="1"/>
    </xf>
    <xf numFmtId="0" fontId="59" fillId="21" borderId="57" xfId="0" applyFont="1" applyFill="1" applyBorder="1" applyAlignment="1" applyProtection="1">
      <alignment horizontal="left" vertical="center"/>
      <protection hidden="1"/>
    </xf>
    <xf numFmtId="0" fontId="59" fillId="21" borderId="0" xfId="0" applyFont="1" applyFill="1" applyBorder="1" applyAlignment="1" applyProtection="1">
      <alignment horizontal="left" vertical="center"/>
      <protection hidden="1"/>
    </xf>
    <xf numFmtId="0" fontId="59" fillId="21" borderId="40" xfId="2" applyFont="1" applyFill="1" applyBorder="1" applyAlignment="1" applyProtection="1">
      <alignment horizontal="left" vertical="center"/>
      <protection hidden="1"/>
    </xf>
    <xf numFmtId="0" fontId="59" fillId="21" borderId="41" xfId="2" applyFont="1" applyFill="1" applyBorder="1" applyAlignment="1" applyProtection="1">
      <alignment horizontal="left" vertical="center"/>
      <protection hidden="1"/>
    </xf>
    <xf numFmtId="0" fontId="67" fillId="0" borderId="60" xfId="2" applyFont="1" applyFill="1" applyBorder="1" applyAlignment="1" applyProtection="1">
      <alignment horizontal="left" vertical="center"/>
      <protection locked="0" hidden="1"/>
    </xf>
    <xf numFmtId="0" fontId="39" fillId="21" borderId="55" xfId="2" applyNumberFormat="1" applyFont="1" applyFill="1" applyBorder="1" applyAlignment="1" applyProtection="1">
      <alignment horizontal="center" vertical="center"/>
    </xf>
    <xf numFmtId="0" fontId="39" fillId="21" borderId="56" xfId="2" applyNumberFormat="1" applyFont="1" applyFill="1" applyBorder="1" applyAlignment="1" applyProtection="1">
      <alignment horizontal="center" vertical="center"/>
    </xf>
    <xf numFmtId="0" fontId="94" fillId="25" borderId="57" xfId="2" applyFont="1" applyFill="1" applyBorder="1" applyAlignment="1" applyProtection="1">
      <alignment horizontal="center" vertical="center" textRotation="90"/>
    </xf>
    <xf numFmtId="0" fontId="67" fillId="0" borderId="71" xfId="2" applyFont="1" applyFill="1" applyBorder="1" applyAlignment="1" applyProtection="1">
      <alignment horizontal="center"/>
      <protection locked="0" hidden="1"/>
    </xf>
    <xf numFmtId="0" fontId="67" fillId="0" borderId="96" xfId="2" applyFont="1" applyFill="1" applyBorder="1" applyAlignment="1" applyProtection="1">
      <alignment horizontal="center"/>
      <protection locked="0" hidden="1"/>
    </xf>
    <xf numFmtId="0" fontId="92" fillId="32" borderId="37" xfId="2" applyFont="1" applyFill="1" applyBorder="1" applyAlignment="1" applyProtection="1">
      <alignment horizontal="left" vertical="center" wrapText="1"/>
      <protection hidden="1"/>
    </xf>
    <xf numFmtId="0" fontId="92" fillId="32" borderId="38" xfId="2" applyFont="1" applyFill="1" applyBorder="1" applyAlignment="1" applyProtection="1">
      <alignment horizontal="left" vertical="center" wrapText="1"/>
      <protection hidden="1"/>
    </xf>
    <xf numFmtId="165" fontId="94" fillId="25" borderId="0" xfId="2" applyNumberFormat="1" applyFont="1" applyFill="1" applyBorder="1" applyAlignment="1" applyProtection="1">
      <alignment horizontal="center" vertical="center" textRotation="90"/>
    </xf>
    <xf numFmtId="0" fontId="43" fillId="21" borderId="57" xfId="2" applyFont="1" applyFill="1" applyBorder="1" applyAlignment="1" applyProtection="1">
      <alignment horizontal="left" vertical="center"/>
      <protection hidden="1"/>
    </xf>
    <xf numFmtId="0" fontId="43" fillId="21" borderId="0" xfId="2" applyFont="1" applyFill="1" applyBorder="1" applyAlignment="1" applyProtection="1">
      <alignment horizontal="left" vertical="center"/>
      <protection hidden="1"/>
    </xf>
    <xf numFmtId="0" fontId="43" fillId="21" borderId="57" xfId="2" applyFont="1" applyFill="1" applyBorder="1" applyAlignment="1" applyProtection="1">
      <alignment horizontal="left" vertical="center"/>
    </xf>
    <xf numFmtId="0" fontId="43" fillId="21" borderId="0" xfId="2" applyFont="1" applyFill="1" applyBorder="1" applyAlignment="1" applyProtection="1">
      <alignment horizontal="left" vertical="center"/>
    </xf>
    <xf numFmtId="0" fontId="83" fillId="32" borderId="0" xfId="2" applyFont="1" applyFill="1" applyBorder="1" applyAlignment="1" applyProtection="1">
      <alignment horizontal="center" vertical="center" wrapText="1"/>
      <protection hidden="1"/>
    </xf>
    <xf numFmtId="0" fontId="83" fillId="26" borderId="43" xfId="2" applyFont="1" applyFill="1" applyBorder="1" applyAlignment="1" applyProtection="1">
      <alignment horizontal="center" vertical="center" wrapText="1"/>
      <protection hidden="1"/>
    </xf>
    <xf numFmtId="0" fontId="83" fillId="26" borderId="61" xfId="2" applyFont="1" applyFill="1" applyBorder="1" applyAlignment="1" applyProtection="1">
      <alignment horizontal="center" vertical="center" wrapText="1"/>
      <protection hidden="1"/>
    </xf>
    <xf numFmtId="0" fontId="74" fillId="0" borderId="93" xfId="2" applyFont="1" applyBorder="1" applyAlignment="1" applyProtection="1">
      <alignment horizontal="left" vertical="center"/>
      <protection hidden="1"/>
    </xf>
    <xf numFmtId="0" fontId="74" fillId="0" borderId="94" xfId="2" applyFont="1" applyBorder="1" applyAlignment="1" applyProtection="1">
      <alignment horizontal="left" vertical="center"/>
      <protection hidden="1"/>
    </xf>
    <xf numFmtId="0" fontId="74" fillId="0" borderId="95" xfId="2" applyFont="1" applyBorder="1" applyAlignment="1" applyProtection="1">
      <alignment horizontal="left" vertical="center"/>
      <protection hidden="1"/>
    </xf>
    <xf numFmtId="0" fontId="94" fillId="41" borderId="57" xfId="2" applyFont="1" applyFill="1" applyBorder="1" applyAlignment="1" applyProtection="1">
      <alignment horizontal="center" vertical="center" textRotation="90" wrapText="1"/>
      <protection hidden="1"/>
    </xf>
    <xf numFmtId="0" fontId="44" fillId="21" borderId="0" xfId="2" applyFont="1" applyFill="1" applyBorder="1" applyAlignment="1" applyProtection="1">
      <alignment horizontal="left" vertical="center"/>
      <protection hidden="1"/>
    </xf>
    <xf numFmtId="0" fontId="44" fillId="21" borderId="43" xfId="2" applyFont="1" applyFill="1" applyBorder="1" applyAlignment="1" applyProtection="1">
      <alignment horizontal="left" vertical="center"/>
      <protection hidden="1"/>
    </xf>
    <xf numFmtId="0" fontId="112" fillId="24" borderId="44" xfId="2" applyFont="1" applyFill="1" applyBorder="1" applyAlignment="1" applyProtection="1">
      <alignment horizontal="center" vertical="center"/>
      <protection hidden="1"/>
    </xf>
    <xf numFmtId="0" fontId="112" fillId="24" borderId="45" xfId="2" applyFont="1" applyFill="1" applyBorder="1" applyAlignment="1" applyProtection="1">
      <alignment horizontal="center" vertical="center"/>
      <protection hidden="1"/>
    </xf>
    <xf numFmtId="0" fontId="112" fillId="24" borderId="46" xfId="2" applyFont="1" applyFill="1" applyBorder="1" applyAlignment="1" applyProtection="1">
      <alignment horizontal="center" vertical="center"/>
      <protection hidden="1"/>
    </xf>
    <xf numFmtId="0" fontId="59" fillId="21" borderId="97" xfId="0" applyFont="1" applyFill="1" applyBorder="1" applyAlignment="1" applyProtection="1">
      <alignment horizontal="left" vertical="center"/>
      <protection hidden="1"/>
    </xf>
    <xf numFmtId="0" fontId="59" fillId="21" borderId="71" xfId="0" applyFont="1" applyFill="1" applyBorder="1" applyAlignment="1" applyProtection="1">
      <alignment horizontal="left" vertical="center"/>
      <protection hidden="1"/>
    </xf>
    <xf numFmtId="0" fontId="126" fillId="0" borderId="79" xfId="2" applyFont="1" applyFill="1" applyBorder="1" applyAlignment="1" applyProtection="1">
      <alignment horizontal="center" vertical="center"/>
      <protection locked="0" hidden="1"/>
    </xf>
    <xf numFmtId="0" fontId="126" fillId="0" borderId="80" xfId="2" applyFont="1" applyFill="1" applyBorder="1" applyAlignment="1" applyProtection="1">
      <alignment horizontal="center" vertical="center"/>
      <protection locked="0" hidden="1"/>
    </xf>
    <xf numFmtId="0" fontId="50" fillId="0" borderId="71" xfId="2" applyFont="1" applyFill="1" applyBorder="1" applyAlignment="1" applyProtection="1">
      <alignment horizontal="center"/>
      <protection locked="0" hidden="1"/>
    </xf>
    <xf numFmtId="0" fontId="50" fillId="27" borderId="41" xfId="2" applyFont="1" applyFill="1" applyBorder="1" applyAlignment="1" applyProtection="1">
      <alignment horizontal="left" vertical="center" wrapText="1"/>
      <protection locked="0" hidden="1"/>
    </xf>
    <xf numFmtId="0" fontId="50" fillId="27" borderId="73" xfId="2" applyFont="1" applyFill="1" applyBorder="1" applyAlignment="1" applyProtection="1">
      <alignment horizontal="left" vertical="center" wrapText="1"/>
      <protection locked="0" hidden="1"/>
    </xf>
    <xf numFmtId="0" fontId="50" fillId="27" borderId="74" xfId="2" applyFont="1" applyFill="1" applyBorder="1" applyAlignment="1" applyProtection="1">
      <alignment horizontal="left" vertical="center" wrapText="1"/>
      <protection locked="0" hidden="1"/>
    </xf>
    <xf numFmtId="0" fontId="68" fillId="26" borderId="37" xfId="2" applyFont="1" applyFill="1" applyBorder="1" applyAlignment="1" applyProtection="1">
      <alignment horizontal="left" vertical="center"/>
      <protection hidden="1"/>
    </xf>
    <xf numFmtId="0" fontId="68" fillId="26" borderId="38" xfId="2" applyFont="1" applyFill="1" applyBorder="1" applyAlignment="1" applyProtection="1">
      <alignment horizontal="left" vertical="center"/>
      <protection hidden="1"/>
    </xf>
    <xf numFmtId="0" fontId="43" fillId="38" borderId="72" xfId="2" applyFont="1" applyFill="1" applyBorder="1" applyAlignment="1" applyProtection="1">
      <alignment horizontal="left" vertical="center" wrapText="1"/>
      <protection hidden="1"/>
    </xf>
    <xf numFmtId="0" fontId="43" fillId="38" borderId="41" xfId="2" applyFont="1" applyFill="1" applyBorder="1" applyAlignment="1" applyProtection="1">
      <alignment horizontal="left" vertical="center" wrapText="1"/>
      <protection hidden="1"/>
    </xf>
    <xf numFmtId="0" fontId="104" fillId="27" borderId="103" xfId="2" applyFont="1" applyFill="1" applyBorder="1" applyAlignment="1" applyProtection="1">
      <alignment horizontal="left" vertical="center"/>
    </xf>
    <xf numFmtId="0" fontId="104" fillId="27" borderId="79" xfId="2" applyFont="1" applyFill="1" applyBorder="1" applyAlignment="1" applyProtection="1">
      <alignment horizontal="left" vertical="center"/>
    </xf>
    <xf numFmtId="0" fontId="67" fillId="0" borderId="53" xfId="2" applyFont="1" applyFill="1" applyBorder="1" applyAlignment="1" applyProtection="1">
      <alignment horizontal="center" vertical="center"/>
      <protection locked="0" hidden="1"/>
    </xf>
    <xf numFmtId="0" fontId="67" fillId="0" borderId="54" xfId="2" applyFont="1" applyFill="1" applyBorder="1" applyAlignment="1" applyProtection="1">
      <alignment horizontal="center" vertical="center"/>
      <protection locked="0" hidden="1"/>
    </xf>
    <xf numFmtId="0" fontId="50" fillId="0" borderId="70" xfId="2" applyFont="1" applyFill="1" applyBorder="1" applyAlignment="1" applyProtection="1">
      <alignment horizontal="center" vertical="center"/>
      <protection locked="0" hidden="1"/>
    </xf>
    <xf numFmtId="49" fontId="67" fillId="0" borderId="43" xfId="2" applyNumberFormat="1" applyFont="1" applyFill="1" applyBorder="1" applyAlignment="1" applyProtection="1">
      <alignment horizontal="left" vertical="center"/>
      <protection locked="0" hidden="1"/>
    </xf>
    <xf numFmtId="49" fontId="67" fillId="0" borderId="61" xfId="2" applyNumberFormat="1" applyFont="1" applyFill="1" applyBorder="1" applyAlignment="1" applyProtection="1">
      <alignment horizontal="left" vertical="center"/>
      <protection locked="0" hidden="1"/>
    </xf>
    <xf numFmtId="0" fontId="48" fillId="21" borderId="0" xfId="2" applyFont="1" applyFill="1" applyBorder="1" applyAlignment="1" applyProtection="1">
      <alignment horizontal="left" vertical="center"/>
      <protection hidden="1"/>
    </xf>
    <xf numFmtId="0" fontId="68" fillId="21" borderId="0" xfId="2" applyFont="1" applyFill="1" applyBorder="1" applyAlignment="1" applyProtection="1">
      <alignment horizontal="center" wrapText="1"/>
      <protection hidden="1"/>
    </xf>
    <xf numFmtId="0" fontId="54" fillId="21" borderId="44" xfId="2" applyFont="1" applyFill="1" applyBorder="1" applyAlignment="1" applyProtection="1">
      <alignment horizontal="center" vertical="center" wrapText="1"/>
      <protection hidden="1"/>
    </xf>
    <xf numFmtId="0" fontId="54" fillId="21" borderId="45" xfId="2" applyFont="1" applyFill="1" applyBorder="1" applyAlignment="1" applyProtection="1">
      <alignment horizontal="center" vertical="center" wrapText="1"/>
      <protection hidden="1"/>
    </xf>
    <xf numFmtId="0" fontId="54" fillId="21" borderId="46" xfId="2" applyFont="1" applyFill="1" applyBorder="1" applyAlignment="1" applyProtection="1">
      <alignment horizontal="center" vertical="center" wrapText="1"/>
      <protection hidden="1"/>
    </xf>
    <xf numFmtId="0" fontId="51" fillId="0" borderId="73" xfId="2" applyFont="1" applyFill="1" applyBorder="1" applyAlignment="1" applyProtection="1">
      <alignment horizontal="center" vertical="center"/>
      <protection locked="0" hidden="1"/>
    </xf>
    <xf numFmtId="0" fontId="51" fillId="0" borderId="74" xfId="2" applyFont="1" applyFill="1" applyBorder="1" applyAlignment="1" applyProtection="1">
      <alignment horizontal="center" vertical="center"/>
      <protection locked="0" hidden="1"/>
    </xf>
    <xf numFmtId="0" fontId="79" fillId="32" borderId="40" xfId="2" applyFont="1" applyFill="1" applyBorder="1" applyAlignment="1" applyProtection="1">
      <alignment horizontal="left" vertical="center" wrapText="1"/>
      <protection hidden="1"/>
    </xf>
    <xf numFmtId="0" fontId="79" fillId="32" borderId="41" xfId="2" applyFont="1" applyFill="1" applyBorder="1" applyAlignment="1" applyProtection="1">
      <alignment horizontal="left" vertical="center" wrapText="1"/>
      <protection hidden="1"/>
    </xf>
    <xf numFmtId="0" fontId="44" fillId="32" borderId="41" xfId="2" applyFont="1" applyFill="1" applyBorder="1" applyAlignment="1" applyProtection="1">
      <alignment horizontal="center" vertical="center" wrapText="1"/>
      <protection hidden="1"/>
    </xf>
    <xf numFmtId="0" fontId="39" fillId="20" borderId="0" xfId="2" applyFont="1" applyFill="1" applyBorder="1" applyAlignment="1" applyProtection="1">
      <alignment horizontal="center" vertical="center"/>
      <protection locked="0" hidden="1"/>
    </xf>
    <xf numFmtId="0" fontId="131" fillId="0" borderId="38" xfId="0" applyFont="1" applyBorder="1" applyAlignment="1"/>
    <xf numFmtId="0" fontId="131" fillId="0" borderId="39" xfId="0" applyFont="1" applyBorder="1" applyAlignment="1"/>
    <xf numFmtId="0" fontId="131" fillId="0" borderId="101" xfId="0" applyFont="1" applyBorder="1" applyAlignment="1"/>
    <xf numFmtId="0" fontId="131" fillId="0" borderId="70" xfId="0" applyFont="1" applyBorder="1" applyAlignment="1"/>
    <xf numFmtId="0" fontId="131" fillId="0" borderId="102" xfId="0" applyFont="1" applyBorder="1" applyAlignment="1"/>
    <xf numFmtId="0" fontId="50" fillId="0" borderId="70" xfId="2" applyFont="1" applyFill="1" applyBorder="1" applyAlignment="1" applyProtection="1">
      <alignment horizontal="center"/>
      <protection locked="0" hidden="1"/>
    </xf>
    <xf numFmtId="0" fontId="50" fillId="0" borderId="102" xfId="2" applyFont="1" applyFill="1" applyBorder="1" applyAlignment="1" applyProtection="1">
      <alignment horizontal="center"/>
      <protection locked="0" hidden="1"/>
    </xf>
    <xf numFmtId="0" fontId="50" fillId="0" borderId="43" xfId="2" applyFont="1" applyFill="1" applyBorder="1" applyAlignment="1" applyProtection="1">
      <alignment horizontal="center"/>
      <protection locked="0" hidden="1"/>
    </xf>
    <xf numFmtId="0" fontId="50" fillId="0" borderId="56" xfId="2" applyFont="1" applyFill="1" applyBorder="1" applyAlignment="1" applyProtection="1">
      <alignment horizontal="center"/>
      <protection locked="0" hidden="1"/>
    </xf>
    <xf numFmtId="1" fontId="51" fillId="0" borderId="43" xfId="2" applyNumberFormat="1" applyFont="1" applyFill="1" applyBorder="1" applyAlignment="1" applyProtection="1">
      <alignment horizontal="center" vertical="center"/>
      <protection locked="0" hidden="1"/>
    </xf>
    <xf numFmtId="0" fontId="100" fillId="21" borderId="0" xfId="2" applyFont="1" applyFill="1" applyAlignment="1" applyProtection="1">
      <alignment horizontal="center" vertical="center"/>
    </xf>
    <xf numFmtId="0" fontId="144" fillId="0" borderId="112" xfId="2" applyFont="1" applyBorder="1" applyAlignment="1" applyProtection="1">
      <alignment horizontal="center"/>
    </xf>
    <xf numFmtId="0" fontId="33" fillId="18" borderId="0" xfId="2" applyFont="1" applyFill="1" applyAlignment="1" applyProtection="1">
      <alignment horizontal="center"/>
    </xf>
    <xf numFmtId="0" fontId="144" fillId="0" borderId="94" xfId="2" applyFont="1" applyBorder="1" applyAlignment="1" applyProtection="1">
      <alignment horizontal="center"/>
    </xf>
    <xf numFmtId="0" fontId="144" fillId="0" borderId="110" xfId="2" applyFont="1" applyBorder="1" applyAlignment="1" applyProtection="1">
      <alignment horizontal="center"/>
    </xf>
    <xf numFmtId="0" fontId="166" fillId="0" borderId="0" xfId="2" applyFont="1" applyBorder="1" applyAlignment="1" applyProtection="1">
      <alignment horizontal="center" vertical="center"/>
      <protection locked="0" hidden="1"/>
    </xf>
    <xf numFmtId="0" fontId="166" fillId="0" borderId="118" xfId="2" applyFont="1" applyBorder="1" applyAlignment="1" applyProtection="1">
      <alignment horizontal="center" vertical="center"/>
      <protection locked="0" hidden="1"/>
    </xf>
    <xf numFmtId="0" fontId="163" fillId="18" borderId="0" xfId="2" applyFont="1" applyFill="1" applyAlignment="1" applyProtection="1">
      <alignment horizontal="left" vertical="center"/>
      <protection hidden="1"/>
    </xf>
    <xf numFmtId="0" fontId="126" fillId="0" borderId="0" xfId="2" applyFont="1" applyBorder="1" applyAlignment="1" applyProtection="1">
      <alignment horizontal="center" vertical="center"/>
      <protection locked="0" hidden="1"/>
    </xf>
    <xf numFmtId="0" fontId="166" fillId="0" borderId="94" xfId="2" applyFont="1" applyFill="1" applyBorder="1" applyAlignment="1" applyProtection="1">
      <alignment horizontal="left" vertical="center"/>
      <protection hidden="1"/>
    </xf>
    <xf numFmtId="0" fontId="166" fillId="0" borderId="0" xfId="2" applyFont="1" applyFill="1" applyBorder="1" applyAlignment="1" applyProtection="1">
      <alignment horizontal="left" vertical="center"/>
      <protection hidden="1"/>
    </xf>
    <xf numFmtId="0" fontId="236" fillId="0" borderId="208" xfId="2" applyFont="1" applyBorder="1" applyAlignment="1" applyProtection="1">
      <alignment horizontal="center" vertical="center" wrapText="1"/>
      <protection locked="0" hidden="1"/>
    </xf>
    <xf numFmtId="0" fontId="236" fillId="0" borderId="110" xfId="2" applyFont="1" applyBorder="1" applyAlignment="1" applyProtection="1">
      <alignment horizontal="center" vertical="center" wrapText="1"/>
      <protection locked="0" hidden="1"/>
    </xf>
    <xf numFmtId="0" fontId="236" fillId="0" borderId="134" xfId="2" applyFont="1" applyBorder="1" applyAlignment="1" applyProtection="1">
      <alignment horizontal="center" vertical="center" wrapText="1"/>
      <protection locked="0" hidden="1"/>
    </xf>
    <xf numFmtId="0" fontId="236" fillId="0" borderId="15" xfId="2" applyFont="1" applyBorder="1" applyAlignment="1" applyProtection="1">
      <alignment horizontal="center" vertical="center" wrapText="1"/>
      <protection locked="0" hidden="1"/>
    </xf>
    <xf numFmtId="0" fontId="236" fillId="0" borderId="215" xfId="2" applyFont="1" applyBorder="1" applyAlignment="1" applyProtection="1">
      <alignment horizontal="center" vertical="center" wrapText="1"/>
      <protection locked="0" hidden="1"/>
    </xf>
    <xf numFmtId="0" fontId="236" fillId="0" borderId="117" xfId="2" applyFont="1" applyBorder="1" applyAlignment="1" applyProtection="1">
      <alignment horizontal="center" vertical="center" wrapText="1"/>
      <protection locked="0" hidden="1"/>
    </xf>
    <xf numFmtId="0" fontId="202" fillId="0" borderId="0" xfId="2" applyFont="1" applyBorder="1" applyAlignment="1" applyProtection="1">
      <alignment horizontal="left"/>
      <protection locked="0" hidden="1"/>
    </xf>
    <xf numFmtId="0" fontId="202" fillId="0" borderId="111" xfId="2" applyFont="1" applyBorder="1" applyAlignment="1" applyProtection="1">
      <alignment horizontal="left"/>
      <protection locked="0" hidden="1"/>
    </xf>
    <xf numFmtId="0" fontId="202" fillId="0" borderId="0" xfId="2" applyFont="1" applyFill="1" applyBorder="1" applyAlignment="1" applyProtection="1">
      <alignment horizontal="left"/>
      <protection locked="0" hidden="1"/>
    </xf>
    <xf numFmtId="0" fontId="202" fillId="0" borderId="111" xfId="2" applyFont="1" applyFill="1" applyBorder="1" applyAlignment="1" applyProtection="1">
      <alignment horizontal="left"/>
      <protection locked="0" hidden="1"/>
    </xf>
    <xf numFmtId="0" fontId="202" fillId="0" borderId="0" xfId="2" applyFont="1" applyBorder="1" applyAlignment="1" applyProtection="1">
      <alignment horizontal="left" wrapText="1"/>
      <protection locked="0" hidden="1"/>
    </xf>
    <xf numFmtId="0" fontId="36" fillId="0" borderId="0" xfId="2" applyFont="1" applyBorder="1" applyAlignment="1" applyProtection="1">
      <alignment horizontal="left" vertical="center"/>
      <protection locked="0" hidden="1"/>
    </xf>
    <xf numFmtId="0" fontId="202" fillId="0" borderId="0" xfId="2" applyFont="1" applyBorder="1" applyAlignment="1" applyProtection="1">
      <alignment horizontal="center"/>
      <protection locked="0" hidden="1"/>
    </xf>
    <xf numFmtId="0" fontId="221" fillId="0" borderId="142" xfId="2" applyFont="1" applyBorder="1" applyAlignment="1" applyProtection="1">
      <alignment horizontal="left" wrapText="1"/>
      <protection locked="0" hidden="1"/>
    </xf>
    <xf numFmtId="0" fontId="221" fillId="0" borderId="0" xfId="2" applyFont="1" applyBorder="1" applyAlignment="1" applyProtection="1">
      <alignment horizontal="left" wrapText="1"/>
      <protection locked="0" hidden="1"/>
    </xf>
    <xf numFmtId="0" fontId="221" fillId="0" borderId="143" xfId="2" applyFont="1" applyBorder="1" applyAlignment="1" applyProtection="1">
      <alignment horizontal="left" wrapText="1"/>
      <protection locked="0" hidden="1"/>
    </xf>
    <xf numFmtId="0" fontId="228" fillId="0" borderId="153" xfId="2" applyFont="1" applyBorder="1" applyAlignment="1" applyProtection="1">
      <alignment horizontal="left" vertical="center" wrapText="1"/>
      <protection locked="0" hidden="1"/>
    </xf>
    <xf numFmtId="0" fontId="223" fillId="0" borderId="198" xfId="2" applyFont="1" applyFill="1" applyBorder="1" applyAlignment="1" applyProtection="1">
      <alignment horizontal="left" vertical="center"/>
      <protection locked="0" hidden="1"/>
    </xf>
    <xf numFmtId="0" fontId="223" fillId="0" borderId="199" xfId="2" applyFont="1" applyFill="1" applyBorder="1" applyAlignment="1" applyProtection="1">
      <alignment horizontal="left" vertical="center"/>
      <protection locked="0" hidden="1"/>
    </xf>
    <xf numFmtId="169" fontId="198" fillId="0" borderId="94" xfId="2" applyNumberFormat="1" applyFont="1" applyBorder="1" applyAlignment="1" applyProtection="1">
      <alignment horizontal="left" vertical="center"/>
      <protection locked="0" hidden="1"/>
    </xf>
    <xf numFmtId="0" fontId="196" fillId="58" borderId="140" xfId="2" applyFont="1" applyFill="1" applyBorder="1" applyAlignment="1" applyProtection="1">
      <alignment horizontal="center" vertical="center"/>
      <protection locked="0" hidden="1"/>
    </xf>
    <xf numFmtId="0" fontId="8" fillId="58" borderId="141" xfId="0" applyFont="1" applyFill="1" applyBorder="1" applyAlignment="1" applyProtection="1">
      <protection locked="0" hidden="1"/>
    </xf>
    <xf numFmtId="0" fontId="198" fillId="0" borderId="130" xfId="2" applyFont="1" applyBorder="1" applyAlignment="1" applyProtection="1">
      <alignment horizontal="left"/>
      <protection locked="0" hidden="1"/>
    </xf>
    <xf numFmtId="0" fontId="198" fillId="0" borderId="190" xfId="2" applyFont="1" applyBorder="1" applyAlignment="1" applyProtection="1">
      <alignment horizontal="left"/>
      <protection locked="0" hidden="1"/>
    </xf>
    <xf numFmtId="0" fontId="221" fillId="0" borderId="0" xfId="2" applyFont="1" applyBorder="1" applyAlignment="1" applyProtection="1">
      <alignment horizontal="left" vertical="center"/>
      <protection locked="0" hidden="1"/>
    </xf>
    <xf numFmtId="169" fontId="241" fillId="0" borderId="200" xfId="2" applyNumberFormat="1" applyFont="1" applyBorder="1" applyAlignment="1" applyProtection="1">
      <alignment horizontal="center" vertical="center"/>
      <protection locked="0" hidden="1"/>
    </xf>
    <xf numFmtId="169" fontId="241" fillId="0" borderId="201" xfId="2" applyNumberFormat="1" applyFont="1" applyBorder="1" applyAlignment="1" applyProtection="1">
      <alignment horizontal="center" vertical="center"/>
      <protection locked="0" hidden="1"/>
    </xf>
    <xf numFmtId="169" fontId="241" fillId="0" borderId="175" xfId="2" applyNumberFormat="1" applyFont="1" applyBorder="1" applyAlignment="1" applyProtection="1">
      <alignment horizontal="center" vertical="center"/>
      <protection locked="0" hidden="1"/>
    </xf>
    <xf numFmtId="0" fontId="216" fillId="0" borderId="0" xfId="2" applyFont="1" applyBorder="1" applyAlignment="1" applyProtection="1">
      <alignment horizontal="left"/>
      <protection locked="0" hidden="1"/>
    </xf>
    <xf numFmtId="0" fontId="198" fillId="0" borderId="118" xfId="2" applyFont="1" applyBorder="1" applyAlignment="1" applyProtection="1">
      <alignment horizontal="left" vertical="center"/>
      <protection locked="0" hidden="1"/>
    </xf>
    <xf numFmtId="0" fontId="198" fillId="0" borderId="182" xfId="2" applyFont="1" applyBorder="1" applyAlignment="1" applyProtection="1">
      <alignment horizontal="left" vertical="center"/>
      <protection locked="0" hidden="1"/>
    </xf>
    <xf numFmtId="0" fontId="221" fillId="0" borderId="0" xfId="2" applyFont="1" applyBorder="1" applyAlignment="1" applyProtection="1">
      <alignment horizontal="left"/>
      <protection locked="0" hidden="1"/>
    </xf>
    <xf numFmtId="0" fontId="242" fillId="0" borderId="183" xfId="2" applyFont="1" applyBorder="1" applyAlignment="1" applyProtection="1">
      <alignment horizontal="center" vertical="center"/>
      <protection locked="0" hidden="1"/>
    </xf>
    <xf numFmtId="0" fontId="242" fillId="0" borderId="94" xfId="2" applyFont="1" applyBorder="1" applyAlignment="1" applyProtection="1">
      <alignment horizontal="center" vertical="center"/>
      <protection locked="0" hidden="1"/>
    </xf>
    <xf numFmtId="0" fontId="242" fillId="0" borderId="0" xfId="2" applyFont="1" applyBorder="1" applyAlignment="1" applyProtection="1">
      <alignment horizontal="center" vertical="center"/>
      <protection locked="0" hidden="1"/>
    </xf>
    <xf numFmtId="0" fontId="242" fillId="0" borderId="184" xfId="2" applyFont="1" applyBorder="1" applyAlignment="1" applyProtection="1">
      <alignment horizontal="center" vertical="center"/>
      <protection locked="0" hidden="1"/>
    </xf>
    <xf numFmtId="0" fontId="199" fillId="0" borderId="181" xfId="2" applyFont="1" applyBorder="1" applyAlignment="1" applyProtection="1">
      <alignment horizontal="left" vertical="center"/>
      <protection locked="0" hidden="1"/>
    </xf>
    <xf numFmtId="0" fontId="199" fillId="0" borderId="118" xfId="2" applyFont="1" applyBorder="1" applyAlignment="1" applyProtection="1">
      <alignment horizontal="left" vertical="center"/>
      <protection locked="0" hidden="1"/>
    </xf>
    <xf numFmtId="169" fontId="235" fillId="0" borderId="213" xfId="2" applyNumberFormat="1" applyFont="1" applyBorder="1" applyAlignment="1" applyProtection="1">
      <alignment horizontal="left" vertical="center"/>
      <protection locked="0" hidden="1"/>
    </xf>
    <xf numFmtId="169" fontId="235" fillId="0" borderId="214" xfId="2" applyNumberFormat="1" applyFont="1" applyBorder="1" applyAlignment="1" applyProtection="1">
      <alignment horizontal="left" vertical="center"/>
      <protection locked="0" hidden="1"/>
    </xf>
    <xf numFmtId="0" fontId="236" fillId="0" borderId="143" xfId="2" applyFont="1" applyBorder="1" applyAlignment="1" applyProtection="1">
      <alignment horizontal="center" vertical="center" wrapText="1"/>
      <protection locked="0" hidden="1"/>
    </xf>
    <xf numFmtId="0" fontId="177" fillId="18" borderId="0" xfId="2" applyNumberFormat="1" applyFont="1" applyFill="1" applyAlignment="1" applyProtection="1">
      <alignment horizontal="right"/>
    </xf>
    <xf numFmtId="0" fontId="205" fillId="0" borderId="0" xfId="2" applyFont="1" applyBorder="1" applyAlignment="1" applyProtection="1">
      <alignment horizontal="left"/>
      <protection locked="0" hidden="1"/>
    </xf>
    <xf numFmtId="0" fontId="195" fillId="0" borderId="187" xfId="2" applyFont="1" applyBorder="1" applyAlignment="1" applyProtection="1">
      <alignment horizontal="center" vertical="center"/>
      <protection locked="0" hidden="1"/>
    </xf>
    <xf numFmtId="0" fontId="195" fillId="0" borderId="186" xfId="2" applyFont="1" applyBorder="1" applyAlignment="1" applyProtection="1">
      <alignment horizontal="center" vertical="center"/>
      <protection locked="0" hidden="1"/>
    </xf>
    <xf numFmtId="0" fontId="198" fillId="0" borderId="0" xfId="2" applyFont="1" applyBorder="1" applyAlignment="1" applyProtection="1">
      <alignment horizontal="left"/>
      <protection locked="0" hidden="1"/>
    </xf>
    <xf numFmtId="0" fontId="198" fillId="0" borderId="111" xfId="2" applyFont="1" applyBorder="1" applyAlignment="1" applyProtection="1">
      <alignment horizontal="left"/>
      <protection locked="0" hidden="1"/>
    </xf>
    <xf numFmtId="1" fontId="221" fillId="0" borderId="0" xfId="2" applyNumberFormat="1" applyFont="1" applyBorder="1" applyAlignment="1" applyProtection="1">
      <alignment horizontal="left" vertical="center"/>
      <protection locked="0" hidden="1"/>
    </xf>
    <xf numFmtId="0" fontId="65" fillId="0" borderId="0" xfId="2" applyFont="1" applyBorder="1" applyAlignment="1" applyProtection="1">
      <alignment horizontal="center"/>
      <protection locked="0" hidden="1"/>
    </xf>
    <xf numFmtId="0" fontId="216" fillId="0" borderId="0" xfId="2" applyFont="1" applyFill="1" applyBorder="1" applyAlignment="1" applyProtection="1">
      <alignment horizontal="left"/>
      <protection locked="0" hidden="1"/>
    </xf>
    <xf numFmtId="0" fontId="236" fillId="0" borderId="142" xfId="2" applyFont="1" applyBorder="1" applyAlignment="1" applyProtection="1">
      <alignment horizontal="center"/>
      <protection locked="0" hidden="1"/>
    </xf>
    <xf numFmtId="0" fontId="223" fillId="0" borderId="134" xfId="2" applyFont="1" applyFill="1" applyBorder="1" applyAlignment="1" applyProtection="1">
      <alignment horizontal="left" vertical="center"/>
      <protection locked="0" hidden="1"/>
    </xf>
    <xf numFmtId="0" fontId="223" fillId="0" borderId="15" xfId="2" applyFont="1" applyFill="1" applyBorder="1" applyAlignment="1" applyProtection="1">
      <alignment horizontal="left" vertical="center"/>
      <protection locked="0" hidden="1"/>
    </xf>
    <xf numFmtId="0" fontId="223" fillId="0" borderId="192" xfId="2" applyFont="1" applyFill="1" applyBorder="1" applyAlignment="1" applyProtection="1">
      <alignment horizontal="left" vertical="center"/>
      <protection locked="0" hidden="1"/>
    </xf>
    <xf numFmtId="0" fontId="223" fillId="0" borderId="193" xfId="2" applyFont="1" applyFill="1" applyBorder="1" applyAlignment="1" applyProtection="1">
      <alignment horizontal="left" vertical="center"/>
      <protection locked="0" hidden="1"/>
    </xf>
    <xf numFmtId="0" fontId="198" fillId="0" borderId="0" xfId="2" applyFont="1" applyFill="1" applyBorder="1" applyAlignment="1" applyProtection="1">
      <alignment horizontal="left"/>
      <protection locked="0" hidden="1"/>
    </xf>
    <xf numFmtId="0" fontId="198" fillId="0" borderId="111" xfId="2" applyFont="1" applyFill="1" applyBorder="1" applyAlignment="1" applyProtection="1">
      <alignment horizontal="left"/>
      <protection locked="0" hidden="1"/>
    </xf>
    <xf numFmtId="0" fontId="221" fillId="0" borderId="0" xfId="2" applyFont="1" applyBorder="1" applyAlignment="1" applyProtection="1">
      <protection locked="0" hidden="1"/>
    </xf>
    <xf numFmtId="0" fontId="201" fillId="0" borderId="129" xfId="2" applyFont="1" applyBorder="1" applyAlignment="1" applyProtection="1">
      <alignment horizontal="right" vertical="center"/>
      <protection locked="0" hidden="1"/>
    </xf>
    <xf numFmtId="0" fontId="201" fillId="0" borderId="191" xfId="2" applyFont="1" applyBorder="1" applyAlignment="1" applyProtection="1">
      <alignment horizontal="right" vertical="center"/>
      <protection locked="0" hidden="1"/>
    </xf>
    <xf numFmtId="0" fontId="195" fillId="58" borderId="140" xfId="2" applyFont="1" applyFill="1" applyBorder="1" applyAlignment="1" applyProtection="1">
      <alignment horizontal="center" vertical="center"/>
      <protection locked="0" hidden="1"/>
    </xf>
    <xf numFmtId="169" fontId="198" fillId="0" borderId="118" xfId="2" applyNumberFormat="1" applyFont="1" applyBorder="1" applyAlignment="1" applyProtection="1">
      <alignment horizontal="left" vertical="center" wrapText="1"/>
      <protection locked="0" hidden="1"/>
    </xf>
    <xf numFmtId="0" fontId="192" fillId="21" borderId="0" xfId="2" applyFont="1" applyFill="1" applyAlignment="1" applyProtection="1">
      <alignment horizontal="center" vertical="center"/>
      <protection hidden="1"/>
    </xf>
    <xf numFmtId="0" fontId="197" fillId="58" borderId="181" xfId="2" applyFont="1" applyFill="1" applyBorder="1" applyAlignment="1" applyProtection="1">
      <alignment horizontal="center" vertical="center"/>
      <protection locked="0" hidden="1"/>
    </xf>
    <xf numFmtId="0" fontId="197" fillId="58" borderId="118" xfId="2" applyFont="1" applyFill="1" applyBorder="1" applyAlignment="1" applyProtection="1">
      <alignment horizontal="center" vertical="center"/>
      <protection locked="0" hidden="1"/>
    </xf>
    <xf numFmtId="0" fontId="197" fillId="58" borderId="182" xfId="2" applyFont="1" applyFill="1" applyBorder="1" applyAlignment="1" applyProtection="1">
      <alignment horizontal="center" vertical="center"/>
      <protection locked="0" hidden="1"/>
    </xf>
    <xf numFmtId="0" fontId="178" fillId="18" borderId="142" xfId="2" applyFont="1" applyFill="1" applyBorder="1" applyAlignment="1" applyProtection="1">
      <alignment horizontal="right"/>
    </xf>
    <xf numFmtId="0" fontId="178" fillId="18" borderId="0" xfId="2" applyFont="1" applyFill="1" applyAlignment="1" applyProtection="1">
      <alignment horizontal="right"/>
    </xf>
    <xf numFmtId="0" fontId="200" fillId="0" borderId="187" xfId="2" applyFont="1" applyBorder="1" applyAlignment="1" applyProtection="1">
      <alignment horizontal="left" vertical="center"/>
      <protection locked="0" hidden="1"/>
    </xf>
    <xf numFmtId="0" fontId="200" fillId="0" borderId="188" xfId="2" applyFont="1" applyBorder="1" applyAlignment="1" applyProtection="1">
      <alignment horizontal="left" vertical="center"/>
      <protection locked="0" hidden="1"/>
    </xf>
    <xf numFmtId="0" fontId="60" fillId="0" borderId="192" xfId="2" applyFont="1" applyFill="1" applyBorder="1" applyAlignment="1" applyProtection="1">
      <alignment horizontal="left" vertical="center"/>
      <protection locked="0" hidden="1"/>
    </xf>
    <xf numFmtId="0" fontId="60" fillId="0" borderId="193" xfId="2" applyFont="1" applyFill="1" applyBorder="1" applyAlignment="1" applyProtection="1">
      <alignment horizontal="left" vertical="center"/>
      <protection locked="0" hidden="1"/>
    </xf>
    <xf numFmtId="0" fontId="200" fillId="0" borderId="187" xfId="2" applyFont="1" applyBorder="1" applyAlignment="1" applyProtection="1">
      <alignment horizontal="center" vertical="center"/>
      <protection locked="0" hidden="1"/>
    </xf>
    <xf numFmtId="0" fontId="200" fillId="0" borderId="188" xfId="2" applyFont="1" applyBorder="1" applyAlignment="1" applyProtection="1">
      <alignment horizontal="center" vertical="center"/>
      <protection locked="0" hidden="1"/>
    </xf>
    <xf numFmtId="0" fontId="194" fillId="0" borderId="183" xfId="2" applyFont="1" applyBorder="1" applyAlignment="1" applyProtection="1">
      <alignment horizontal="left" vertical="center"/>
      <protection locked="0" hidden="1"/>
    </xf>
    <xf numFmtId="0" fontId="194" fillId="0" borderId="94" xfId="2" applyFont="1" applyBorder="1" applyAlignment="1" applyProtection="1">
      <alignment horizontal="left" vertical="center"/>
      <protection locked="0" hidden="1"/>
    </xf>
    <xf numFmtId="0" fontId="193" fillId="58" borderId="139" xfId="2" applyFont="1" applyFill="1" applyBorder="1" applyAlignment="1" applyProtection="1">
      <alignment horizontal="center" wrapText="1"/>
      <protection locked="0" hidden="1"/>
    </xf>
    <xf numFmtId="0" fontId="193" fillId="58" borderId="140" xfId="2" applyFont="1" applyFill="1" applyBorder="1" applyAlignment="1" applyProtection="1">
      <alignment horizontal="center" wrapText="1"/>
      <protection locked="0" hidden="1"/>
    </xf>
    <xf numFmtId="169" fontId="198" fillId="0" borderId="94" xfId="2" applyNumberFormat="1" applyFont="1" applyBorder="1" applyAlignment="1" applyProtection="1">
      <alignment horizontal="left" vertical="center" wrapText="1"/>
      <protection locked="0" hidden="1"/>
    </xf>
    <xf numFmtId="169" fontId="198" fillId="0" borderId="184" xfId="2" applyNumberFormat="1" applyFont="1" applyBorder="1" applyAlignment="1" applyProtection="1">
      <alignment horizontal="left" vertical="center" wrapText="1"/>
      <protection locked="0" hidden="1"/>
    </xf>
    <xf numFmtId="0" fontId="239" fillId="18" borderId="168" xfId="0" applyFont="1" applyFill="1" applyBorder="1" applyAlignment="1" applyProtection="1">
      <alignment horizontal="center" vertical="center"/>
      <protection hidden="1"/>
    </xf>
    <xf numFmtId="0" fontId="239" fillId="18" borderId="169" xfId="0" applyFont="1" applyFill="1" applyBorder="1" applyAlignment="1" applyProtection="1">
      <alignment horizontal="center" vertical="center"/>
      <protection hidden="1"/>
    </xf>
    <xf numFmtId="0" fontId="239" fillId="18" borderId="170" xfId="0" applyFont="1" applyFill="1" applyBorder="1" applyAlignment="1" applyProtection="1">
      <alignment horizontal="center" vertical="center"/>
      <protection hidden="1"/>
    </xf>
    <xf numFmtId="0" fontId="219" fillId="0" borderId="197" xfId="2" applyNumberFormat="1" applyFont="1" applyBorder="1" applyAlignment="1" applyProtection="1">
      <alignment horizontal="left" vertical="center"/>
      <protection locked="0" hidden="1"/>
    </xf>
    <xf numFmtId="0" fontId="219" fillId="0" borderId="195" xfId="2" applyNumberFormat="1" applyFont="1" applyBorder="1" applyAlignment="1" applyProtection="1">
      <alignment horizontal="left" vertical="center"/>
      <protection locked="0" hidden="1"/>
    </xf>
    <xf numFmtId="0" fontId="36" fillId="0" borderId="0" xfId="2" applyFont="1" applyBorder="1" applyAlignment="1" applyProtection="1">
      <alignment horizontal="left"/>
      <protection locked="0" hidden="1"/>
    </xf>
    <xf numFmtId="1" fontId="142" fillId="0" borderId="217" xfId="2" applyNumberFormat="1" applyFont="1" applyBorder="1" applyAlignment="1" applyProtection="1">
      <alignment horizontal="center" vertical="center"/>
      <protection locked="0" hidden="1"/>
    </xf>
    <xf numFmtId="1" fontId="142" fillId="0" borderId="218" xfId="2" applyNumberFormat="1" applyFont="1" applyBorder="1" applyAlignment="1" applyProtection="1">
      <alignment horizontal="center" vertical="center"/>
      <protection locked="0" hidden="1"/>
    </xf>
    <xf numFmtId="0" fontId="154" fillId="0" borderId="177" xfId="2" applyFont="1" applyBorder="1" applyAlignment="1" applyProtection="1">
      <alignment horizontal="center" vertical="center"/>
      <protection locked="0" hidden="1"/>
    </xf>
    <xf numFmtId="3" fontId="36" fillId="0" borderId="0" xfId="2" applyNumberFormat="1" applyFont="1" applyBorder="1" applyAlignment="1" applyProtection="1">
      <alignment horizontal="left" vertical="center"/>
      <protection locked="0" hidden="1"/>
    </xf>
    <xf numFmtId="3" fontId="36" fillId="0" borderId="135" xfId="2" applyNumberFormat="1" applyFont="1" applyBorder="1" applyAlignment="1" applyProtection="1">
      <alignment horizontal="left" vertical="center"/>
      <protection locked="0" hidden="1"/>
    </xf>
    <xf numFmtId="0" fontId="126" fillId="0" borderId="111" xfId="2" applyFont="1" applyBorder="1" applyAlignment="1" applyProtection="1">
      <alignment vertical="center"/>
      <protection locked="0" hidden="1"/>
    </xf>
    <xf numFmtId="0" fontId="170" fillId="0" borderId="152" xfId="2" applyFont="1" applyBorder="1" applyAlignment="1" applyProtection="1">
      <alignment vertical="center"/>
      <protection locked="0" hidden="1"/>
    </xf>
    <xf numFmtId="0" fontId="170" fillId="0" borderId="238" xfId="2" applyFont="1" applyBorder="1" applyAlignment="1" applyProtection="1">
      <alignment vertical="center"/>
      <protection locked="0" hidden="1"/>
    </xf>
    <xf numFmtId="0" fontId="36" fillId="0" borderId="227" xfId="2" applyFont="1" applyBorder="1" applyAlignment="1" applyProtection="1">
      <alignment horizontal="center" vertical="center"/>
      <protection locked="0" hidden="1"/>
    </xf>
    <xf numFmtId="0" fontId="230" fillId="0" borderId="0" xfId="2" applyFont="1" applyBorder="1" applyAlignment="1" applyProtection="1">
      <alignment vertical="center"/>
      <protection locked="0" hidden="1"/>
    </xf>
    <xf numFmtId="0" fontId="171" fillId="0" borderId="0" xfId="2" applyFont="1" applyBorder="1" applyAlignment="1" applyProtection="1">
      <alignment vertical="center"/>
      <protection locked="0" hidden="1"/>
    </xf>
    <xf numFmtId="3" fontId="255" fillId="0" borderId="0" xfId="2" applyNumberFormat="1" applyFont="1" applyBorder="1" applyAlignment="1" applyProtection="1">
      <alignment vertical="center"/>
      <protection locked="0" hidden="1"/>
    </xf>
    <xf numFmtId="0" fontId="246" fillId="0" borderId="236" xfId="2" applyFont="1" applyBorder="1" applyAlignment="1" applyProtection="1">
      <alignment horizontal="center" vertical="center"/>
      <protection locked="0" hidden="1"/>
    </xf>
    <xf numFmtId="0" fontId="246" fillId="0" borderId="193" xfId="2" applyFont="1" applyBorder="1" applyAlignment="1" applyProtection="1">
      <alignment horizontal="center" vertical="center"/>
      <protection locked="0" hidden="1"/>
    </xf>
    <xf numFmtId="3" fontId="250" fillId="0" borderId="111" xfId="2" applyNumberFormat="1" applyFont="1" applyBorder="1" applyAlignment="1" applyProtection="1">
      <alignment horizontal="left" vertical="center"/>
      <protection locked="0" hidden="1"/>
    </xf>
    <xf numFmtId="3" fontId="250" fillId="0" borderId="15" xfId="2" applyNumberFormat="1" applyFont="1" applyBorder="1" applyAlignment="1" applyProtection="1">
      <alignment horizontal="left" vertical="center"/>
      <protection locked="0" hidden="1"/>
    </xf>
    <xf numFmtId="0" fontId="166" fillId="0" borderId="111" xfId="2" applyFont="1" applyBorder="1" applyAlignment="1" applyProtection="1">
      <alignment vertical="center"/>
      <protection locked="0" hidden="1"/>
    </xf>
    <xf numFmtId="0" fontId="246" fillId="0" borderId="192" xfId="2" applyFont="1" applyBorder="1" applyAlignment="1" applyProtection="1">
      <alignment horizontal="center" vertical="center"/>
      <protection locked="0" hidden="1"/>
    </xf>
    <xf numFmtId="169" fontId="170" fillId="0" borderId="201" xfId="2" applyNumberFormat="1" applyFont="1" applyBorder="1" applyAlignment="1" applyProtection="1">
      <alignment horizontal="center"/>
      <protection locked="0" hidden="1"/>
    </xf>
    <xf numFmtId="169" fontId="170" fillId="0" borderId="142" xfId="2" applyNumberFormat="1" applyFont="1" applyBorder="1" applyAlignment="1" applyProtection="1">
      <alignment horizontal="center"/>
      <protection locked="0" hidden="1"/>
    </xf>
    <xf numFmtId="0" fontId="139" fillId="0" borderId="152" xfId="2" applyFont="1" applyBorder="1" applyAlignment="1" applyProtection="1">
      <alignment horizontal="center"/>
      <protection locked="0" hidden="1"/>
    </xf>
    <xf numFmtId="0" fontId="246" fillId="0" borderId="134" xfId="2" applyFont="1" applyBorder="1" applyAlignment="1" applyProtection="1">
      <alignment horizontal="center" vertical="center"/>
      <protection locked="0" hidden="1"/>
    </xf>
    <xf numFmtId="0" fontId="246" fillId="0" borderId="15" xfId="2" applyFont="1" applyBorder="1" applyAlignment="1" applyProtection="1">
      <alignment horizontal="center" vertical="center"/>
      <protection locked="0" hidden="1"/>
    </xf>
    <xf numFmtId="0" fontId="36" fillId="0" borderId="222" xfId="2" applyFont="1" applyBorder="1" applyAlignment="1" applyProtection="1">
      <alignment horizontal="center" vertical="center"/>
      <protection locked="0" hidden="1"/>
    </xf>
    <xf numFmtId="169" fontId="170" fillId="0" borderId="142" xfId="2" applyNumberFormat="1" applyFont="1" applyBorder="1" applyAlignment="1" applyProtection="1">
      <alignment horizontal="center" vertical="center"/>
      <protection locked="0" hidden="1"/>
    </xf>
    <xf numFmtId="0" fontId="36" fillId="0" borderId="216" xfId="2" applyFont="1" applyBorder="1" applyAlignment="1" applyProtection="1">
      <alignment horizontal="center" vertical="center"/>
      <protection locked="0" hidden="1"/>
    </xf>
    <xf numFmtId="0" fontId="36" fillId="0" borderId="35" xfId="2" applyFont="1" applyBorder="1" applyAlignment="1" applyProtection="1">
      <alignment horizontal="center" vertical="center"/>
      <protection locked="0" hidden="1"/>
    </xf>
    <xf numFmtId="1" fontId="142" fillId="0" borderId="219" xfId="2" applyNumberFormat="1" applyFont="1" applyBorder="1" applyAlignment="1" applyProtection="1">
      <alignment horizontal="center" vertical="center"/>
      <protection locked="0" hidden="1"/>
    </xf>
    <xf numFmtId="1" fontId="142" fillId="0" borderId="183" xfId="2" applyNumberFormat="1" applyFont="1" applyBorder="1" applyAlignment="1" applyProtection="1">
      <alignment horizontal="center" vertical="center"/>
      <protection locked="0" hidden="1"/>
    </xf>
    <xf numFmtId="17" fontId="126" fillId="0" borderId="229" xfId="2" applyNumberFormat="1" applyFont="1" applyBorder="1" applyAlignment="1" applyProtection="1">
      <alignment horizontal="center" vertical="center"/>
      <protection locked="0" hidden="1"/>
    </xf>
    <xf numFmtId="0" fontId="165" fillId="0" borderId="220" xfId="2" applyFont="1" applyBorder="1" applyAlignment="1" applyProtection="1">
      <alignment horizontal="center" vertical="center"/>
      <protection locked="0" hidden="1"/>
    </xf>
    <xf numFmtId="0" fontId="245" fillId="0" borderId="139" xfId="2" applyFont="1" applyBorder="1" applyAlignment="1" applyProtection="1">
      <alignment horizontal="center" wrapText="1"/>
      <protection locked="0" hidden="1"/>
    </xf>
    <xf numFmtId="0" fontId="245" fillId="0" borderId="140" xfId="2" applyFont="1" applyBorder="1" applyAlignment="1" applyProtection="1">
      <alignment horizontal="center" wrapText="1"/>
      <protection locked="0" hidden="1"/>
    </xf>
    <xf numFmtId="0" fontId="245" fillId="0" borderId="141" xfId="2" applyFont="1" applyBorder="1" applyAlignment="1" applyProtection="1">
      <alignment horizontal="center" wrapText="1"/>
      <protection locked="0" hidden="1"/>
    </xf>
    <xf numFmtId="0" fontId="170" fillId="0" borderId="111" xfId="2" applyFont="1" applyBorder="1" applyAlignment="1" applyProtection="1">
      <alignment vertical="center"/>
      <protection locked="0" hidden="1"/>
    </xf>
    <xf numFmtId="0" fontId="170" fillId="14" borderId="181" xfId="2" applyFont="1" applyFill="1" applyBorder="1" applyAlignment="1" applyProtection="1">
      <alignment horizontal="center" vertical="center"/>
      <protection locked="0" hidden="1"/>
    </xf>
    <xf numFmtId="0" fontId="170" fillId="14" borderId="118" xfId="2" applyFont="1" applyFill="1" applyBorder="1" applyAlignment="1" applyProtection="1">
      <alignment horizontal="center" vertical="center"/>
      <protection locked="0" hidden="1"/>
    </xf>
    <xf numFmtId="0" fontId="170" fillId="14" borderId="182" xfId="2" applyFont="1" applyFill="1" applyBorder="1" applyAlignment="1" applyProtection="1">
      <alignment horizontal="center" vertical="center"/>
      <protection locked="0" hidden="1"/>
    </xf>
    <xf numFmtId="0" fontId="246" fillId="0" borderId="142" xfId="2" applyFont="1" applyBorder="1" applyAlignment="1" applyProtection="1">
      <alignment horizontal="center" vertical="center" wrapText="1"/>
      <protection locked="0" hidden="1"/>
    </xf>
    <xf numFmtId="0" fontId="246" fillId="0" borderId="0" xfId="2" applyFont="1" applyBorder="1" applyAlignment="1" applyProtection="1">
      <alignment horizontal="center" vertical="center" wrapText="1"/>
      <protection locked="0" hidden="1"/>
    </xf>
    <xf numFmtId="0" fontId="246" fillId="0" borderId="143" xfId="2" applyFont="1" applyBorder="1" applyAlignment="1" applyProtection="1">
      <alignment horizontal="center" vertical="center" wrapText="1"/>
      <protection locked="0" hidden="1"/>
    </xf>
    <xf numFmtId="0" fontId="126" fillId="0" borderId="145" xfId="2" applyFont="1" applyBorder="1" applyAlignment="1" applyProtection="1">
      <alignment horizontal="center" vertical="center"/>
      <protection locked="0" hidden="1"/>
    </xf>
    <xf numFmtId="0" fontId="126" fillId="0" borderId="242" xfId="2" applyFont="1" applyBorder="1" applyAlignment="1" applyProtection="1">
      <alignment horizontal="center" vertical="center"/>
      <protection locked="0" hidden="1"/>
    </xf>
    <xf numFmtId="3" fontId="36" fillId="0" borderId="0" xfId="2" applyNumberFormat="1" applyFont="1" applyBorder="1" applyAlignment="1" applyProtection="1">
      <alignment horizontal="left" vertical="center" wrapText="1"/>
      <protection locked="0" hidden="1"/>
    </xf>
    <xf numFmtId="3" fontId="36" fillId="0" borderId="135" xfId="2" applyNumberFormat="1" applyFont="1" applyBorder="1" applyAlignment="1" applyProtection="1">
      <alignment horizontal="left" vertical="center" wrapText="1"/>
      <protection locked="0" hidden="1"/>
    </xf>
    <xf numFmtId="3" fontId="154" fillId="0" borderId="0" xfId="2" applyNumberFormat="1" applyFont="1" applyBorder="1" applyAlignment="1" applyProtection="1">
      <alignment horizontal="left" vertical="center"/>
      <protection locked="0" hidden="1"/>
    </xf>
    <xf numFmtId="0" fontId="36" fillId="0" borderId="233" xfId="2" applyFont="1" applyBorder="1" applyAlignment="1" applyProtection="1">
      <alignment horizontal="center" vertical="center"/>
      <protection locked="0" hidden="1"/>
    </xf>
    <xf numFmtId="0" fontId="248" fillId="14" borderId="220" xfId="2" applyFont="1" applyFill="1" applyBorder="1" applyAlignment="1" applyProtection="1">
      <alignment horizontal="center" vertical="center"/>
      <protection locked="0" hidden="1"/>
    </xf>
    <xf numFmtId="1" fontId="142" fillId="0" borderId="216" xfId="2" applyNumberFormat="1" applyFont="1" applyBorder="1" applyAlignment="1" applyProtection="1">
      <alignment horizontal="center" vertical="center"/>
      <protection locked="0" hidden="1"/>
    </xf>
    <xf numFmtId="1" fontId="142" fillId="0" borderId="35" xfId="2" applyNumberFormat="1" applyFont="1" applyBorder="1" applyAlignment="1" applyProtection="1">
      <alignment horizontal="center" vertical="center"/>
      <protection locked="0" hidden="1"/>
    </xf>
    <xf numFmtId="0" fontId="36" fillId="0" borderId="224" xfId="2" applyFont="1" applyBorder="1" applyAlignment="1" applyProtection="1">
      <alignment horizontal="center" vertical="center"/>
      <protection locked="0" hidden="1"/>
    </xf>
    <xf numFmtId="0" fontId="36" fillId="0" borderId="223" xfId="2" applyFont="1" applyBorder="1" applyAlignment="1" applyProtection="1">
      <alignment horizontal="center" vertical="center"/>
      <protection locked="0" hidden="1"/>
    </xf>
    <xf numFmtId="0" fontId="246" fillId="0" borderId="185" xfId="2" applyFont="1" applyBorder="1" applyAlignment="1" applyProtection="1">
      <alignment horizontal="center" vertical="center"/>
      <protection locked="0" hidden="1"/>
    </xf>
    <xf numFmtId="0" fontId="139" fillId="0" borderId="176" xfId="2" applyFont="1" applyBorder="1" applyAlignment="1" applyProtection="1">
      <alignment horizontal="center" vertical="center"/>
      <protection locked="0" hidden="1"/>
    </xf>
    <xf numFmtId="0" fontId="36" fillId="0" borderId="177" xfId="2" applyFont="1" applyBorder="1" applyAlignment="1" applyProtection="1">
      <alignment horizontal="center" vertical="center"/>
      <protection locked="0" hidden="1"/>
    </xf>
    <xf numFmtId="0" fontId="36" fillId="0" borderId="185" xfId="2" applyFont="1" applyBorder="1" applyAlignment="1" applyProtection="1">
      <alignment horizontal="center" vertical="center"/>
      <protection locked="0" hidden="1"/>
    </xf>
    <xf numFmtId="3" fontId="35" fillId="0" borderId="0" xfId="2" applyNumberFormat="1" applyFont="1" applyBorder="1" applyAlignment="1" applyProtection="1">
      <alignment horizontal="center" vertical="center"/>
      <protection locked="0" hidden="1"/>
    </xf>
    <xf numFmtId="3" fontId="35" fillId="0" borderId="15" xfId="2" applyNumberFormat="1" applyFont="1" applyBorder="1" applyAlignment="1" applyProtection="1">
      <alignment horizontal="center" vertical="center"/>
      <protection locked="0" hidden="1"/>
    </xf>
    <xf numFmtId="0" fontId="36" fillId="0" borderId="18" xfId="2" applyFont="1" applyBorder="1" applyAlignment="1" applyProtection="1">
      <alignment horizontal="center" vertical="center"/>
      <protection locked="0" hidden="1"/>
    </xf>
    <xf numFmtId="0" fontId="36" fillId="0" borderId="91" xfId="2" applyFont="1" applyBorder="1" applyAlignment="1" applyProtection="1">
      <alignment horizontal="center" vertical="center"/>
      <protection locked="0" hidden="1"/>
    </xf>
    <xf numFmtId="0" fontId="126" fillId="0" borderId="231" xfId="2" applyFont="1" applyBorder="1" applyAlignment="1" applyProtection="1">
      <alignment horizontal="center" vertical="center"/>
      <protection locked="0" hidden="1"/>
    </xf>
    <xf numFmtId="17" fontId="126" fillId="0" borderId="230" xfId="2" applyNumberFormat="1" applyFont="1" applyBorder="1" applyAlignment="1" applyProtection="1">
      <alignment horizontal="center" vertical="center"/>
      <protection locked="0" hidden="1"/>
    </xf>
    <xf numFmtId="0" fontId="36" fillId="0" borderId="226" xfId="2" applyFont="1" applyBorder="1" applyAlignment="1" applyProtection="1">
      <alignment horizontal="center" vertical="center"/>
      <protection locked="0" hidden="1"/>
    </xf>
    <xf numFmtId="0" fontId="36" fillId="0" borderId="225" xfId="2" applyFont="1" applyBorder="1" applyAlignment="1" applyProtection="1">
      <alignment horizontal="center" vertical="center"/>
      <protection locked="0" hidden="1"/>
    </xf>
    <xf numFmtId="0" fontId="36" fillId="0" borderId="221" xfId="2" applyFont="1" applyBorder="1" applyAlignment="1" applyProtection="1">
      <alignment horizontal="center" vertical="center"/>
      <protection locked="0" hidden="1"/>
    </xf>
    <xf numFmtId="169" fontId="170" fillId="0" borderId="201" xfId="2" applyNumberFormat="1" applyFont="1" applyBorder="1" applyAlignment="1" applyProtection="1">
      <alignment horizontal="center" vertical="center"/>
      <protection locked="0" hidden="1"/>
    </xf>
    <xf numFmtId="1" fontId="142" fillId="0" borderId="18" xfId="2" applyNumberFormat="1" applyFont="1" applyBorder="1" applyAlignment="1" applyProtection="1">
      <alignment horizontal="center" vertical="center"/>
      <protection locked="0" hidden="1"/>
    </xf>
    <xf numFmtId="1" fontId="142" fillId="0" borderId="91" xfId="2" applyNumberFormat="1" applyFont="1" applyBorder="1" applyAlignment="1" applyProtection="1">
      <alignment horizontal="center" vertical="center"/>
      <protection locked="0" hidden="1"/>
    </xf>
    <xf numFmtId="0" fontId="36" fillId="0" borderId="217" xfId="2" applyFont="1" applyBorder="1" applyAlignment="1" applyProtection="1">
      <alignment horizontal="center" vertical="center"/>
      <protection locked="0" hidden="1"/>
    </xf>
    <xf numFmtId="0" fontId="36" fillId="0" borderId="218" xfId="2" applyFont="1" applyBorder="1" applyAlignment="1" applyProtection="1">
      <alignment horizontal="center" vertical="center"/>
      <protection locked="0" hidden="1"/>
    </xf>
    <xf numFmtId="0" fontId="126" fillId="0" borderId="0" xfId="2" applyFont="1" applyFill="1" applyBorder="1" applyAlignment="1" applyProtection="1">
      <alignment horizontal="left"/>
      <protection locked="0" hidden="1"/>
    </xf>
    <xf numFmtId="0" fontId="36" fillId="0" borderId="111" xfId="2" applyFont="1" applyBorder="1" applyAlignment="1" applyProtection="1">
      <alignment horizontal="center"/>
      <protection locked="0" hidden="1"/>
    </xf>
    <xf numFmtId="0" fontId="36" fillId="0" borderId="111" xfId="2" applyFont="1" applyBorder="1" applyAlignment="1" applyProtection="1">
      <alignment horizontal="center" vertical="center"/>
      <protection locked="0" hidden="1"/>
    </xf>
    <xf numFmtId="0" fontId="36" fillId="0" borderId="0" xfId="2" applyFont="1" applyBorder="1" applyAlignment="1" applyProtection="1">
      <alignment horizontal="center" vertical="center"/>
      <protection locked="0" hidden="1"/>
    </xf>
    <xf numFmtId="0" fontId="154" fillId="0" borderId="0" xfId="2" applyFont="1" applyBorder="1" applyAlignment="1" applyProtection="1">
      <alignment horizontal="left"/>
      <protection locked="0" hidden="1"/>
    </xf>
    <xf numFmtId="0" fontId="170" fillId="0" borderId="248" xfId="2" applyFont="1" applyBorder="1" applyAlignment="1" applyProtection="1">
      <alignment horizontal="center" vertical="center"/>
      <protection locked="0" hidden="1"/>
    </xf>
    <xf numFmtId="0" fontId="257" fillId="0" borderId="0" xfId="2" applyFont="1" applyBorder="1" applyAlignment="1" applyProtection="1">
      <alignment horizontal="left" vertical="center"/>
      <protection locked="0" hidden="1"/>
    </xf>
    <xf numFmtId="0" fontId="171" fillId="0" borderId="111" xfId="2" applyFont="1" applyBorder="1" applyAlignment="1" applyProtection="1">
      <alignment horizontal="left" vertical="center"/>
      <protection locked="0" hidden="1"/>
    </xf>
    <xf numFmtId="0" fontId="171" fillId="0" borderId="0" xfId="2" applyFont="1" applyBorder="1" applyAlignment="1" applyProtection="1">
      <alignment horizontal="left" vertical="center"/>
      <protection locked="0" hidden="1"/>
    </xf>
    <xf numFmtId="0" fontId="170" fillId="0" borderId="0" xfId="2" applyFont="1" applyBorder="1" applyAlignment="1" applyProtection="1">
      <alignment horizontal="left" vertical="top"/>
      <protection locked="0" hidden="1"/>
    </xf>
    <xf numFmtId="0" fontId="257" fillId="0" borderId="0" xfId="2" applyFont="1" applyBorder="1" applyAlignment="1" applyProtection="1">
      <alignment horizontal="left"/>
      <protection locked="0" hidden="1"/>
    </xf>
    <xf numFmtId="0" fontId="142" fillId="0" borderId="0" xfId="2" applyFont="1" applyBorder="1" applyAlignment="1" applyProtection="1">
      <alignment horizontal="left"/>
      <protection locked="0" hidden="1"/>
    </xf>
    <xf numFmtId="0" fontId="126" fillId="0" borderId="111" xfId="2" applyFont="1" applyBorder="1" applyAlignment="1" applyProtection="1">
      <alignment horizontal="left" vertical="center"/>
      <protection locked="0" hidden="1"/>
    </xf>
    <xf numFmtId="0" fontId="126" fillId="0" borderId="0" xfId="2" applyFont="1" applyBorder="1" applyAlignment="1" applyProtection="1">
      <alignment horizontal="left" vertical="center"/>
      <protection locked="0" hidden="1"/>
    </xf>
    <xf numFmtId="0" fontId="35" fillId="0" borderId="153" xfId="2" applyFont="1" applyBorder="1" applyAlignment="1" applyProtection="1">
      <alignment horizontal="center"/>
      <protection locked="0" hidden="1"/>
    </xf>
    <xf numFmtId="0" fontId="230" fillId="0" borderId="35" xfId="2" applyFont="1" applyBorder="1" applyAlignment="1" applyProtection="1">
      <alignment horizontal="center"/>
      <protection locked="0" hidden="1"/>
    </xf>
    <xf numFmtId="0" fontId="230" fillId="0" borderId="176" xfId="2" applyFont="1" applyBorder="1" applyAlignment="1" applyProtection="1">
      <alignment horizontal="center"/>
      <protection locked="0" hidden="1"/>
    </xf>
    <xf numFmtId="0" fontId="230" fillId="0" borderId="118" xfId="2" applyFont="1" applyBorder="1" applyAlignment="1" applyProtection="1">
      <alignment horizontal="center"/>
      <protection locked="0" hidden="1"/>
    </xf>
    <xf numFmtId="0" fontId="230" fillId="0" borderId="182" xfId="2" applyFont="1" applyBorder="1" applyAlignment="1" applyProtection="1">
      <alignment horizontal="center"/>
      <protection locked="0" hidden="1"/>
    </xf>
    <xf numFmtId="0" fontId="165" fillId="0" borderId="118" xfId="2" applyFont="1" applyBorder="1" applyAlignment="1" applyProtection="1">
      <alignment horizontal="left" vertical="center"/>
      <protection locked="0" hidden="1"/>
    </xf>
    <xf numFmtId="0" fontId="230" fillId="0" borderId="18" xfId="2" applyFont="1" applyBorder="1" applyAlignment="1" applyProtection="1">
      <alignment horizontal="center"/>
      <protection locked="0" hidden="1"/>
    </xf>
    <xf numFmtId="0" fontId="230" fillId="0" borderId="19" xfId="2" applyFont="1" applyBorder="1" applyAlignment="1" applyProtection="1">
      <alignment horizontal="center"/>
      <protection locked="0" hidden="1"/>
    </xf>
    <xf numFmtId="0" fontId="35" fillId="0" borderId="0" xfId="2" applyFont="1" applyBorder="1" applyAlignment="1" applyProtection="1">
      <alignment horizontal="left"/>
      <protection locked="0" hidden="1"/>
    </xf>
    <xf numFmtId="0" fontId="34" fillId="0" borderId="0" xfId="2" applyNumberFormat="1" applyFont="1" applyBorder="1" applyAlignment="1" applyProtection="1">
      <alignment horizontal="left" vertical="center"/>
      <protection locked="0" hidden="1"/>
    </xf>
    <xf numFmtId="0" fontId="34" fillId="0" borderId="248" xfId="2" applyNumberFormat="1" applyFont="1" applyBorder="1" applyAlignment="1" applyProtection="1">
      <alignment horizontal="left" vertical="center"/>
      <protection locked="0" hidden="1"/>
    </xf>
    <xf numFmtId="0" fontId="35" fillId="0" borderId="111" xfId="2" applyFont="1" applyFill="1" applyBorder="1" applyAlignment="1" applyProtection="1">
      <alignment horizontal="left"/>
      <protection locked="0" hidden="1"/>
    </xf>
    <xf numFmtId="0" fontId="35" fillId="0" borderId="0" xfId="2" applyFont="1" applyFill="1" applyBorder="1" applyAlignment="1" applyProtection="1">
      <alignment horizontal="left"/>
      <protection locked="0" hidden="1"/>
    </xf>
    <xf numFmtId="0" fontId="230" fillId="0" borderId="109" xfId="2" applyFont="1" applyBorder="1" applyAlignment="1" applyProtection="1">
      <alignment horizontal="center"/>
      <protection locked="0" hidden="1"/>
    </xf>
    <xf numFmtId="0" fontId="230" fillId="0" borderId="110" xfId="2" applyFont="1" applyBorder="1" applyAlignment="1" applyProtection="1">
      <alignment horizontal="center"/>
      <protection locked="0" hidden="1"/>
    </xf>
    <xf numFmtId="0" fontId="246" fillId="0" borderId="111" xfId="2" applyFont="1" applyBorder="1" applyAlignment="1" applyProtection="1">
      <alignment horizontal="left"/>
      <protection locked="0" hidden="1"/>
    </xf>
    <xf numFmtId="0" fontId="246" fillId="0" borderId="0" xfId="2" applyFont="1" applyBorder="1" applyAlignment="1" applyProtection="1">
      <alignment horizontal="left"/>
      <protection locked="0" hidden="1"/>
    </xf>
    <xf numFmtId="0" fontId="230" fillId="0" borderId="116" xfId="2" applyFont="1" applyBorder="1" applyAlignment="1" applyProtection="1">
      <alignment horizontal="center"/>
      <protection locked="0" hidden="1"/>
    </xf>
    <xf numFmtId="0" fontId="230" fillId="0" borderId="117" xfId="2" applyFont="1" applyBorder="1" applyAlignment="1" applyProtection="1">
      <alignment horizontal="center"/>
      <protection locked="0" hidden="1"/>
    </xf>
    <xf numFmtId="0" fontId="230" fillId="0" borderId="94" xfId="2" applyFont="1" applyBorder="1" applyAlignment="1" applyProtection="1">
      <alignment horizontal="center"/>
      <protection locked="0" hidden="1"/>
    </xf>
    <xf numFmtId="0" fontId="230" fillId="0" borderId="184" xfId="2" applyFont="1" applyBorder="1" applyAlignment="1" applyProtection="1">
      <alignment horizontal="center"/>
      <protection locked="0" hidden="1"/>
    </xf>
    <xf numFmtId="0" fontId="154" fillId="0" borderId="153" xfId="2" applyFont="1" applyBorder="1" applyAlignment="1" applyProtection="1">
      <alignment horizontal="center"/>
      <protection locked="0" hidden="1"/>
    </xf>
    <xf numFmtId="0" fontId="230" fillId="0" borderId="111" xfId="2" applyFont="1" applyBorder="1" applyAlignment="1" applyProtection="1">
      <alignment horizontal="center"/>
      <protection locked="0" hidden="1"/>
    </xf>
    <xf numFmtId="0" fontId="230" fillId="0" borderId="15" xfId="2" applyFont="1" applyBorder="1" applyAlignment="1" applyProtection="1">
      <alignment horizontal="center"/>
      <protection locked="0" hidden="1"/>
    </xf>
    <xf numFmtId="0" fontId="230" fillId="0" borderId="0" xfId="2" applyFont="1" applyBorder="1" applyAlignment="1" applyProtection="1">
      <alignment horizontal="center"/>
      <protection locked="0" hidden="1"/>
    </xf>
    <xf numFmtId="0" fontId="230" fillId="0" borderId="143" xfId="2" applyFont="1" applyBorder="1" applyAlignment="1" applyProtection="1">
      <alignment horizontal="center"/>
      <protection locked="0" hidden="1"/>
    </xf>
    <xf numFmtId="0" fontId="35" fillId="0" borderId="142" xfId="2" applyFont="1" applyBorder="1" applyAlignment="1" applyProtection="1">
      <alignment horizontal="left"/>
      <protection locked="0" hidden="1"/>
    </xf>
    <xf numFmtId="175" fontId="142" fillId="0" borderId="0" xfId="2" applyNumberFormat="1" applyFont="1" applyBorder="1" applyAlignment="1" applyProtection="1">
      <alignment horizontal="left"/>
      <protection locked="0" hidden="1"/>
    </xf>
    <xf numFmtId="0" fontId="257" fillId="0" borderId="142" xfId="2" applyFont="1" applyBorder="1" applyAlignment="1" applyProtection="1">
      <alignment horizontal="left" vertical="top" wrapText="1"/>
      <protection locked="0" hidden="1"/>
    </xf>
    <xf numFmtId="0" fontId="257" fillId="0" borderId="0" xfId="2" applyFont="1" applyBorder="1" applyAlignment="1" applyProtection="1">
      <alignment horizontal="left" vertical="top" wrapText="1"/>
      <protection locked="0" hidden="1"/>
    </xf>
    <xf numFmtId="0" fontId="257" fillId="0" borderId="143" xfId="2" applyFont="1" applyBorder="1" applyAlignment="1" applyProtection="1">
      <alignment horizontal="left" vertical="top" wrapText="1"/>
      <protection locked="0" hidden="1"/>
    </xf>
    <xf numFmtId="0" fontId="154" fillId="0" borderId="0" xfId="0" applyFont="1" applyFill="1" applyBorder="1" applyAlignment="1" applyProtection="1">
      <alignment horizontal="right" vertical="top" wrapText="1"/>
      <protection locked="0" hidden="1"/>
    </xf>
    <xf numFmtId="0" fontId="154" fillId="0" borderId="112" xfId="0" applyFont="1" applyFill="1" applyBorder="1" applyAlignment="1" applyProtection="1">
      <alignment horizontal="left" vertical="center"/>
      <protection locked="0" hidden="1"/>
    </xf>
    <xf numFmtId="0" fontId="142" fillId="0" borderId="163" xfId="0" applyFont="1" applyFill="1" applyBorder="1" applyAlignment="1" applyProtection="1">
      <alignment horizontal="center" vertical="center"/>
      <protection locked="0" hidden="1"/>
    </xf>
    <xf numFmtId="0" fontId="142" fillId="0" borderId="0" xfId="0" applyFont="1" applyFill="1" applyBorder="1" applyAlignment="1" applyProtection="1">
      <alignment horizontal="center" vertical="center"/>
      <protection locked="0" hidden="1"/>
    </xf>
    <xf numFmtId="0" fontId="142" fillId="0" borderId="164" xfId="0" applyFont="1" applyFill="1" applyBorder="1" applyAlignment="1" applyProtection="1">
      <alignment horizontal="center" vertical="center"/>
      <protection locked="0" hidden="1"/>
    </xf>
    <xf numFmtId="0" fontId="154" fillId="0" borderId="134" xfId="0" applyFont="1" applyFill="1" applyBorder="1" applyAlignment="1" applyProtection="1">
      <alignment horizontal="right" vertical="center"/>
      <protection locked="0" hidden="1"/>
    </xf>
    <xf numFmtId="0" fontId="154" fillId="0" borderId="0" xfId="0" applyFont="1" applyFill="1" applyBorder="1" applyAlignment="1" applyProtection="1">
      <alignment horizontal="right" vertical="center"/>
      <protection locked="0" hidden="1"/>
    </xf>
    <xf numFmtId="0" fontId="154" fillId="0" borderId="135" xfId="0" applyFont="1" applyFill="1" applyBorder="1" applyAlignment="1" applyProtection="1">
      <alignment horizontal="right" vertical="center"/>
      <protection locked="0" hidden="1"/>
    </xf>
    <xf numFmtId="0" fontId="154" fillId="0" borderId="134" xfId="0" applyFont="1" applyFill="1" applyBorder="1" applyAlignment="1" applyProtection="1">
      <alignment horizontal="left" vertical="center"/>
      <protection locked="0" hidden="1"/>
    </xf>
    <xf numFmtId="0" fontId="154" fillId="0" borderId="0" xfId="0" applyFont="1" applyFill="1" applyBorder="1" applyAlignment="1" applyProtection="1">
      <alignment horizontal="left" vertical="center"/>
      <protection locked="0" hidden="1"/>
    </xf>
    <xf numFmtId="0" fontId="154" fillId="0" borderId="164" xfId="0" applyFont="1" applyFill="1" applyBorder="1" applyAlignment="1" applyProtection="1">
      <alignment horizontal="left" vertical="center"/>
      <protection locked="0" hidden="1"/>
    </xf>
    <xf numFmtId="41" fontId="154" fillId="0" borderId="134" xfId="0" applyNumberFormat="1" applyFont="1" applyFill="1" applyBorder="1" applyAlignment="1" applyProtection="1">
      <alignment horizontal="center" vertical="center"/>
      <protection locked="0" hidden="1"/>
    </xf>
    <xf numFmtId="0" fontId="154" fillId="0" borderId="0" xfId="0" applyFont="1" applyFill="1" applyBorder="1" applyAlignment="1" applyProtection="1">
      <alignment horizontal="center" vertical="center"/>
      <protection locked="0" hidden="1"/>
    </xf>
    <xf numFmtId="0" fontId="154" fillId="0" borderId="135" xfId="0" applyFont="1" applyFill="1" applyBorder="1" applyAlignment="1" applyProtection="1">
      <alignment horizontal="center" vertical="center"/>
      <protection locked="0" hidden="1"/>
    </xf>
    <xf numFmtId="0" fontId="154" fillId="0" borderId="112" xfId="0" applyFont="1" applyFill="1" applyBorder="1" applyAlignment="1" applyProtection="1">
      <alignment horizontal="center" vertical="center"/>
      <protection locked="0" hidden="1"/>
    </xf>
    <xf numFmtId="0" fontId="154" fillId="0" borderId="134" xfId="0" applyFont="1" applyFill="1" applyBorder="1" applyAlignment="1" applyProtection="1">
      <alignment horizontal="center" vertical="center"/>
      <protection locked="0" hidden="1"/>
    </xf>
    <xf numFmtId="0" fontId="154" fillId="0" borderId="164" xfId="0" applyFont="1" applyFill="1" applyBorder="1" applyAlignment="1" applyProtection="1">
      <alignment horizontal="center" vertical="center"/>
      <protection locked="0" hidden="1"/>
    </xf>
    <xf numFmtId="0" fontId="154" fillId="0" borderId="129" xfId="0" applyFont="1" applyFill="1" applyBorder="1" applyAlignment="1" applyProtection="1">
      <alignment horizontal="center" vertical="center"/>
      <protection locked="0" hidden="1"/>
    </xf>
    <xf numFmtId="0" fontId="154" fillId="0" borderId="130" xfId="0" applyFont="1" applyFill="1" applyBorder="1" applyAlignment="1" applyProtection="1">
      <alignment horizontal="center" vertical="center"/>
      <protection locked="0" hidden="1"/>
    </xf>
    <xf numFmtId="0" fontId="154" fillId="0" borderId="255" xfId="0" applyFont="1" applyFill="1" applyBorder="1" applyAlignment="1" applyProtection="1">
      <alignment horizontal="center" vertical="center"/>
      <protection locked="0" hidden="1"/>
    </xf>
    <xf numFmtId="3" fontId="154" fillId="0" borderId="134" xfId="0" applyNumberFormat="1" applyFont="1" applyFill="1" applyBorder="1" applyAlignment="1" applyProtection="1">
      <alignment horizontal="center" vertical="center"/>
      <protection locked="0" hidden="1"/>
    </xf>
    <xf numFmtId="0" fontId="154" fillId="0" borderId="138" xfId="0" applyFont="1" applyFill="1" applyBorder="1" applyAlignment="1" applyProtection="1">
      <alignment horizontal="center" vertical="center"/>
      <protection locked="0" hidden="1"/>
    </xf>
    <xf numFmtId="0" fontId="154" fillId="0" borderId="137" xfId="0" applyFont="1" applyFill="1" applyBorder="1" applyAlignment="1" applyProtection="1">
      <alignment horizontal="center" vertical="center"/>
      <protection locked="0" hidden="1"/>
    </xf>
    <xf numFmtId="0" fontId="154" fillId="0" borderId="252" xfId="0" applyFont="1" applyFill="1" applyBorder="1" applyAlignment="1" applyProtection="1">
      <alignment horizontal="center" vertical="center"/>
      <protection locked="0" hidden="1"/>
    </xf>
    <xf numFmtId="0" fontId="35" fillId="0" borderId="129" xfId="0" applyFont="1" applyFill="1" applyBorder="1" applyAlignment="1" applyProtection="1">
      <alignment horizontal="center" vertical="center"/>
      <protection locked="0" hidden="1"/>
    </xf>
    <xf numFmtId="0" fontId="35" fillId="0" borderId="130" xfId="0" applyFont="1" applyFill="1" applyBorder="1" applyAlignment="1" applyProtection="1">
      <alignment horizontal="center" vertical="center"/>
      <protection locked="0" hidden="1"/>
    </xf>
    <xf numFmtId="0" fontId="35" fillId="0" borderId="255" xfId="0" applyFont="1" applyFill="1" applyBorder="1" applyAlignment="1" applyProtection="1">
      <alignment horizontal="center" vertical="center"/>
      <protection locked="0" hidden="1"/>
    </xf>
    <xf numFmtId="0" fontId="6" fillId="0" borderId="163" xfId="0" applyFont="1" applyFill="1" applyBorder="1" applyAlignment="1" applyProtection="1">
      <alignment horizontal="center"/>
      <protection locked="0" hidden="1"/>
    </xf>
    <xf numFmtId="0" fontId="6" fillId="0" borderId="0" xfId="0" applyFont="1" applyFill="1" applyBorder="1" applyAlignment="1" applyProtection="1">
      <alignment horizontal="center"/>
      <protection locked="0" hidden="1"/>
    </xf>
    <xf numFmtId="0" fontId="6" fillId="0" borderId="164" xfId="0" applyFont="1" applyFill="1" applyBorder="1" applyAlignment="1" applyProtection="1">
      <alignment horizontal="center"/>
      <protection locked="0" hidden="1"/>
    </xf>
    <xf numFmtId="0" fontId="165" fillId="0" borderId="253" xfId="0" applyFont="1" applyFill="1" applyBorder="1" applyAlignment="1" applyProtection="1">
      <alignment horizontal="center"/>
      <protection locked="0" hidden="1"/>
    </xf>
    <xf numFmtId="0" fontId="165" fillId="0" borderId="115" xfId="0" applyFont="1" applyFill="1" applyBorder="1" applyAlignment="1" applyProtection="1">
      <alignment horizontal="center"/>
      <protection locked="0" hidden="1"/>
    </xf>
    <xf numFmtId="0" fontId="165" fillId="0" borderId="254" xfId="0" applyFont="1" applyFill="1" applyBorder="1" applyAlignment="1" applyProtection="1">
      <alignment horizontal="center"/>
      <protection locked="0" hidden="1"/>
    </xf>
    <xf numFmtId="41" fontId="154" fillId="0" borderId="0" xfId="0" applyNumberFormat="1" applyFont="1" applyFill="1" applyBorder="1" applyAlignment="1" applyProtection="1">
      <alignment horizontal="center" vertical="center"/>
      <protection locked="0" hidden="1"/>
    </xf>
    <xf numFmtId="41" fontId="154" fillId="0" borderId="135" xfId="0" applyNumberFormat="1" applyFont="1" applyFill="1" applyBorder="1" applyAlignment="1" applyProtection="1">
      <alignment horizontal="center" vertical="center"/>
      <protection locked="0" hidden="1"/>
    </xf>
    <xf numFmtId="0" fontId="154" fillId="0" borderId="163" xfId="0" applyFont="1" applyFill="1" applyBorder="1" applyAlignment="1" applyProtection="1">
      <alignment horizontal="center" vertical="center"/>
      <protection locked="0" hidden="1"/>
    </xf>
    <xf numFmtId="3" fontId="154" fillId="0" borderId="0" xfId="0" applyNumberFormat="1" applyFont="1" applyFill="1" applyBorder="1" applyAlignment="1" applyProtection="1">
      <alignment horizontal="center" vertical="center"/>
      <protection locked="0" hidden="1"/>
    </xf>
    <xf numFmtId="0" fontId="35" fillId="0" borderId="168" xfId="0" applyFont="1" applyFill="1" applyBorder="1" applyAlignment="1" applyProtection="1">
      <alignment horizontal="center" vertical="center"/>
      <protection locked="0" hidden="1"/>
    </xf>
    <xf numFmtId="0" fontId="35" fillId="0" borderId="169" xfId="0" applyFont="1" applyFill="1" applyBorder="1" applyAlignment="1" applyProtection="1">
      <alignment horizontal="center" vertical="center"/>
      <protection locked="0" hidden="1"/>
    </xf>
    <xf numFmtId="0" fontId="35" fillId="0" borderId="170" xfId="0" applyFont="1" applyFill="1" applyBorder="1" applyAlignment="1" applyProtection="1">
      <alignment horizontal="center" vertical="center"/>
      <protection locked="0" hidden="1"/>
    </xf>
    <xf numFmtId="0" fontId="35" fillId="0" borderId="131" xfId="0" applyFont="1" applyFill="1" applyBorder="1" applyAlignment="1" applyProtection="1">
      <alignment horizontal="center" vertical="center"/>
      <protection locked="0" hidden="1"/>
    </xf>
    <xf numFmtId="0" fontId="154" fillId="0" borderId="131" xfId="0" applyFont="1" applyFill="1" applyBorder="1" applyAlignment="1" applyProtection="1">
      <alignment horizontal="center" vertical="center"/>
      <protection locked="0" hidden="1"/>
    </xf>
    <xf numFmtId="0" fontId="154" fillId="0" borderId="0" xfId="0" applyFont="1" applyFill="1" applyBorder="1" applyAlignment="1" applyProtection="1">
      <alignment horizontal="left"/>
      <protection locked="0" hidden="1"/>
    </xf>
    <xf numFmtId="0" fontId="35" fillId="0" borderId="134" xfId="0" applyFont="1" applyFill="1" applyBorder="1" applyAlignment="1" applyProtection="1">
      <alignment horizontal="left" vertical="center"/>
      <protection locked="0" hidden="1"/>
    </xf>
    <xf numFmtId="0" fontId="35" fillId="0" borderId="0" xfId="0" applyFont="1" applyFill="1" applyBorder="1" applyAlignment="1" applyProtection="1">
      <alignment horizontal="left" vertical="center"/>
      <protection locked="0" hidden="1"/>
    </xf>
    <xf numFmtId="0" fontId="35" fillId="0" borderId="135" xfId="0" applyFont="1" applyFill="1" applyBorder="1" applyAlignment="1" applyProtection="1">
      <alignment horizontal="left" vertical="center"/>
      <protection locked="0" hidden="1"/>
    </xf>
    <xf numFmtId="0" fontId="154" fillId="0" borderId="0" xfId="0" applyFont="1" applyFill="1" applyBorder="1" applyAlignment="1" applyProtection="1">
      <alignment horizontal="left" vertical="center" wrapText="1"/>
      <protection locked="0" hidden="1"/>
    </xf>
    <xf numFmtId="0" fontId="154" fillId="0" borderId="164" xfId="0" applyFont="1" applyFill="1" applyBorder="1" applyAlignment="1" applyProtection="1">
      <alignment horizontal="left" vertical="center" wrapText="1"/>
      <protection locked="0" hidden="1"/>
    </xf>
    <xf numFmtId="0" fontId="142" fillId="0" borderId="166" xfId="0" applyFont="1" applyFill="1" applyBorder="1" applyAlignment="1">
      <alignment horizontal="center" vertical="center"/>
    </xf>
    <xf numFmtId="0" fontId="257" fillId="0" borderId="130" xfId="0" applyFont="1" applyFill="1" applyBorder="1" applyAlignment="1" applyProtection="1">
      <alignment horizontal="left" vertical="center"/>
      <protection locked="0" hidden="1"/>
    </xf>
    <xf numFmtId="0" fontId="261" fillId="0" borderId="169" xfId="0" applyFont="1" applyFill="1" applyBorder="1" applyAlignment="1" applyProtection="1">
      <alignment horizontal="center" vertical="center"/>
      <protection locked="0" hidden="1"/>
    </xf>
    <xf numFmtId="0" fontId="261" fillId="0" borderId="260" xfId="0" applyFont="1" applyFill="1" applyBorder="1" applyAlignment="1" applyProtection="1">
      <alignment horizontal="center" vertical="center"/>
      <protection locked="0" hidden="1"/>
    </xf>
    <xf numFmtId="0" fontId="257" fillId="0" borderId="130" xfId="0" applyFont="1" applyFill="1" applyBorder="1" applyAlignment="1" applyProtection="1">
      <alignment horizontal="center"/>
      <protection locked="0" hidden="1"/>
    </xf>
    <xf numFmtId="0" fontId="257" fillId="0" borderId="255" xfId="0" applyFont="1" applyFill="1" applyBorder="1" applyAlignment="1" applyProtection="1">
      <alignment horizontal="center"/>
      <protection locked="0" hidden="1"/>
    </xf>
    <xf numFmtId="0" fontId="262" fillId="21" borderId="263" xfId="0" applyFont="1" applyFill="1" applyBorder="1" applyAlignment="1">
      <alignment horizontal="center" vertical="center"/>
    </xf>
    <xf numFmtId="0" fontId="262" fillId="21" borderId="264" xfId="0" applyFont="1" applyFill="1" applyBorder="1" applyAlignment="1">
      <alignment horizontal="center" vertical="center"/>
    </xf>
    <xf numFmtId="1" fontId="35" fillId="0" borderId="168" xfId="0" applyNumberFormat="1" applyFont="1" applyFill="1" applyBorder="1" applyAlignment="1" applyProtection="1">
      <alignment horizontal="right" vertical="center" wrapText="1"/>
      <protection locked="0" hidden="1"/>
    </xf>
    <xf numFmtId="1" fontId="35" fillId="0" borderId="169" xfId="0" applyNumberFormat="1" applyFont="1" applyFill="1" applyBorder="1" applyAlignment="1" applyProtection="1">
      <alignment horizontal="right" vertical="center" wrapText="1"/>
      <protection locked="0" hidden="1"/>
    </xf>
    <xf numFmtId="1" fontId="35" fillId="0" borderId="170" xfId="0" applyNumberFormat="1" applyFont="1" applyFill="1" applyBorder="1" applyAlignment="1" applyProtection="1">
      <alignment horizontal="right" vertical="center" wrapText="1"/>
      <protection locked="0" hidden="1"/>
    </xf>
    <xf numFmtId="0" fontId="35" fillId="0" borderId="163" xfId="0" applyFont="1" applyFill="1" applyBorder="1" applyAlignment="1" applyProtection="1">
      <alignment horizontal="left" vertical="center" wrapText="1"/>
      <protection locked="0" hidden="1"/>
    </xf>
    <xf numFmtId="0" fontId="35" fillId="0" borderId="0" xfId="0" applyFont="1" applyFill="1" applyBorder="1" applyAlignment="1" applyProtection="1">
      <alignment horizontal="left" vertical="center" wrapText="1"/>
      <protection locked="0" hidden="1"/>
    </xf>
    <xf numFmtId="0" fontId="35" fillId="0" borderId="262" xfId="0" applyFont="1" applyFill="1" applyBorder="1" applyAlignment="1" applyProtection="1">
      <alignment horizontal="center" vertical="center" wrapText="1"/>
      <protection locked="0" hidden="1"/>
    </xf>
    <xf numFmtId="0" fontId="35" fillId="0" borderId="112" xfId="0" applyFont="1" applyFill="1" applyBorder="1" applyAlignment="1" applyProtection="1">
      <alignment horizontal="center" vertical="center" wrapText="1"/>
      <protection locked="0" hidden="1"/>
    </xf>
    <xf numFmtId="0" fontId="35" fillId="0" borderId="252" xfId="0" applyFont="1" applyFill="1" applyBorder="1" applyAlignment="1" applyProtection="1">
      <alignment horizontal="center" vertical="center" wrapText="1"/>
      <protection locked="0" hidden="1"/>
    </xf>
    <xf numFmtId="0" fontId="257" fillId="0" borderId="0" xfId="0" applyFont="1" applyFill="1" applyBorder="1" applyAlignment="1" applyProtection="1">
      <alignment horizontal="left" vertical="top" wrapText="1"/>
      <protection locked="0" hidden="1"/>
    </xf>
    <xf numFmtId="0" fontId="142" fillId="0" borderId="0" xfId="0" applyFont="1" applyFill="1" applyBorder="1" applyAlignment="1" applyProtection="1">
      <alignment horizontal="left" wrapText="1"/>
      <protection locked="0" hidden="1"/>
    </xf>
    <xf numFmtId="3" fontId="165" fillId="0" borderId="285" xfId="0" applyNumberFormat="1" applyFont="1" applyFill="1" applyBorder="1" applyAlignment="1" applyProtection="1">
      <alignment horizontal="right" vertical="center" wrapText="1"/>
      <protection locked="0" hidden="1"/>
    </xf>
    <xf numFmtId="0" fontId="8" fillId="0" borderId="0" xfId="0" applyFont="1" applyFill="1" applyBorder="1" applyAlignment="1" applyProtection="1">
      <alignment horizontal="left" vertical="top" wrapText="1"/>
      <protection locked="0" hidden="1"/>
    </xf>
    <xf numFmtId="0" fontId="17" fillId="0" borderId="115" xfId="0" applyFont="1" applyFill="1" applyBorder="1" applyAlignment="1" applyProtection="1">
      <alignment horizontal="center" vertical="center" wrapText="1"/>
      <protection locked="0" hidden="1"/>
    </xf>
    <xf numFmtId="0" fontId="17" fillId="0" borderId="254" xfId="0" applyFont="1" applyFill="1" applyBorder="1" applyAlignment="1" applyProtection="1">
      <alignment horizontal="center" vertical="center" wrapText="1"/>
      <protection locked="0" hidden="1"/>
    </xf>
    <xf numFmtId="0" fontId="262" fillId="21" borderId="0" xfId="0" applyFont="1" applyFill="1" applyBorder="1" applyAlignment="1">
      <alignment horizontal="center" vertical="center"/>
    </xf>
    <xf numFmtId="0" fontId="262" fillId="21" borderId="166" xfId="0" applyFont="1" applyFill="1" applyBorder="1" applyAlignment="1">
      <alignment horizontal="center" vertical="center"/>
    </xf>
    <xf numFmtId="0" fontId="1" fillId="18" borderId="0" xfId="0" applyFont="1" applyFill="1" applyBorder="1" applyAlignment="1">
      <alignment horizontal="center" vertical="center" wrapText="1"/>
    </xf>
    <xf numFmtId="0" fontId="35" fillId="0" borderId="115" xfId="0" applyFont="1" applyFill="1" applyBorder="1" applyAlignment="1" applyProtection="1">
      <alignment horizontal="center" vertical="top" wrapText="1"/>
      <protection locked="0" hidden="1"/>
    </xf>
    <xf numFmtId="0" fontId="257" fillId="0" borderId="285" xfId="0" applyFont="1" applyFill="1" applyBorder="1" applyAlignment="1" applyProtection="1">
      <alignment horizontal="left" vertical="center" wrapText="1"/>
      <protection locked="0" hidden="1"/>
    </xf>
    <xf numFmtId="0" fontId="35" fillId="0" borderId="170" xfId="0" applyFont="1" applyFill="1" applyBorder="1" applyAlignment="1" applyProtection="1">
      <alignment horizontal="center" vertical="top" wrapText="1"/>
      <protection locked="0" hidden="1"/>
    </xf>
    <xf numFmtId="0" fontId="35" fillId="0" borderId="168" xfId="0" applyFont="1" applyFill="1" applyBorder="1" applyAlignment="1" applyProtection="1">
      <alignment horizontal="center" vertical="top" wrapText="1"/>
      <protection locked="0" hidden="1"/>
    </xf>
    <xf numFmtId="41" fontId="257" fillId="0" borderId="266" xfId="4" applyNumberFormat="1" applyFont="1" applyBorder="1" applyAlignment="1" applyProtection="1">
      <alignment horizontal="center" vertical="center"/>
      <protection locked="0" hidden="1"/>
    </xf>
    <xf numFmtId="41" fontId="257" fillId="0" borderId="115" xfId="4" applyNumberFormat="1" applyFont="1" applyBorder="1" applyAlignment="1" applyProtection="1">
      <alignment horizontal="center" vertical="center"/>
      <protection locked="0" hidden="1"/>
    </xf>
    <xf numFmtId="0" fontId="262" fillId="21" borderId="163" xfId="0" applyFont="1" applyFill="1" applyBorder="1" applyAlignment="1">
      <alignment horizontal="center" vertical="center"/>
    </xf>
    <xf numFmtId="0" fontId="262" fillId="21" borderId="165" xfId="0" applyFont="1" applyFill="1" applyBorder="1" applyAlignment="1">
      <alignment horizontal="center" vertical="center"/>
    </xf>
    <xf numFmtId="0" fontId="35" fillId="0" borderId="259" xfId="0" applyFont="1" applyFill="1" applyBorder="1" applyAlignment="1" applyProtection="1">
      <alignment horizontal="center" vertical="center" wrapText="1"/>
      <protection locked="0" hidden="1"/>
    </xf>
    <xf numFmtId="0" fontId="35" fillId="0" borderId="169" xfId="0" applyFont="1" applyFill="1" applyBorder="1" applyAlignment="1" applyProtection="1">
      <alignment horizontal="center" vertical="center" wrapText="1"/>
      <protection locked="0" hidden="1"/>
    </xf>
    <xf numFmtId="0" fontId="35" fillId="0" borderId="170" xfId="0" applyFont="1" applyFill="1" applyBorder="1" applyAlignment="1" applyProtection="1">
      <alignment horizontal="center" vertical="center" wrapText="1"/>
      <protection locked="0" hidden="1"/>
    </xf>
    <xf numFmtId="0" fontId="280" fillId="0" borderId="261" xfId="0" applyFont="1" applyFill="1" applyBorder="1" applyAlignment="1" applyProtection="1">
      <alignment horizontal="center" vertical="center" wrapText="1"/>
      <protection locked="0" hidden="1"/>
    </xf>
    <xf numFmtId="0" fontId="280" fillId="0" borderId="130" xfId="0" applyFont="1" applyFill="1" applyBorder="1" applyAlignment="1" applyProtection="1">
      <alignment horizontal="center" vertical="center" wrapText="1"/>
      <protection locked="0" hidden="1"/>
    </xf>
    <xf numFmtId="0" fontId="280" fillId="0" borderId="255" xfId="0" applyFont="1" applyFill="1" applyBorder="1" applyAlignment="1" applyProtection="1">
      <alignment horizontal="center" vertical="center" wrapText="1"/>
      <protection locked="0" hidden="1"/>
    </xf>
    <xf numFmtId="176" fontId="35" fillId="0" borderId="0" xfId="0" applyNumberFormat="1" applyFont="1" applyFill="1" applyBorder="1" applyAlignment="1" applyProtection="1">
      <alignment horizontal="left" vertical="center"/>
      <protection locked="0" hidden="1"/>
    </xf>
    <xf numFmtId="3" fontId="142" fillId="0" borderId="0" xfId="0" applyNumberFormat="1" applyFont="1" applyFill="1" applyBorder="1" applyAlignment="1" applyProtection="1">
      <alignment horizontal="left" vertical="center" wrapText="1"/>
      <protection locked="0" hidden="1"/>
    </xf>
    <xf numFmtId="0" fontId="142" fillId="0" borderId="0" xfId="0" applyFont="1" applyFill="1" applyBorder="1" applyAlignment="1" applyProtection="1">
      <alignment horizontal="left" vertical="center" wrapText="1"/>
      <protection locked="0" hidden="1"/>
    </xf>
    <xf numFmtId="0" fontId="257" fillId="0" borderId="130" xfId="0" applyFont="1" applyFill="1" applyBorder="1" applyAlignment="1" applyProtection="1">
      <alignment horizontal="left" vertical="center" wrapText="1"/>
      <protection locked="0" hidden="1"/>
    </xf>
    <xf numFmtId="1" fontId="35" fillId="0" borderId="115" xfId="0" applyNumberFormat="1" applyFont="1" applyFill="1" applyBorder="1" applyAlignment="1" applyProtection="1">
      <alignment horizontal="right" vertical="center" wrapText="1"/>
      <protection locked="0" hidden="1"/>
    </xf>
    <xf numFmtId="176" fontId="154" fillId="0" borderId="0" xfId="0" applyNumberFormat="1" applyFont="1" applyFill="1" applyBorder="1" applyAlignment="1" applyProtection="1">
      <alignment horizontal="center" vertical="center"/>
      <protection locked="0" hidden="1"/>
    </xf>
    <xf numFmtId="1" fontId="35" fillId="0" borderId="260" xfId="0" applyNumberFormat="1" applyFont="1" applyFill="1" applyBorder="1" applyAlignment="1" applyProtection="1">
      <alignment horizontal="right" vertical="center" wrapText="1"/>
      <protection locked="0" hidden="1"/>
    </xf>
    <xf numFmtId="0" fontId="257" fillId="70" borderId="266" xfId="0" applyFont="1" applyFill="1" applyBorder="1" applyAlignment="1" applyProtection="1">
      <alignment horizontal="left" vertical="center"/>
      <protection locked="0" hidden="1"/>
    </xf>
    <xf numFmtId="0" fontId="257" fillId="70" borderId="115" xfId="0" applyFont="1" applyFill="1" applyBorder="1" applyAlignment="1" applyProtection="1">
      <alignment horizontal="left" vertical="center"/>
      <protection locked="0" hidden="1"/>
    </xf>
    <xf numFmtId="0" fontId="271" fillId="0" borderId="164" xfId="0" applyFont="1" applyBorder="1" applyAlignment="1">
      <alignment horizontal="center" vertical="center"/>
    </xf>
    <xf numFmtId="0" fontId="271" fillId="0" borderId="167" xfId="0" applyFont="1" applyBorder="1" applyAlignment="1">
      <alignment horizontal="center" vertical="center"/>
    </xf>
    <xf numFmtId="0" fontId="1" fillId="0" borderId="163" xfId="0" applyFont="1" applyFill="1" applyBorder="1" applyAlignment="1" applyProtection="1">
      <alignment horizontal="center" vertical="top"/>
      <protection locked="0" hidden="1"/>
    </xf>
    <xf numFmtId="0" fontId="1" fillId="0" borderId="0" xfId="0" applyFont="1" applyFill="1" applyBorder="1" applyAlignment="1" applyProtection="1">
      <alignment horizontal="center" vertical="top"/>
      <protection locked="0" hidden="1"/>
    </xf>
    <xf numFmtId="0" fontId="1" fillId="0" borderId="164" xfId="0" applyFont="1" applyFill="1" applyBorder="1" applyAlignment="1" applyProtection="1">
      <alignment horizontal="center" vertical="top"/>
      <protection locked="0" hidden="1"/>
    </xf>
    <xf numFmtId="41" fontId="262" fillId="27" borderId="263" xfId="4" applyNumberFormat="1" applyFont="1" applyFill="1" applyBorder="1" applyAlignment="1" applyProtection="1">
      <alignment horizontal="center" vertical="center"/>
    </xf>
    <xf numFmtId="41" fontId="262" fillId="27" borderId="264" xfId="4" applyNumberFormat="1" applyFont="1" applyFill="1" applyBorder="1" applyAlignment="1" applyProtection="1">
      <alignment horizontal="center" vertical="center"/>
    </xf>
    <xf numFmtId="0" fontId="262" fillId="27" borderId="263" xfId="0" applyFont="1" applyFill="1" applyBorder="1" applyAlignment="1" applyProtection="1">
      <alignment horizontal="center" vertical="center" wrapText="1"/>
      <protection hidden="1"/>
    </xf>
    <xf numFmtId="0" fontId="262" fillId="27" borderId="264" xfId="0" applyFont="1" applyFill="1" applyBorder="1" applyAlignment="1" applyProtection="1">
      <alignment horizontal="center" vertical="center" wrapText="1"/>
      <protection hidden="1"/>
    </xf>
    <xf numFmtId="0" fontId="136" fillId="21" borderId="287" xfId="0" applyFont="1" applyFill="1" applyBorder="1" applyAlignment="1">
      <alignment horizontal="left" vertical="center"/>
    </xf>
    <xf numFmtId="0" fontId="136" fillId="21" borderId="283" xfId="0" applyFont="1" applyFill="1" applyBorder="1" applyAlignment="1">
      <alignment horizontal="left" vertical="center"/>
    </xf>
    <xf numFmtId="0" fontId="136" fillId="21" borderId="288" xfId="0" applyFont="1" applyFill="1" applyBorder="1" applyAlignment="1">
      <alignment horizontal="left" vertical="center"/>
    </xf>
    <xf numFmtId="0" fontId="17" fillId="0" borderId="253" xfId="0" applyFont="1" applyFill="1" applyBorder="1" applyAlignment="1" applyProtection="1">
      <alignment horizontal="center" vertical="center" wrapText="1"/>
      <protection locked="0" hidden="1"/>
    </xf>
    <xf numFmtId="0" fontId="35" fillId="0" borderId="168" xfId="0" applyFont="1" applyFill="1" applyBorder="1" applyAlignment="1" applyProtection="1">
      <alignment horizontal="right" vertical="center" wrapText="1"/>
      <protection locked="0" hidden="1"/>
    </xf>
    <xf numFmtId="0" fontId="35" fillId="0" borderId="169" xfId="0" applyFont="1" applyFill="1" applyBorder="1" applyAlignment="1" applyProtection="1">
      <alignment horizontal="right" vertical="center" wrapText="1"/>
      <protection locked="0" hidden="1"/>
    </xf>
    <xf numFmtId="0" fontId="35" fillId="0" borderId="170" xfId="0" applyFont="1" applyFill="1" applyBorder="1" applyAlignment="1" applyProtection="1">
      <alignment horizontal="right" vertical="center" wrapText="1"/>
      <protection locked="0" hidden="1"/>
    </xf>
    <xf numFmtId="0" fontId="262" fillId="18" borderId="0" xfId="0" applyFont="1" applyFill="1" applyBorder="1" applyAlignment="1">
      <alignment horizontal="center" vertical="center"/>
    </xf>
    <xf numFmtId="0" fontId="42" fillId="21" borderId="287" xfId="0" applyFont="1" applyFill="1" applyBorder="1" applyAlignment="1">
      <alignment horizontal="center" vertical="center"/>
    </xf>
    <xf numFmtId="0" fontId="42" fillId="21" borderId="283" xfId="0" applyFont="1" applyFill="1" applyBorder="1" applyAlignment="1">
      <alignment horizontal="center" vertical="center"/>
    </xf>
    <xf numFmtId="0" fontId="42" fillId="21" borderId="288" xfId="0" applyFont="1" applyFill="1" applyBorder="1" applyAlignment="1">
      <alignment horizontal="center" vertical="center"/>
    </xf>
    <xf numFmtId="0" fontId="1" fillId="0" borderId="263" xfId="0" applyFont="1" applyFill="1" applyBorder="1" applyAlignment="1">
      <alignment horizontal="center"/>
    </xf>
    <xf numFmtId="0" fontId="1" fillId="0" borderId="265" xfId="0" applyFont="1" applyFill="1" applyBorder="1" applyAlignment="1">
      <alignment horizontal="center"/>
    </xf>
    <xf numFmtId="41" fontId="262" fillId="27" borderId="263" xfId="0" applyNumberFormat="1" applyFont="1" applyFill="1" applyBorder="1" applyAlignment="1">
      <alignment horizontal="center" vertical="center"/>
    </xf>
    <xf numFmtId="41" fontId="262" fillId="27" borderId="264" xfId="0" applyNumberFormat="1" applyFont="1" applyFill="1" applyBorder="1" applyAlignment="1">
      <alignment horizontal="center" vertical="center"/>
    </xf>
    <xf numFmtId="0" fontId="35" fillId="0" borderId="254" xfId="0" applyFont="1" applyFill="1" applyBorder="1" applyAlignment="1" applyProtection="1">
      <alignment horizontal="center" vertical="top" wrapText="1"/>
      <protection locked="0" hidden="1"/>
    </xf>
    <xf numFmtId="0" fontId="271" fillId="0" borderId="164" xfId="0" applyFont="1" applyBorder="1" applyAlignment="1">
      <alignment horizontal="right" vertical="center"/>
    </xf>
    <xf numFmtId="0" fontId="271" fillId="0" borderId="281" xfId="0" applyFont="1" applyBorder="1" applyAlignment="1">
      <alignment horizontal="right" vertical="center"/>
    </xf>
    <xf numFmtId="0" fontId="35" fillId="0" borderId="259" xfId="0" applyFont="1" applyFill="1" applyBorder="1" applyAlignment="1" applyProtection="1">
      <alignment horizontal="center" vertical="center"/>
      <protection locked="0" hidden="1"/>
    </xf>
    <xf numFmtId="0" fontId="35" fillId="0" borderId="260" xfId="0" applyFont="1" applyFill="1" applyBorder="1" applyAlignment="1" applyProtection="1">
      <alignment horizontal="right" vertical="center" wrapText="1"/>
      <protection locked="0" hidden="1"/>
    </xf>
    <xf numFmtId="0" fontId="136" fillId="74" borderId="161" xfId="0" applyFont="1" applyFill="1" applyBorder="1" applyAlignment="1" applyProtection="1">
      <alignment horizontal="center" vertical="center"/>
      <protection locked="0" hidden="1"/>
    </xf>
    <xf numFmtId="0" fontId="136" fillId="74" borderId="0" xfId="0" applyFont="1" applyFill="1" applyBorder="1" applyAlignment="1" applyProtection="1">
      <alignment horizontal="center" vertical="center"/>
      <protection locked="0" hidden="1"/>
    </xf>
    <xf numFmtId="0" fontId="268" fillId="72" borderId="261" xfId="0" applyFont="1" applyFill="1" applyBorder="1" applyAlignment="1" applyProtection="1">
      <alignment horizontal="center" vertical="center"/>
      <protection locked="0" hidden="1"/>
    </xf>
    <xf numFmtId="0" fontId="268" fillId="72" borderId="135" xfId="0" applyFont="1" applyFill="1" applyBorder="1" applyAlignment="1" applyProtection="1">
      <alignment horizontal="center" vertical="center"/>
      <protection locked="0" hidden="1"/>
    </xf>
    <xf numFmtId="0" fontId="268" fillId="72" borderId="165" xfId="0" applyFont="1" applyFill="1" applyBorder="1" applyAlignment="1" applyProtection="1">
      <alignment horizontal="center" vertical="center"/>
      <protection locked="0" hidden="1"/>
    </xf>
    <xf numFmtId="0" fontId="268" fillId="72" borderId="282" xfId="0" applyFont="1" applyFill="1" applyBorder="1" applyAlignment="1" applyProtection="1">
      <alignment horizontal="center" vertical="center"/>
      <protection locked="0" hidden="1"/>
    </xf>
    <xf numFmtId="0" fontId="154" fillId="0" borderId="163" xfId="0" applyFont="1" applyFill="1" applyBorder="1" applyAlignment="1" applyProtection="1">
      <alignment horizontal="center" vertical="center" wrapText="1"/>
      <protection locked="0" hidden="1"/>
    </xf>
    <xf numFmtId="0" fontId="154" fillId="0" borderId="0" xfId="0" applyFont="1" applyFill="1" applyBorder="1" applyAlignment="1" applyProtection="1">
      <alignment horizontal="center" vertical="center" wrapText="1"/>
      <protection locked="0" hidden="1"/>
    </xf>
    <xf numFmtId="0" fontId="154" fillId="0" borderId="164" xfId="0" applyFont="1" applyFill="1" applyBorder="1" applyAlignment="1" applyProtection="1">
      <alignment horizontal="center" vertical="center" wrapText="1"/>
      <protection locked="0" hidden="1"/>
    </xf>
    <xf numFmtId="0" fontId="263" fillId="0" borderId="163" xfId="0" applyFont="1" applyFill="1" applyBorder="1" applyAlignment="1" applyProtection="1">
      <alignment horizontal="center" vertical="top"/>
      <protection locked="0" hidden="1"/>
    </xf>
    <xf numFmtId="0" fontId="263" fillId="0" borderId="0" xfId="0" applyFont="1" applyFill="1" applyBorder="1" applyAlignment="1" applyProtection="1">
      <alignment horizontal="center" vertical="top"/>
      <protection locked="0" hidden="1"/>
    </xf>
    <xf numFmtId="0" fontId="263" fillId="0" borderId="164" xfId="0" applyFont="1" applyFill="1" applyBorder="1" applyAlignment="1" applyProtection="1">
      <alignment horizontal="center" vertical="top"/>
      <protection locked="0" hidden="1"/>
    </xf>
    <xf numFmtId="174" fontId="165" fillId="0" borderId="285" xfId="0" applyNumberFormat="1" applyFont="1" applyFill="1" applyBorder="1" applyAlignment="1" applyProtection="1">
      <alignment horizontal="right" vertical="center" wrapText="1"/>
      <protection locked="0" hidden="1"/>
    </xf>
    <xf numFmtId="3" fontId="165" fillId="0" borderId="130" xfId="0" applyNumberFormat="1" applyFont="1" applyFill="1" applyBorder="1" applyAlignment="1" applyProtection="1">
      <alignment horizontal="right" vertical="center" wrapText="1"/>
      <protection locked="0" hidden="1"/>
    </xf>
    <xf numFmtId="0" fontId="35" fillId="0" borderId="253" xfId="0" applyFont="1" applyFill="1" applyBorder="1" applyAlignment="1" applyProtection="1">
      <alignment horizontal="center" vertical="top" wrapText="1"/>
      <protection locked="0" hidden="1"/>
    </xf>
    <xf numFmtId="0" fontId="257" fillId="70" borderId="258" xfId="0" applyFont="1" applyFill="1" applyBorder="1" applyAlignment="1" applyProtection="1">
      <alignment horizontal="left" vertical="center" wrapText="1"/>
      <protection locked="0" hidden="1"/>
    </xf>
    <xf numFmtId="0" fontId="257" fillId="70" borderId="253" xfId="0" applyFont="1" applyFill="1" applyBorder="1" applyAlignment="1" applyProtection="1">
      <alignment horizontal="left" vertical="center" wrapText="1"/>
      <protection locked="0" hidden="1"/>
    </xf>
    <xf numFmtId="41" fontId="257" fillId="0" borderId="267" xfId="4" applyNumberFormat="1" applyFont="1" applyBorder="1" applyAlignment="1" applyProtection="1">
      <alignment horizontal="center" vertical="center"/>
    </xf>
    <xf numFmtId="41" fontId="257" fillId="0" borderId="276" xfId="4" applyNumberFormat="1" applyFont="1" applyBorder="1" applyAlignment="1" applyProtection="1">
      <alignment horizontal="center" vertical="center"/>
    </xf>
    <xf numFmtId="0" fontId="142" fillId="0" borderId="0" xfId="0" applyFont="1" applyFill="1" applyBorder="1" applyAlignment="1" applyProtection="1">
      <alignment horizontal="center" vertical="center" wrapText="1"/>
      <protection locked="0" hidden="1"/>
    </xf>
    <xf numFmtId="0" fontId="275" fillId="0" borderId="163" xfId="0" applyFont="1" applyFill="1" applyBorder="1" applyAlignment="1" applyProtection="1">
      <alignment horizontal="center" vertical="top" wrapText="1"/>
      <protection locked="0" hidden="1"/>
    </xf>
    <xf numFmtId="0" fontId="275" fillId="0" borderId="0" xfId="0" applyFont="1" applyFill="1" applyBorder="1" applyAlignment="1" applyProtection="1">
      <alignment horizontal="center" vertical="top" wrapText="1"/>
      <protection locked="0" hidden="1"/>
    </xf>
    <xf numFmtId="0" fontId="275" fillId="0" borderId="164" xfId="0" applyFont="1" applyFill="1" applyBorder="1" applyAlignment="1" applyProtection="1">
      <alignment horizontal="center" vertical="top" wrapText="1"/>
      <protection locked="0" hidden="1"/>
    </xf>
    <xf numFmtId="0" fontId="1" fillId="18" borderId="0" xfId="0" applyFont="1" applyFill="1" applyAlignment="1">
      <alignment horizontal="center" wrapText="1"/>
    </xf>
    <xf numFmtId="3" fontId="16" fillId="0" borderId="104" xfId="0" applyNumberFormat="1" applyFont="1" applyFill="1" applyBorder="1" applyAlignment="1" applyProtection="1">
      <alignment horizontal="center" vertical="center"/>
      <protection locked="0" hidden="1"/>
    </xf>
    <xf numFmtId="3" fontId="16" fillId="0" borderId="280" xfId="0" applyNumberFormat="1" applyFont="1" applyFill="1" applyBorder="1" applyAlignment="1" applyProtection="1">
      <alignment horizontal="center" vertical="center"/>
      <protection locked="0" hidden="1"/>
    </xf>
    <xf numFmtId="3" fontId="16" fillId="0" borderId="81" xfId="0" applyNumberFormat="1" applyFont="1" applyFill="1" applyBorder="1" applyAlignment="1" applyProtection="1">
      <alignment horizontal="center" vertical="center"/>
      <protection locked="0" hidden="1"/>
    </xf>
    <xf numFmtId="3" fontId="16" fillId="0" borderId="83" xfId="0" applyNumberFormat="1" applyFont="1" applyFill="1" applyBorder="1" applyAlignment="1" applyProtection="1">
      <alignment horizontal="center" vertical="center"/>
      <protection locked="0" hidden="1"/>
    </xf>
    <xf numFmtId="3" fontId="273" fillId="74" borderId="161" xfId="0" applyNumberFormat="1" applyFont="1" applyFill="1" applyBorder="1" applyAlignment="1" applyProtection="1">
      <alignment horizontal="center" vertical="center"/>
      <protection locked="0" hidden="1"/>
    </xf>
    <xf numFmtId="3" fontId="273" fillId="74" borderId="0" xfId="0" applyNumberFormat="1" applyFont="1" applyFill="1" applyBorder="1" applyAlignment="1" applyProtection="1">
      <alignment horizontal="center" vertical="center"/>
      <protection locked="0" hidden="1"/>
    </xf>
    <xf numFmtId="3" fontId="268" fillId="73" borderId="281" xfId="0" applyNumberFormat="1" applyFont="1" applyFill="1" applyBorder="1" applyAlignment="1" applyProtection="1">
      <alignment horizontal="center" vertical="center"/>
      <protection locked="0" hidden="1"/>
    </xf>
    <xf numFmtId="0" fontId="268" fillId="73" borderId="281" xfId="0" applyFont="1" applyFill="1" applyBorder="1" applyAlignment="1" applyProtection="1">
      <alignment horizontal="center" vertical="center"/>
      <protection locked="0" hidden="1"/>
    </xf>
    <xf numFmtId="0" fontId="257" fillId="0" borderId="0" xfId="0" applyFont="1" applyFill="1" applyBorder="1" applyAlignment="1" applyProtection="1">
      <alignment vertical="top" wrapText="1"/>
      <protection locked="0" hidden="1"/>
    </xf>
    <xf numFmtId="0" fontId="19" fillId="0" borderId="0" xfId="0" applyFont="1" applyFill="1" applyBorder="1" applyAlignment="1" applyProtection="1">
      <alignment horizontal="center" vertical="top" wrapText="1"/>
      <protection locked="0" hidden="1"/>
    </xf>
    <xf numFmtId="0" fontId="35" fillId="0" borderId="163" xfId="0" applyFont="1" applyFill="1" applyBorder="1" applyAlignment="1" applyProtection="1">
      <alignment horizontal="left" vertical="top" wrapText="1"/>
      <protection locked="0" hidden="1"/>
    </xf>
    <xf numFmtId="0" fontId="35" fillId="0" borderId="0" xfId="0" applyFont="1" applyFill="1" applyBorder="1" applyAlignment="1" applyProtection="1">
      <alignment horizontal="left" vertical="top" wrapText="1"/>
      <protection locked="0" hidden="1"/>
    </xf>
    <xf numFmtId="0" fontId="270" fillId="71" borderId="261" xfId="0" applyFont="1" applyFill="1" applyBorder="1" applyAlignment="1" applyProtection="1">
      <alignment horizontal="center" vertical="center"/>
      <protection hidden="1"/>
    </xf>
    <xf numFmtId="0" fontId="270" fillId="71" borderId="262" xfId="0" applyFont="1" applyFill="1" applyBorder="1" applyAlignment="1" applyProtection="1">
      <alignment horizontal="center" vertical="center"/>
      <protection hidden="1"/>
    </xf>
    <xf numFmtId="0" fontId="268" fillId="18" borderId="0" xfId="0" applyFont="1" applyFill="1" applyBorder="1" applyAlignment="1" applyProtection="1">
      <alignment horizontal="center" vertical="center"/>
      <protection locked="0" hidden="1"/>
    </xf>
    <xf numFmtId="0" fontId="257" fillId="70" borderId="267" xfId="0" applyFont="1" applyFill="1" applyBorder="1" applyAlignment="1" applyProtection="1">
      <alignment horizontal="left" vertical="center" wrapText="1"/>
      <protection hidden="1"/>
    </xf>
    <xf numFmtId="0" fontId="257" fillId="70" borderId="276" xfId="0" applyFont="1" applyFill="1" applyBorder="1" applyAlignment="1" applyProtection="1">
      <alignment horizontal="left" vertical="center" wrapText="1"/>
      <protection hidden="1"/>
    </xf>
    <xf numFmtId="0" fontId="257" fillId="70" borderId="256" xfId="0" applyFont="1" applyFill="1" applyBorder="1" applyAlignment="1" applyProtection="1">
      <alignment horizontal="left" vertical="center" wrapText="1"/>
      <protection hidden="1"/>
    </xf>
    <xf numFmtId="0" fontId="257" fillId="70" borderId="257" xfId="0" applyFont="1" applyFill="1" applyBorder="1" applyAlignment="1" applyProtection="1">
      <alignment horizontal="left" vertical="center" wrapText="1"/>
      <protection hidden="1"/>
    </xf>
    <xf numFmtId="176" fontId="35" fillId="0" borderId="0" xfId="0" applyNumberFormat="1" applyFont="1" applyFill="1" applyBorder="1" applyAlignment="1" applyProtection="1">
      <alignment horizontal="left" vertical="center" wrapText="1"/>
      <protection locked="0" hidden="1"/>
    </xf>
    <xf numFmtId="0" fontId="35" fillId="0" borderId="0" xfId="0" applyFont="1" applyFill="1" applyBorder="1" applyAlignment="1" applyProtection="1">
      <alignment horizontal="right" vertical="top" wrapText="1"/>
      <protection locked="0" hidden="1"/>
    </xf>
    <xf numFmtId="0" fontId="6" fillId="0" borderId="160" xfId="0" applyFont="1" applyFill="1" applyBorder="1" applyAlignment="1" applyProtection="1">
      <alignment horizontal="center" vertical="center" wrapText="1"/>
      <protection locked="0" hidden="1"/>
    </xf>
    <xf numFmtId="0" fontId="6" fillId="0" borderId="161" xfId="0" applyFont="1" applyFill="1" applyBorder="1" applyAlignment="1" applyProtection="1">
      <alignment horizontal="center" vertical="center" wrapText="1"/>
      <protection locked="0" hidden="1"/>
    </xf>
    <xf numFmtId="0" fontId="6" fillId="0" borderId="162" xfId="0" applyFont="1" applyFill="1" applyBorder="1" applyAlignment="1" applyProtection="1">
      <alignment horizontal="center" vertical="center" wrapText="1"/>
      <protection locked="0" hidden="1"/>
    </xf>
    <xf numFmtId="0" fontId="35" fillId="0" borderId="0" xfId="0" applyFont="1" applyFill="1" applyBorder="1" applyAlignment="1" applyProtection="1">
      <alignment horizontal="left" vertical="top"/>
      <protection locked="0" hidden="1"/>
    </xf>
    <xf numFmtId="0" fontId="8" fillId="0" borderId="163" xfId="0" applyFont="1" applyFill="1" applyBorder="1" applyAlignment="1" applyProtection="1">
      <alignment horizontal="center" vertical="center" wrapText="1"/>
      <protection locked="0" hidden="1"/>
    </xf>
    <xf numFmtId="0" fontId="8" fillId="0" borderId="0" xfId="0" applyFont="1" applyFill="1" applyBorder="1" applyAlignment="1" applyProtection="1">
      <alignment horizontal="center" vertical="center" wrapText="1"/>
      <protection locked="0" hidden="1"/>
    </xf>
    <xf numFmtId="0" fontId="8" fillId="0" borderId="164" xfId="0" applyFont="1" applyFill="1" applyBorder="1" applyAlignment="1" applyProtection="1">
      <alignment horizontal="center" vertical="center" wrapText="1"/>
      <protection locked="0" hidden="1"/>
    </xf>
    <xf numFmtId="0" fontId="246" fillId="0" borderId="0" xfId="0" applyFont="1" applyFill="1" applyBorder="1" applyAlignment="1" applyProtection="1">
      <alignment horizontal="left" vertical="center"/>
      <protection locked="0" hidden="1"/>
    </xf>
    <xf numFmtId="0" fontId="281" fillId="75" borderId="0" xfId="0" applyFont="1" applyFill="1" applyBorder="1" applyAlignment="1">
      <alignment horizontal="left" vertical="center"/>
    </xf>
    <xf numFmtId="0" fontId="117" fillId="75" borderId="0" xfId="0" applyFont="1" applyFill="1" applyBorder="1" applyAlignment="1">
      <alignment horizontal="left" vertical="center"/>
    </xf>
    <xf numFmtId="0" fontId="273" fillId="74" borderId="0" xfId="0" applyFont="1" applyFill="1" applyBorder="1" applyAlignment="1">
      <alignment horizontal="center" vertical="center" wrapText="1"/>
    </xf>
    <xf numFmtId="165" fontId="117" fillId="74" borderId="4" xfId="0" applyNumberFormat="1" applyFont="1" applyFill="1" applyBorder="1" applyAlignment="1">
      <alignment horizontal="center" vertical="center"/>
    </xf>
    <xf numFmtId="0" fontId="47" fillId="75" borderId="0" xfId="0" applyFont="1" applyFill="1" applyBorder="1" applyAlignment="1">
      <alignment horizontal="center" vertical="center" wrapText="1"/>
    </xf>
    <xf numFmtId="0" fontId="117" fillId="74" borderId="4" xfId="0" applyFont="1" applyFill="1" applyBorder="1" applyAlignment="1">
      <alignment horizontal="center" vertical="center"/>
    </xf>
    <xf numFmtId="0" fontId="136" fillId="75" borderId="0" xfId="0" applyFont="1" applyFill="1" applyBorder="1" applyAlignment="1">
      <alignment horizontal="left" vertical="center"/>
    </xf>
    <xf numFmtId="0" fontId="282" fillId="75" borderId="0" xfId="0" applyFont="1" applyFill="1" applyBorder="1" applyAlignment="1">
      <alignment horizontal="left" vertical="center"/>
    </xf>
    <xf numFmtId="0" fontId="68" fillId="75" borderId="0" xfId="0" applyFont="1" applyFill="1" applyBorder="1" applyAlignment="1">
      <alignment horizontal="left" vertical="center"/>
    </xf>
    <xf numFmtId="0" fontId="136" fillId="75" borderId="158" xfId="0" applyFont="1" applyFill="1" applyBorder="1" applyAlignment="1">
      <alignment horizontal="left" vertical="center"/>
    </xf>
    <xf numFmtId="0" fontId="136" fillId="75" borderId="70" xfId="0" applyFont="1" applyFill="1" applyBorder="1" applyAlignment="1">
      <alignment horizontal="left" vertical="center"/>
    </xf>
    <xf numFmtId="0" fontId="104" fillId="21" borderId="287" xfId="0" applyFont="1" applyFill="1" applyBorder="1" applyAlignment="1">
      <alignment horizontal="center" vertical="center"/>
    </xf>
    <xf numFmtId="0" fontId="104" fillId="21" borderId="283" xfId="0" applyFont="1" applyFill="1" applyBorder="1" applyAlignment="1">
      <alignment horizontal="center" vertical="center"/>
    </xf>
    <xf numFmtId="0" fontId="104" fillId="21" borderId="288" xfId="0" applyFont="1" applyFill="1" applyBorder="1" applyAlignment="1">
      <alignment horizontal="center" vertical="center"/>
    </xf>
    <xf numFmtId="0" fontId="273" fillId="74" borderId="0" xfId="0" applyFont="1" applyFill="1" applyAlignment="1">
      <alignment horizontal="center" vertical="center"/>
    </xf>
    <xf numFmtId="0" fontId="285" fillId="21" borderId="291" xfId="0" applyFont="1" applyFill="1" applyBorder="1" applyAlignment="1">
      <alignment horizontal="center" vertical="center"/>
    </xf>
    <xf numFmtId="178" fontId="68" fillId="74" borderId="309" xfId="0" applyNumberFormat="1" applyFont="1" applyFill="1" applyBorder="1" applyAlignment="1">
      <alignment horizontal="left" vertical="center"/>
    </xf>
    <xf numFmtId="178" fontId="68" fillId="74" borderId="310" xfId="0" applyNumberFormat="1" applyFont="1" applyFill="1" applyBorder="1" applyAlignment="1">
      <alignment horizontal="left" vertical="center"/>
    </xf>
    <xf numFmtId="0" fontId="68" fillId="74" borderId="305" xfId="0" applyFont="1" applyFill="1" applyBorder="1" applyAlignment="1">
      <alignment horizontal="left" vertical="center"/>
    </xf>
    <xf numFmtId="0" fontId="68" fillId="74" borderId="71" xfId="0" applyFont="1" applyFill="1" applyBorder="1" applyAlignment="1">
      <alignment horizontal="left" vertical="center"/>
    </xf>
    <xf numFmtId="165" fontId="117" fillId="76" borderId="163" xfId="0" applyNumberFormat="1" applyFont="1" applyFill="1" applyBorder="1" applyAlignment="1">
      <alignment horizontal="center" vertical="center" wrapText="1"/>
    </xf>
    <xf numFmtId="165" fontId="117" fillId="76" borderId="164" xfId="0" applyNumberFormat="1" applyFont="1" applyFill="1" applyBorder="1" applyAlignment="1">
      <alignment horizontal="center" vertical="center" wrapText="1"/>
    </xf>
    <xf numFmtId="165" fontId="117" fillId="76" borderId="165" xfId="0" applyNumberFormat="1" applyFont="1" applyFill="1" applyBorder="1" applyAlignment="1">
      <alignment horizontal="center" vertical="center" wrapText="1"/>
    </xf>
    <xf numFmtId="165" fontId="117" fillId="76" borderId="167" xfId="0" applyNumberFormat="1" applyFont="1" applyFill="1" applyBorder="1" applyAlignment="1">
      <alignment horizontal="center" vertical="center" wrapText="1"/>
    </xf>
    <xf numFmtId="0" fontId="288" fillId="0" borderId="0" xfId="2" applyFont="1" applyBorder="1" applyAlignment="1" applyProtection="1">
      <alignment horizontal="center" vertical="center"/>
      <protection locked="0" hidden="1"/>
    </xf>
    <xf numFmtId="0" fontId="261" fillId="0" borderId="112" xfId="2" applyFont="1" applyFill="1" applyBorder="1" applyAlignment="1" applyProtection="1">
      <alignment horizontal="left" vertical="center"/>
      <protection locked="0" hidden="1"/>
    </xf>
    <xf numFmtId="0" fontId="16" fillId="0" borderId="0" xfId="2" applyFont="1" applyBorder="1" applyAlignment="1" applyProtection="1">
      <alignment horizontal="left" vertical="center"/>
      <protection locked="0" hidden="1"/>
    </xf>
    <xf numFmtId="0" fontId="165" fillId="0" borderId="0" xfId="2" applyFont="1" applyBorder="1" applyAlignment="1" applyProtection="1">
      <alignment horizontal="left" vertical="top" wrapText="1"/>
      <protection locked="0" hidden="1"/>
    </xf>
    <xf numFmtId="0" fontId="165" fillId="0" borderId="321" xfId="2" applyFont="1" applyBorder="1" applyAlignment="1" applyProtection="1">
      <alignment horizontal="left" vertical="top" wrapText="1"/>
      <protection locked="0" hidden="1"/>
    </xf>
    <xf numFmtId="0" fontId="16" fillId="0" borderId="0" xfId="2" applyFont="1" applyBorder="1" applyAlignment="1" applyProtection="1">
      <alignment horizontal="center" vertical="center"/>
      <protection locked="0" hidden="1"/>
    </xf>
    <xf numFmtId="0" fontId="261" fillId="0" borderId="0" xfId="2" applyFont="1" applyBorder="1" applyAlignment="1" applyProtection="1">
      <alignment horizontal="center" vertical="center"/>
      <protection locked="0" hidden="1"/>
    </xf>
    <xf numFmtId="174" fontId="16" fillId="0" borderId="0" xfId="2" applyNumberFormat="1" applyFont="1" applyBorder="1" applyAlignment="1" applyProtection="1">
      <alignment horizontal="left" vertical="center"/>
      <protection locked="0" hidden="1"/>
    </xf>
    <xf numFmtId="174" fontId="16" fillId="0" borderId="321" xfId="2" applyNumberFormat="1" applyFont="1" applyBorder="1" applyAlignment="1" applyProtection="1">
      <alignment horizontal="left" vertical="center"/>
      <protection locked="0" hidden="1"/>
    </xf>
    <xf numFmtId="0" fontId="142" fillId="0" borderId="0" xfId="2" applyFont="1" applyBorder="1" applyAlignment="1" applyProtection="1">
      <alignment horizontal="left" vertical="center"/>
      <protection locked="0" hidden="1"/>
    </xf>
    <xf numFmtId="0" fontId="142" fillId="0" borderId="321" xfId="2" applyFont="1" applyBorder="1" applyAlignment="1" applyProtection="1">
      <alignment horizontal="left" vertical="center"/>
      <protection locked="0" hidden="1"/>
    </xf>
    <xf numFmtId="0" fontId="165" fillId="0" borderId="0" xfId="2" applyFont="1" applyBorder="1" applyAlignment="1" applyProtection="1">
      <alignment horizontal="left" vertical="center"/>
      <protection locked="0" hidden="1"/>
    </xf>
    <xf numFmtId="0" fontId="165" fillId="0" borderId="321" xfId="2" applyFont="1" applyBorder="1" applyAlignment="1" applyProtection="1">
      <alignment horizontal="left" vertical="center"/>
      <protection locked="0" hidden="1"/>
    </xf>
    <xf numFmtId="0" fontId="292" fillId="0" borderId="267" xfId="2" applyFont="1" applyBorder="1" applyAlignment="1" applyProtection="1">
      <alignment horizontal="center" vertical="center" wrapText="1"/>
    </xf>
    <xf numFmtId="0" fontId="292" fillId="0" borderId="276" xfId="2" applyFont="1" applyBorder="1" applyAlignment="1" applyProtection="1">
      <alignment horizontal="center" vertical="center" wrapText="1"/>
    </xf>
    <xf numFmtId="0" fontId="292" fillId="0" borderId="266" xfId="2" applyFont="1" applyBorder="1" applyAlignment="1" applyProtection="1">
      <alignment horizontal="center" vertical="center" wrapText="1"/>
    </xf>
    <xf numFmtId="0" fontId="291" fillId="0" borderId="0" xfId="2" applyFont="1" applyBorder="1" applyAlignment="1" applyProtection="1">
      <alignment horizontal="center" vertical="center"/>
      <protection locked="0" hidden="1"/>
    </xf>
    <xf numFmtId="0" fontId="261" fillId="0" borderId="169" xfId="2" applyFont="1" applyFill="1" applyBorder="1" applyAlignment="1" applyProtection="1">
      <alignment horizontal="left" vertical="center"/>
      <protection locked="0" hidden="1"/>
    </xf>
    <xf numFmtId="0" fontId="158" fillId="0" borderId="0" xfId="2" applyBorder="1" applyAlignment="1" applyProtection="1">
      <alignment horizontal="center" vertical="center"/>
      <protection locked="0" hidden="1"/>
    </xf>
    <xf numFmtId="0" fontId="167" fillId="0" borderId="0" xfId="2" applyFont="1" applyBorder="1" applyAlignment="1" applyProtection="1">
      <alignment horizontal="left" vertical="center"/>
      <protection locked="0" hidden="1"/>
    </xf>
  </cellXfs>
  <cellStyles count="6">
    <cellStyle name="Bad" xfId="3"/>
    <cellStyle name="Comma" xfId="4" builtinId="3"/>
    <cellStyle name="Excel Built-in Normal" xfId="2"/>
    <cellStyle name="Hyperlink" xfId="1"/>
    <cellStyle name="Normal" xfId="0" builtinId="0"/>
    <cellStyle name="Percent" xfId="5" builtinId="5"/>
  </cellStyles>
  <dxfs count="6">
    <dxf>
      <font>
        <sz val="10"/>
        <color rgb="FF254061"/>
      </font>
      <fill>
        <patternFill>
          <bgColor rgb="FF254061"/>
        </patternFill>
      </fill>
      <border>
        <left/>
        <right/>
        <top/>
        <bottom/>
      </border>
    </dxf>
    <dxf>
      <font>
        <sz val="10"/>
        <color rgb="FF254061"/>
      </font>
      <fill>
        <patternFill>
          <bgColor rgb="FF254061"/>
        </patternFill>
      </fill>
      <border>
        <left/>
        <right/>
        <top/>
        <bottom/>
      </border>
    </dxf>
    <dxf>
      <font>
        <sz val="10"/>
        <color rgb="FFFFFFFF"/>
      </font>
      <fill>
        <patternFill>
          <bgColor rgb="FFFFFFFF"/>
        </patternFill>
      </fill>
      <border>
        <left/>
        <right/>
        <top/>
        <bottom/>
      </border>
    </dxf>
    <dxf>
      <font>
        <sz val="10"/>
        <color rgb="FFFFFFFF"/>
      </font>
      <fill>
        <patternFill>
          <bgColor rgb="FFFFFFFF"/>
        </patternFill>
      </fill>
      <border>
        <left/>
        <right/>
        <top/>
        <bottom/>
      </border>
    </dxf>
    <dxf>
      <font>
        <sz val="10"/>
        <color rgb="FFBFBFBF"/>
      </font>
      <fill>
        <patternFill patternType="solid">
          <bgColor rgb="FFBFBFBF"/>
        </patternFill>
      </fill>
      <border>
        <left style="thin">
          <color rgb="FFBFBFBF"/>
        </left>
        <right style="thin">
          <color rgb="FFBFBFBF"/>
        </right>
        <top style="thin">
          <color rgb="FFBFBFBF"/>
        </top>
        <bottom style="thin">
          <color rgb="FFBFBFBF"/>
        </bottom>
      </border>
    </dxf>
    <dxf>
      <font>
        <sz val="10"/>
        <color rgb="FFBFBFBF"/>
      </font>
      <fill>
        <patternFill>
          <bgColor rgb="FFBFBFBF"/>
        </patternFill>
      </fill>
      <border>
        <left style="thin">
          <color rgb="FFBFBFBF"/>
        </left>
        <right style="thin">
          <color rgb="FFBFBFBF"/>
        </right>
        <top style="thin">
          <color rgb="FFBFBFBF"/>
        </top>
        <bottom style="thin">
          <color rgb="FFBFBFBF"/>
        </bottom>
      </border>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C00000"/>
      <rgbColor rgb="00008000"/>
      <rgbColor rgb="00000080"/>
      <rgbColor rgb="0077933C"/>
      <rgbColor rgb="00800080"/>
      <rgbColor rgb="00008080"/>
      <rgbColor rgb="00CCC1DA"/>
      <rgbColor rgb="00808080"/>
      <rgbColor rgb="00C4BD97"/>
      <rgbColor rgb="00953735"/>
      <rgbColor rgb="00EBF1DE"/>
      <rgbColor rgb="00DBEEF4"/>
      <rgbColor rgb="00660066"/>
      <rgbColor rgb="00D99694"/>
      <rgbColor rgb="000066CC"/>
      <rgbColor rgb="00B7DEE8"/>
      <rgbColor rgb="00000080"/>
      <rgbColor rgb="00FF00FF"/>
      <rgbColor rgb="00FFFF00"/>
      <rgbColor rgb="0000FFFF"/>
      <rgbColor rgb="00800080"/>
      <rgbColor rgb="00800000"/>
      <rgbColor rgb="00008080"/>
      <rgbColor rgb="000000FF"/>
      <rgbColor rgb="0000B0F0"/>
      <rgbColor rgb="00E6E0EC"/>
      <rgbColor rgb="00D7E4BD"/>
      <rgbColor rgb="00FCD5B5"/>
      <rgbColor rgb="008EB4E3"/>
      <rgbColor rgb="00E6B9B8"/>
      <rgbColor rgb="00B3A2C7"/>
      <rgbColor rgb="00FAC090"/>
      <rgbColor rgb="003366FF"/>
      <rgbColor rgb="0033CCCC"/>
      <rgbColor rgb="0092D050"/>
      <rgbColor rgb="00FFC000"/>
      <rgbColor rgb="00FF9900"/>
      <rgbColor rgb="00E46C0A"/>
      <rgbColor rgb="00666699"/>
      <rgbColor rgb="009BBB59"/>
      <rgbColor rgb="00002060"/>
      <rgbColor rgb="00339966"/>
      <rgbColor rgb="000D0D0D"/>
      <rgbColor rgb="001E1C11"/>
      <rgbColor rgb="00993300"/>
      <rgbColor rgb="007030A0"/>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xdr:from>
      <xdr:col>2</xdr:col>
      <xdr:colOff>6321855</xdr:colOff>
      <xdr:row>13</xdr:row>
      <xdr:rowOff>0</xdr:rowOff>
    </xdr:from>
    <xdr:to>
      <xdr:col>2</xdr:col>
      <xdr:colOff>7650715</xdr:colOff>
      <xdr:row>17</xdr:row>
      <xdr:rowOff>88366</xdr:rowOff>
    </xdr:to>
    <xdr:sp macro="" textlink="">
      <xdr:nvSpPr>
        <xdr:cNvPr id="2" name="ellipse"/>
        <xdr:cNvSpPr/>
      </xdr:nvSpPr>
      <xdr:spPr>
        <a:xfrm>
          <a:off x="7181850" y="2943225"/>
          <a:ext cx="1371600" cy="640080"/>
        </a:xfrm>
        <a:prstGeom prst="ellipse">
          <a:avLst/>
        </a:prstGeom>
        <a:gradFill>
          <a:gsLst>
            <a:gs pos="0">
              <a:srgbClr val="DDEBCF"/>
            </a:gs>
            <a:gs pos="50000">
              <a:srgbClr val="9BB86E"/>
            </a:gs>
            <a:gs pos="100000">
              <a:srgbClr val="146B12"/>
            </a:gs>
          </a:gsLst>
          <a:lin ang="2700000"/>
        </a:gradFill>
        <a:ln w="9525" cap="flat" cmpd="sng">
          <a:solidFill>
            <a:srgbClr val="9BBB59"/>
          </a:solidFill>
          <a:prstDash val="solid"/>
          <a:miter/>
          <a:headEnd type="none" w="med" len="med"/>
          <a:tailEnd type="none" w="med" len="me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18288" tIns="0" rIns="0" bIns="0" anchor="ctr" upright="1"/>
        <a:lstStyle/>
        <a:p>
          <a:pPr algn="ctr"/>
          <a:r>
            <a:rPr lang="en-US" altLang="zh-CN" sz="1400" b="1">
              <a:solidFill>
                <a:srgbClr val="000000"/>
              </a:solidFill>
              <a:latin typeface="+mj-lt" panose="00000000000000000000" charset="0"/>
              <a:ea typeface="+mj-lt" panose="00000000000000000000" charset="0"/>
            </a:rPr>
            <a:t>Click Here</a:t>
          </a:r>
        </a:p>
      </xdr:txBody>
    </xdr:sp>
    <xdr:clientData/>
  </xdr:twoCellAnchor>
  <xdr:twoCellAnchor>
    <xdr:from>
      <xdr:col>2</xdr:col>
      <xdr:colOff>7425981</xdr:colOff>
      <xdr:row>35</xdr:row>
      <xdr:rowOff>0</xdr:rowOff>
    </xdr:from>
    <xdr:to>
      <xdr:col>2</xdr:col>
      <xdr:colOff>8217435</xdr:colOff>
      <xdr:row>38</xdr:row>
      <xdr:rowOff>139265</xdr:rowOff>
    </xdr:to>
    <xdr:sp macro="" textlink="">
      <xdr:nvSpPr>
        <xdr:cNvPr id="3" name="upArrow"/>
        <xdr:cNvSpPr/>
      </xdr:nvSpPr>
      <xdr:spPr>
        <a:xfrm>
          <a:off x="8315325" y="6753225"/>
          <a:ext cx="819150" cy="676275"/>
        </a:xfrm>
        <a:prstGeom prst="upArrow">
          <a:avLst/>
        </a:prstGeom>
        <a:blipFill>
          <a:blip xmlns:r="http://schemas.openxmlformats.org/officeDocument/2006/relationships" r:embed="rId1"/>
          <a:srcRect/>
          <a:tile tx="0" ty="0" sx="100000" sy="100000" flip="none" algn="tl"/>
        </a:blipFill>
        <a:ln w="9525" cap="flat" cmpd="sng">
          <a:solidFill>
            <a:srgbClr val="4BABC5"/>
          </a:solidFill>
          <a:prstDash val="solid"/>
          <a:miter/>
          <a:headEnd type="none" w="med" len="med"/>
          <a:tailEnd type="none" w="med" len="me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18288" tIns="0" rIns="0" bIns="0" anchor="ctr" upright="1"/>
        <a:lstStyle/>
        <a:p>
          <a:pPr algn="ctr"/>
          <a:r>
            <a:rPr lang="en-US" altLang="zh-CN" sz="1600" b="1">
              <a:solidFill>
                <a:srgbClr val="FF0000"/>
              </a:solidFill>
              <a:latin typeface="Calibri" panose="00000000000000000000" charset="0"/>
              <a:ea typeface="Calibri" panose="00000000000000000000" charset="0"/>
            </a:rPr>
            <a:t>Top</a:t>
          </a:r>
        </a:p>
      </xdr:txBody>
    </xdr:sp>
    <xdr:clientData/>
  </xdr:twoCellAnchor>
  <xdr:twoCellAnchor>
    <xdr:from>
      <xdr:col>2</xdr:col>
      <xdr:colOff>7435752</xdr:colOff>
      <xdr:row>53</xdr:row>
      <xdr:rowOff>37467</xdr:rowOff>
    </xdr:from>
    <xdr:to>
      <xdr:col>2</xdr:col>
      <xdr:colOff>8236976</xdr:colOff>
      <xdr:row>56</xdr:row>
      <xdr:rowOff>164715</xdr:rowOff>
    </xdr:to>
    <xdr:sp macro="" textlink="">
      <xdr:nvSpPr>
        <xdr:cNvPr id="4" name="upArrow"/>
        <xdr:cNvSpPr/>
      </xdr:nvSpPr>
      <xdr:spPr>
        <a:xfrm>
          <a:off x="8334375" y="9896475"/>
          <a:ext cx="819150" cy="676275"/>
        </a:xfrm>
        <a:prstGeom prst="upArrow">
          <a:avLst/>
        </a:prstGeom>
        <a:blipFill>
          <a:blip xmlns:r="http://schemas.openxmlformats.org/officeDocument/2006/relationships" r:embed="rId1"/>
          <a:srcRect/>
          <a:tile tx="0" ty="0" sx="100000" sy="100000" flip="none" algn="tl"/>
        </a:blipFill>
        <a:ln w="9525" cap="flat" cmpd="sng">
          <a:solidFill>
            <a:srgbClr val="4BABC5"/>
          </a:solidFill>
          <a:prstDash val="solid"/>
          <a:miter/>
          <a:headEnd type="none" w="med" len="med"/>
          <a:tailEnd type="none" w="med" len="me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18288" tIns="0" rIns="0" bIns="0" anchor="ctr" upright="1"/>
        <a:lstStyle/>
        <a:p>
          <a:pPr algn="ctr"/>
          <a:r>
            <a:rPr lang="en-US" altLang="zh-CN" sz="1600" b="1">
              <a:solidFill>
                <a:srgbClr val="FF0000"/>
              </a:solidFill>
              <a:latin typeface="Calibri" panose="00000000000000000000" charset="0"/>
              <a:ea typeface="Calibri" panose="00000000000000000000" charset="0"/>
            </a:rPr>
            <a:t>Top</a:t>
          </a:r>
        </a:p>
      </xdr:txBody>
    </xdr:sp>
    <xdr:clientData/>
  </xdr:twoCellAnchor>
  <xdr:twoCellAnchor>
    <xdr:from>
      <xdr:col>2</xdr:col>
      <xdr:colOff>7572547</xdr:colOff>
      <xdr:row>76</xdr:row>
      <xdr:rowOff>0</xdr:rowOff>
    </xdr:from>
    <xdr:to>
      <xdr:col>2</xdr:col>
      <xdr:colOff>8363999</xdr:colOff>
      <xdr:row>78</xdr:row>
      <xdr:rowOff>164306</xdr:rowOff>
    </xdr:to>
    <xdr:sp macro="" textlink="">
      <xdr:nvSpPr>
        <xdr:cNvPr id="5" name="upArrow"/>
        <xdr:cNvSpPr/>
      </xdr:nvSpPr>
      <xdr:spPr>
        <a:xfrm>
          <a:off x="8467725" y="13630275"/>
          <a:ext cx="819150" cy="676275"/>
        </a:xfrm>
        <a:prstGeom prst="upArrow">
          <a:avLst/>
        </a:prstGeom>
        <a:blipFill>
          <a:blip xmlns:r="http://schemas.openxmlformats.org/officeDocument/2006/relationships" r:embed="rId1"/>
          <a:srcRect/>
          <a:tile tx="0" ty="0" sx="100000" sy="100000" flip="none" algn="tl"/>
        </a:blipFill>
        <a:ln w="9525" cap="flat" cmpd="sng">
          <a:solidFill>
            <a:srgbClr val="4BABC5"/>
          </a:solidFill>
          <a:prstDash val="solid"/>
          <a:miter/>
          <a:headEnd type="none" w="med" len="med"/>
          <a:tailEnd type="none" w="med" len="me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18288" tIns="0" rIns="0" bIns="0" anchor="ctr" upright="1"/>
        <a:lstStyle/>
        <a:p>
          <a:pPr algn="ctr"/>
          <a:r>
            <a:rPr lang="en-US" altLang="zh-CN" sz="1600" b="1">
              <a:solidFill>
                <a:srgbClr val="FF0000"/>
              </a:solidFill>
              <a:latin typeface="Calibri" panose="00000000000000000000" charset="0"/>
              <a:ea typeface="Calibri" panose="00000000000000000000" charset="0"/>
            </a:rPr>
            <a:t>Top</a:t>
          </a:r>
        </a:p>
      </xdr:txBody>
    </xdr:sp>
    <xdr:clientData/>
  </xdr:twoCellAnchor>
  <xdr:twoCellAnchor>
    <xdr:from>
      <xdr:col>2</xdr:col>
      <xdr:colOff>7699569</xdr:colOff>
      <xdr:row>92</xdr:row>
      <xdr:rowOff>50750</xdr:rowOff>
    </xdr:from>
    <xdr:to>
      <xdr:col>2</xdr:col>
      <xdr:colOff>8500794</xdr:colOff>
      <xdr:row>94</xdr:row>
      <xdr:rowOff>188267</xdr:rowOff>
    </xdr:to>
    <xdr:sp macro="" textlink="">
      <xdr:nvSpPr>
        <xdr:cNvPr id="6" name="upArrow"/>
        <xdr:cNvSpPr/>
      </xdr:nvSpPr>
      <xdr:spPr>
        <a:xfrm>
          <a:off x="8610600" y="19297650"/>
          <a:ext cx="819150" cy="676274"/>
        </a:xfrm>
        <a:prstGeom prst="upArrow">
          <a:avLst/>
        </a:prstGeom>
        <a:blipFill>
          <a:blip xmlns:r="http://schemas.openxmlformats.org/officeDocument/2006/relationships" r:embed="rId1"/>
          <a:srcRect/>
          <a:tile tx="0" ty="0" sx="100000" sy="100000" flip="none" algn="tl"/>
        </a:blipFill>
        <a:ln w="9525" cap="flat" cmpd="sng">
          <a:solidFill>
            <a:srgbClr val="4BABC5"/>
          </a:solidFill>
          <a:prstDash val="solid"/>
          <a:miter/>
          <a:headEnd type="none" w="med" len="med"/>
          <a:tailEnd type="none" w="med" len="me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18288" tIns="0" rIns="0" bIns="0" anchor="ctr" upright="1"/>
        <a:lstStyle/>
        <a:p>
          <a:pPr algn="ctr"/>
          <a:r>
            <a:rPr lang="en-US" altLang="zh-CN" sz="1600" b="1">
              <a:solidFill>
                <a:srgbClr val="FF0000"/>
              </a:solidFill>
              <a:latin typeface="Calibri" panose="00000000000000000000" charset="0"/>
              <a:ea typeface="Calibri" panose="00000000000000000000" charset="0"/>
            </a:rPr>
            <a:t>Top</a:t>
          </a:r>
        </a:p>
      </xdr:txBody>
    </xdr:sp>
    <xdr:clientData/>
  </xdr:twoCellAnchor>
  <xdr:twoCellAnchor>
    <xdr:from>
      <xdr:col>0</xdr:col>
      <xdr:colOff>0</xdr:colOff>
      <xdr:row>105</xdr:row>
      <xdr:rowOff>149497</xdr:rowOff>
    </xdr:from>
    <xdr:to>
      <xdr:col>1</xdr:col>
      <xdr:colOff>342469</xdr:colOff>
      <xdr:row>106</xdr:row>
      <xdr:rowOff>0</xdr:rowOff>
    </xdr:to>
    <xdr:sp macro="" textlink="">
      <xdr:nvSpPr>
        <xdr:cNvPr id="7" name="upArrow"/>
        <xdr:cNvSpPr/>
      </xdr:nvSpPr>
      <xdr:spPr>
        <a:xfrm>
          <a:off x="0" y="26670000"/>
          <a:ext cx="657224" cy="561976"/>
        </a:xfrm>
        <a:prstGeom prst="upArrow">
          <a:avLst/>
        </a:prstGeom>
        <a:blipFill>
          <a:blip xmlns:r="http://schemas.openxmlformats.org/officeDocument/2006/relationships" r:embed="rId1"/>
          <a:srcRect/>
          <a:tile tx="0" ty="0" sx="100000" sy="100000" flip="none" algn="tl"/>
        </a:blipFill>
        <a:ln w="9525" cap="flat" cmpd="sng">
          <a:solidFill>
            <a:srgbClr val="4BABC5"/>
          </a:solidFill>
          <a:prstDash val="solid"/>
          <a:miter/>
          <a:headEnd type="none" w="med" len="med"/>
          <a:tailEnd type="none" w="med" len="me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18288" tIns="0" rIns="0" bIns="0" anchor="ctr" upright="1"/>
        <a:lstStyle/>
        <a:p>
          <a:pPr algn="ctr"/>
          <a:r>
            <a:rPr lang="en-US" altLang="zh-CN" sz="1600" b="1">
              <a:solidFill>
                <a:srgbClr val="FF0000"/>
              </a:solidFill>
              <a:latin typeface="Calibri" panose="00000000000000000000" charset="0"/>
              <a:ea typeface="Calibri" panose="00000000000000000000" charset="0"/>
            </a:rPr>
            <a:t>To</a:t>
          </a:r>
          <a:r>
            <a:rPr lang="en-US" altLang="zh-CN" sz="1400" b="1">
              <a:solidFill>
                <a:srgbClr val="FF0000"/>
              </a:solidFill>
              <a:latin typeface="Calibri" panose="00000000000000000000" charset="0"/>
              <a:ea typeface="Calibri" panose="00000000000000000000" charset="0"/>
            </a:rPr>
            <a:t>p</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66661</xdr:colOff>
      <xdr:row>4314</xdr:row>
      <xdr:rowOff>151983</xdr:rowOff>
    </xdr:from>
    <xdr:to>
      <xdr:col>1</xdr:col>
      <xdr:colOff>28502</xdr:colOff>
      <xdr:row>8094</xdr:row>
      <xdr:rowOff>37653</xdr:rowOff>
    </xdr:to>
    <xdr:sp macro="" textlink="">
      <xdr:nvSpPr>
        <xdr:cNvPr id="2" name="rect"/>
        <xdr:cNvSpPr/>
      </xdr:nvSpPr>
      <xdr:spPr>
        <a:xfrm>
          <a:off x="200025" y="784898112"/>
          <a:ext cx="0" cy="683971136"/>
        </a:xfrm>
        <a:prstGeom prst="rect">
          <a:avLst/>
        </a:prstGeom>
        <a:gradFill rotWithShape="0">
          <a:gsLst>
            <a:gs pos="0">
              <a:srgbClr val="2D5F99"/>
            </a:gs>
            <a:gs pos="100000">
              <a:srgbClr val="387ACA"/>
            </a:gs>
          </a:gsLst>
          <a:lin ang="16200000" scaled="1"/>
        </a:gradFill>
        <a:ln w="9360" cap="flat" cmpd="sng">
          <a:solidFill>
            <a:srgbClr val="497DBB"/>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20</xdr:col>
      <xdr:colOff>159332</xdr:colOff>
      <xdr:row>8</xdr:row>
      <xdr:rowOff>164306</xdr:rowOff>
    </xdr:from>
    <xdr:to>
      <xdr:col>20</xdr:col>
      <xdr:colOff>159332</xdr:colOff>
      <xdr:row>10</xdr:row>
      <xdr:rowOff>126801</xdr:rowOff>
    </xdr:to>
    <xdr:sp macro="" textlink="">
      <xdr:nvSpPr>
        <xdr:cNvPr id="3" name="downArrow"/>
        <xdr:cNvSpPr/>
      </xdr:nvSpPr>
      <xdr:spPr>
        <a:xfrm>
          <a:off x="4114800" y="3571876"/>
          <a:ext cx="104775" cy="419100"/>
        </a:xfrm>
        <a:prstGeom prst="downArrow">
          <a:avLst/>
        </a:prstGeom>
        <a:gradFill>
          <a:gsLst>
            <a:gs pos="0">
              <a:srgbClr val="02D4A8"/>
            </a:gs>
            <a:gs pos="25000">
              <a:srgbClr val="21D6DF"/>
            </a:gs>
            <a:gs pos="75000">
              <a:srgbClr val="0087E6"/>
            </a:gs>
            <a:gs pos="100000">
              <a:srgbClr val="005BBF"/>
            </a:gs>
          </a:gsLst>
          <a:lin ang="16200000"/>
        </a:gradFill>
        <a:ln w="9525" cap="flat" cmpd="sng">
          <a:solidFill>
            <a:srgbClr val="9BBB59"/>
          </a:solid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68</xdr:col>
      <xdr:colOff>142758</xdr:colOff>
      <xdr:row>437</xdr:row>
      <xdr:rowOff>37653</xdr:rowOff>
    </xdr:from>
    <xdr:to>
      <xdr:col>69</xdr:col>
      <xdr:colOff>75535</xdr:colOff>
      <xdr:row>437</xdr:row>
      <xdr:rowOff>37653</xdr:rowOff>
    </xdr:to>
    <xdr:sp macro="" textlink="">
      <xdr:nvSpPr>
        <xdr:cNvPr id="4" name="rect"/>
        <xdr:cNvSpPr/>
      </xdr:nvSpPr>
      <xdr:spPr>
        <a:xfrm>
          <a:off x="36071176" y="83134200"/>
          <a:ext cx="771524" cy="9528"/>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2</xdr:col>
      <xdr:colOff>9317</xdr:colOff>
      <xdr:row>26</xdr:row>
      <xdr:rowOff>0</xdr:rowOff>
    </xdr:from>
    <xdr:to>
      <xdr:col>5</xdr:col>
      <xdr:colOff>419575</xdr:colOff>
      <xdr:row>27</xdr:row>
      <xdr:rowOff>0</xdr:rowOff>
    </xdr:to>
    <xdr:sp macro="" textlink="">
      <xdr:nvSpPr>
        <xdr:cNvPr id="5" name="rect"/>
        <xdr:cNvSpPr/>
      </xdr:nvSpPr>
      <xdr:spPr>
        <a:xfrm>
          <a:off x="285750" y="5448300"/>
          <a:ext cx="2085975" cy="219075"/>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11</xdr:col>
      <xdr:colOff>8860</xdr:colOff>
      <xdr:row>10</xdr:row>
      <xdr:rowOff>0</xdr:rowOff>
    </xdr:from>
    <xdr:to>
      <xdr:col>11</xdr:col>
      <xdr:colOff>755354</xdr:colOff>
      <xdr:row>11</xdr:row>
      <xdr:rowOff>0</xdr:rowOff>
    </xdr:to>
    <xdr:sp macro="" textlink="">
      <xdr:nvSpPr>
        <xdr:cNvPr id="6" name="rect"/>
        <xdr:cNvSpPr/>
      </xdr:nvSpPr>
      <xdr:spPr>
        <a:xfrm>
          <a:off x="4533900" y="1790700"/>
          <a:ext cx="657225" cy="219075"/>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19</xdr:col>
      <xdr:colOff>0</xdr:colOff>
      <xdr:row>19</xdr:row>
      <xdr:rowOff>0</xdr:rowOff>
    </xdr:from>
    <xdr:to>
      <xdr:col>19</xdr:col>
      <xdr:colOff>523415</xdr:colOff>
      <xdr:row>19</xdr:row>
      <xdr:rowOff>190202</xdr:rowOff>
    </xdr:to>
    <xdr:sp macro="" textlink="">
      <xdr:nvSpPr>
        <xdr:cNvPr id="7" name="rect"/>
        <xdr:cNvSpPr/>
      </xdr:nvSpPr>
      <xdr:spPr>
        <a:xfrm>
          <a:off x="6753225" y="5210175"/>
          <a:ext cx="523875" cy="200025"/>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11</xdr:col>
      <xdr:colOff>8860</xdr:colOff>
      <xdr:row>16</xdr:row>
      <xdr:rowOff>0</xdr:rowOff>
    </xdr:from>
    <xdr:to>
      <xdr:col>11</xdr:col>
      <xdr:colOff>657151</xdr:colOff>
      <xdr:row>16</xdr:row>
      <xdr:rowOff>215205</xdr:rowOff>
    </xdr:to>
    <xdr:sp macro="" textlink="">
      <xdr:nvSpPr>
        <xdr:cNvPr id="8" name="rect"/>
        <xdr:cNvSpPr/>
      </xdr:nvSpPr>
      <xdr:spPr>
        <a:xfrm>
          <a:off x="4533900" y="3162300"/>
          <a:ext cx="647700" cy="20955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5</xdr:col>
      <xdr:colOff>9433</xdr:colOff>
      <xdr:row>36</xdr:row>
      <xdr:rowOff>0</xdr:rowOff>
    </xdr:from>
    <xdr:to>
      <xdr:col>6</xdr:col>
      <xdr:colOff>76098</xdr:colOff>
      <xdr:row>36</xdr:row>
      <xdr:rowOff>0</xdr:rowOff>
    </xdr:to>
    <xdr:sp macro="" textlink="">
      <xdr:nvSpPr>
        <xdr:cNvPr id="9" name="rect"/>
        <xdr:cNvSpPr/>
      </xdr:nvSpPr>
      <xdr:spPr>
        <a:xfrm>
          <a:off x="2009775" y="7724775"/>
          <a:ext cx="438150" cy="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4</xdr:col>
      <xdr:colOff>485332</xdr:colOff>
      <xdr:row>36</xdr:row>
      <xdr:rowOff>0</xdr:rowOff>
    </xdr:from>
    <xdr:to>
      <xdr:col>5</xdr:col>
      <xdr:colOff>419575</xdr:colOff>
      <xdr:row>36</xdr:row>
      <xdr:rowOff>0</xdr:rowOff>
    </xdr:to>
    <xdr:sp macro="" textlink="">
      <xdr:nvSpPr>
        <xdr:cNvPr id="10" name="rect"/>
        <xdr:cNvSpPr/>
      </xdr:nvSpPr>
      <xdr:spPr>
        <a:xfrm>
          <a:off x="2000250" y="7724775"/>
          <a:ext cx="371475" cy="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2</xdr:col>
      <xdr:colOff>9317</xdr:colOff>
      <xdr:row>32</xdr:row>
      <xdr:rowOff>0</xdr:rowOff>
    </xdr:from>
    <xdr:to>
      <xdr:col>5</xdr:col>
      <xdr:colOff>419575</xdr:colOff>
      <xdr:row>32</xdr:row>
      <xdr:rowOff>215205</xdr:rowOff>
    </xdr:to>
    <xdr:sp macro="" textlink="">
      <xdr:nvSpPr>
        <xdr:cNvPr id="11" name="rect"/>
        <xdr:cNvSpPr/>
      </xdr:nvSpPr>
      <xdr:spPr>
        <a:xfrm>
          <a:off x="285750" y="6810375"/>
          <a:ext cx="2085975" cy="219075"/>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2</xdr:col>
      <xdr:colOff>9317</xdr:colOff>
      <xdr:row>33</xdr:row>
      <xdr:rowOff>0</xdr:rowOff>
    </xdr:from>
    <xdr:to>
      <xdr:col>5</xdr:col>
      <xdr:colOff>419575</xdr:colOff>
      <xdr:row>33</xdr:row>
      <xdr:rowOff>215205</xdr:rowOff>
    </xdr:to>
    <xdr:sp macro="" textlink="">
      <xdr:nvSpPr>
        <xdr:cNvPr id="12" name="rect"/>
        <xdr:cNvSpPr/>
      </xdr:nvSpPr>
      <xdr:spPr>
        <a:xfrm>
          <a:off x="285750" y="7038975"/>
          <a:ext cx="2085975" cy="219075"/>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7</xdr:col>
      <xdr:colOff>0</xdr:colOff>
      <xdr:row>36</xdr:row>
      <xdr:rowOff>0</xdr:rowOff>
    </xdr:from>
    <xdr:to>
      <xdr:col>8</xdr:col>
      <xdr:colOff>0</xdr:colOff>
      <xdr:row>36</xdr:row>
      <xdr:rowOff>0</xdr:rowOff>
    </xdr:to>
    <xdr:sp macro="" textlink="">
      <xdr:nvSpPr>
        <xdr:cNvPr id="13" name="rect"/>
        <xdr:cNvSpPr/>
      </xdr:nvSpPr>
      <xdr:spPr>
        <a:xfrm>
          <a:off x="2800350" y="7724775"/>
          <a:ext cx="209550" cy="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9</xdr:col>
      <xdr:colOff>47244</xdr:colOff>
      <xdr:row>36</xdr:row>
      <xdr:rowOff>0</xdr:rowOff>
    </xdr:from>
    <xdr:to>
      <xdr:col>9</xdr:col>
      <xdr:colOff>589897</xdr:colOff>
      <xdr:row>36</xdr:row>
      <xdr:rowOff>0</xdr:rowOff>
    </xdr:to>
    <xdr:sp macro="" textlink="">
      <xdr:nvSpPr>
        <xdr:cNvPr id="14" name="rect"/>
        <xdr:cNvSpPr/>
      </xdr:nvSpPr>
      <xdr:spPr>
        <a:xfrm>
          <a:off x="3200400" y="7724775"/>
          <a:ext cx="542925" cy="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9</xdr:col>
      <xdr:colOff>38057</xdr:colOff>
      <xdr:row>36</xdr:row>
      <xdr:rowOff>0</xdr:rowOff>
    </xdr:from>
    <xdr:to>
      <xdr:col>9</xdr:col>
      <xdr:colOff>589897</xdr:colOff>
      <xdr:row>36</xdr:row>
      <xdr:rowOff>0</xdr:rowOff>
    </xdr:to>
    <xdr:sp macro="" textlink="">
      <xdr:nvSpPr>
        <xdr:cNvPr id="15" name="rect"/>
        <xdr:cNvSpPr/>
      </xdr:nvSpPr>
      <xdr:spPr>
        <a:xfrm>
          <a:off x="3190875" y="7724775"/>
          <a:ext cx="552450" cy="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9</xdr:col>
      <xdr:colOff>28215</xdr:colOff>
      <xdr:row>36</xdr:row>
      <xdr:rowOff>0</xdr:rowOff>
    </xdr:from>
    <xdr:to>
      <xdr:col>9</xdr:col>
      <xdr:colOff>589897</xdr:colOff>
      <xdr:row>36</xdr:row>
      <xdr:rowOff>0</xdr:rowOff>
    </xdr:to>
    <xdr:sp macro="" textlink="">
      <xdr:nvSpPr>
        <xdr:cNvPr id="16" name="rect"/>
        <xdr:cNvSpPr/>
      </xdr:nvSpPr>
      <xdr:spPr>
        <a:xfrm>
          <a:off x="3181350" y="7724775"/>
          <a:ext cx="561975" cy="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4</xdr:col>
      <xdr:colOff>514276</xdr:colOff>
      <xdr:row>36</xdr:row>
      <xdr:rowOff>0</xdr:rowOff>
    </xdr:from>
    <xdr:to>
      <xdr:col>6</xdr:col>
      <xdr:colOff>399992</xdr:colOff>
      <xdr:row>36</xdr:row>
      <xdr:rowOff>0</xdr:rowOff>
    </xdr:to>
    <xdr:sp macro="" textlink="">
      <xdr:nvSpPr>
        <xdr:cNvPr id="17" name="rect"/>
        <xdr:cNvSpPr/>
      </xdr:nvSpPr>
      <xdr:spPr>
        <a:xfrm>
          <a:off x="2000250" y="7724775"/>
          <a:ext cx="771525" cy="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6</xdr:col>
      <xdr:colOff>9512</xdr:colOff>
      <xdr:row>36</xdr:row>
      <xdr:rowOff>0</xdr:rowOff>
    </xdr:from>
    <xdr:to>
      <xdr:col>6</xdr:col>
      <xdr:colOff>428529</xdr:colOff>
      <xdr:row>36</xdr:row>
      <xdr:rowOff>0</xdr:rowOff>
    </xdr:to>
    <xdr:sp macro="" textlink="">
      <xdr:nvSpPr>
        <xdr:cNvPr id="18" name="rect"/>
        <xdr:cNvSpPr/>
      </xdr:nvSpPr>
      <xdr:spPr>
        <a:xfrm>
          <a:off x="2381250" y="7724775"/>
          <a:ext cx="419100" cy="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8</xdr:col>
      <xdr:colOff>21493</xdr:colOff>
      <xdr:row>37</xdr:row>
      <xdr:rowOff>50006</xdr:rowOff>
    </xdr:from>
    <xdr:to>
      <xdr:col>9</xdr:col>
      <xdr:colOff>1968</xdr:colOff>
      <xdr:row>38</xdr:row>
      <xdr:rowOff>202703</xdr:rowOff>
    </xdr:to>
    <xdr:sp macro="" textlink="">
      <xdr:nvSpPr>
        <xdr:cNvPr id="19" name="rightBrace"/>
        <xdr:cNvSpPr/>
      </xdr:nvSpPr>
      <xdr:spPr>
        <a:xfrm>
          <a:off x="3115367" y="8292810"/>
          <a:ext cx="125730" cy="371475"/>
        </a:xfrm>
        <a:prstGeom prst="rightBrace">
          <a:avLst/>
        </a:prstGeom>
        <a:noFill/>
        <a:ln w="25400" cap="flat" cmpd="sng">
          <a:solidFill>
            <a:srgbClr val="FF0000"/>
          </a:solidFill>
          <a:prstDash val="solid"/>
          <a:miter/>
          <a:headEnd type="none" w="med" len="med"/>
          <a:tailEnd type="none" w="med" len="me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29</xdr:col>
      <xdr:colOff>136757</xdr:colOff>
      <xdr:row>8</xdr:row>
      <xdr:rowOff>88403</xdr:rowOff>
    </xdr:from>
    <xdr:to>
      <xdr:col>29</xdr:col>
      <xdr:colOff>317846</xdr:colOff>
      <xdr:row>15</xdr:row>
      <xdr:rowOff>164306</xdr:rowOff>
    </xdr:to>
    <xdr:sp macro="" textlink="">
      <xdr:nvSpPr>
        <xdr:cNvPr id="20" name="rightBrace"/>
        <xdr:cNvSpPr/>
      </xdr:nvSpPr>
      <xdr:spPr>
        <a:xfrm>
          <a:off x="13426440" y="1402079"/>
          <a:ext cx="180975" cy="1666875"/>
        </a:xfrm>
        <a:prstGeom prst="rightBrace">
          <a:avLst/>
        </a:prstGeom>
        <a:noFill/>
        <a:ln w="9525" cap="flat" cmpd="sng">
          <a:solidFill>
            <a:srgbClr val="7F64A2"/>
          </a:solidFill>
          <a:prstDash val="solid"/>
          <a:miter/>
          <a:headEnd type="none" w="med" len="med"/>
          <a:tailEnd type="none" w="med" len="me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29</xdr:col>
      <xdr:colOff>153904</xdr:colOff>
      <xdr:row>16</xdr:row>
      <xdr:rowOff>25003</xdr:rowOff>
    </xdr:from>
    <xdr:to>
      <xdr:col>29</xdr:col>
      <xdr:colOff>354231</xdr:colOff>
      <xdr:row>27</xdr:row>
      <xdr:rowOff>164306</xdr:rowOff>
    </xdr:to>
    <xdr:sp macro="" textlink="">
      <xdr:nvSpPr>
        <xdr:cNvPr id="21" name="rightBrace"/>
        <xdr:cNvSpPr/>
      </xdr:nvSpPr>
      <xdr:spPr>
        <a:xfrm>
          <a:off x="13443585" y="3158490"/>
          <a:ext cx="200025" cy="2657475"/>
        </a:xfrm>
        <a:prstGeom prst="rightBrace">
          <a:avLst/>
        </a:prstGeom>
        <a:noFill/>
        <a:ln w="9525" cap="flat" cmpd="sng">
          <a:solidFill>
            <a:srgbClr val="7F64A2"/>
          </a:solidFill>
          <a:prstDash val="solid"/>
          <a:miter/>
          <a:headEnd type="none" w="med" len="med"/>
          <a:tailEnd type="none" w="med" len="me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29</xdr:col>
      <xdr:colOff>118355</xdr:colOff>
      <xdr:row>28</xdr:row>
      <xdr:rowOff>202703</xdr:rowOff>
    </xdr:from>
    <xdr:to>
      <xdr:col>29</xdr:col>
      <xdr:colOff>375560</xdr:colOff>
      <xdr:row>39</xdr:row>
      <xdr:rowOff>0</xdr:rowOff>
    </xdr:to>
    <xdr:sp macro="" textlink="">
      <xdr:nvSpPr>
        <xdr:cNvPr id="22" name="rightBrace"/>
        <xdr:cNvSpPr/>
      </xdr:nvSpPr>
      <xdr:spPr>
        <a:xfrm>
          <a:off x="13407910" y="6080241"/>
          <a:ext cx="257175" cy="2314575"/>
        </a:xfrm>
        <a:prstGeom prst="rightBrace">
          <a:avLst/>
        </a:prstGeom>
        <a:noFill/>
        <a:ln w="9525" cap="flat" cmpd="sng">
          <a:solidFill>
            <a:srgbClr val="7F64A2"/>
          </a:solidFill>
          <a:prstDash val="solid"/>
          <a:miter/>
          <a:headEnd type="none" w="med" len="med"/>
          <a:tailEnd type="none" w="med" len="me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10</xdr:col>
      <xdr:colOff>597701</xdr:colOff>
      <xdr:row>36</xdr:row>
      <xdr:rowOff>37504</xdr:rowOff>
    </xdr:from>
    <xdr:to>
      <xdr:col>11</xdr:col>
      <xdr:colOff>652720</xdr:colOff>
      <xdr:row>40</xdr:row>
      <xdr:rowOff>190202</xdr:rowOff>
    </xdr:to>
    <xdr:pic>
      <xdr:nvPicPr>
        <xdr:cNvPr id="23" name="Picture 2" descr=" "/>
        <xdr:cNvPicPr/>
      </xdr:nvPicPr>
      <xdr:blipFill>
        <a:blip xmlns:r="http://schemas.openxmlformats.org/officeDocument/2006/relationships" r:embed="rId1"/>
        <a:srcRect/>
        <a:stretch>
          <a:fillRect/>
        </a:stretch>
      </xdr:blipFill>
      <xdr:spPr>
        <a:xfrm>
          <a:off x="4446270" y="8039101"/>
          <a:ext cx="855083" cy="1074419"/>
        </a:xfrm>
        <a:prstGeom prst="rect">
          <a:avLst/>
        </a:prstGeom>
        <a:noFill/>
        <a:ln w="9525" cap="flat" cmpd="sng">
          <a:noFill/>
          <a:prstDash val="solid"/>
          <a:miter/>
        </a:ln>
        <a:effectLst>
          <a:outerShdw dist="139700" dir="2700000" algn="tl" rotWithShape="0">
            <a:srgbClr val="333333">
              <a:alpha val="64999"/>
            </a:srgbClr>
          </a:outerShdw>
        </a:effectLst>
      </xdr:spPr>
    </xdr:pic>
    <xdr:clientData/>
  </xdr:twoCellAnchor>
  <xdr:twoCellAnchor>
    <xdr:from>
      <xdr:col>29</xdr:col>
      <xdr:colOff>121701</xdr:colOff>
      <xdr:row>40</xdr:row>
      <xdr:rowOff>12501</xdr:rowOff>
    </xdr:from>
    <xdr:to>
      <xdr:col>29</xdr:col>
      <xdr:colOff>348376</xdr:colOff>
      <xdr:row>44</xdr:row>
      <xdr:rowOff>11876</xdr:rowOff>
    </xdr:to>
    <xdr:sp macro="" textlink="">
      <xdr:nvSpPr>
        <xdr:cNvPr id="24" name="rightBrace"/>
        <xdr:cNvSpPr/>
      </xdr:nvSpPr>
      <xdr:spPr>
        <a:xfrm>
          <a:off x="13411200" y="8641081"/>
          <a:ext cx="226695" cy="822960"/>
        </a:xfrm>
        <a:prstGeom prst="rightBrace">
          <a:avLst/>
        </a:prstGeom>
        <a:noFill/>
        <a:ln w="9525" cap="flat" cmpd="sng">
          <a:solidFill>
            <a:srgbClr val="7F64A2"/>
          </a:solidFill>
          <a:prstDash val="solid"/>
          <a:miter/>
          <a:headEnd type="none" w="med" len="med"/>
          <a:tailEnd type="none" w="med" len="me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22</xdr:col>
      <xdr:colOff>614</xdr:colOff>
      <xdr:row>4</xdr:row>
      <xdr:rowOff>88403</xdr:rowOff>
    </xdr:from>
    <xdr:to>
      <xdr:col>22</xdr:col>
      <xdr:colOff>15112</xdr:colOff>
      <xdr:row>10</xdr:row>
      <xdr:rowOff>114300</xdr:rowOff>
    </xdr:to>
    <xdr:sp macro="" textlink="">
      <xdr:nvSpPr>
        <xdr:cNvPr id="25" name="line"/>
        <xdr:cNvSpPr/>
      </xdr:nvSpPr>
      <xdr:spPr>
        <a:xfrm flipH="1">
          <a:off x="9860940" y="628980"/>
          <a:ext cx="14580" cy="1363980"/>
        </a:xfrm>
        <a:prstGeom prst="line">
          <a:avLst/>
        </a:prstGeom>
        <a:noFill/>
        <a:ln w="9525" cap="flat" cmpd="sng">
          <a:solidFill>
            <a:srgbClr val="E36C09"/>
          </a:solidFill>
          <a:prstDash val="solid"/>
          <a:miter/>
          <a:headEnd type="none" w="med" len="med"/>
          <a:tailEnd type="none" w="med" len="me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20</xdr:col>
      <xdr:colOff>159332</xdr:colOff>
      <xdr:row>4</xdr:row>
      <xdr:rowOff>63400</xdr:rowOff>
    </xdr:from>
    <xdr:to>
      <xdr:col>22</xdr:col>
      <xdr:colOff>15112</xdr:colOff>
      <xdr:row>4</xdr:row>
      <xdr:rowOff>114300</xdr:rowOff>
    </xdr:to>
    <xdr:sp macro="" textlink="">
      <xdr:nvSpPr>
        <xdr:cNvPr id="26" name="leftArrow"/>
        <xdr:cNvSpPr/>
      </xdr:nvSpPr>
      <xdr:spPr>
        <a:xfrm>
          <a:off x="9685020" y="601980"/>
          <a:ext cx="190500" cy="54000"/>
        </a:xfrm>
        <a:prstGeom prst="leftArrow">
          <a:avLst/>
        </a:prstGeom>
        <a:solidFill>
          <a:srgbClr val="E36C09"/>
        </a:solidFill>
        <a:ln w="9525" cap="flat" cmpd="sng">
          <a:solidFill>
            <a:srgbClr val="B66C30"/>
          </a:solidFill>
          <a:prstDash val="solid"/>
          <a:miter/>
          <a:headEnd type="none" w="med" len="med"/>
          <a:tailEnd type="none" w="med" len="me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20</xdr:col>
      <xdr:colOff>68530</xdr:colOff>
      <xdr:row>10</xdr:row>
      <xdr:rowOff>75902</xdr:rowOff>
    </xdr:from>
    <xdr:to>
      <xdr:col>22</xdr:col>
      <xdr:colOff>7495</xdr:colOff>
      <xdr:row>10</xdr:row>
      <xdr:rowOff>126801</xdr:rowOff>
    </xdr:to>
    <xdr:sp macro="" textlink="">
      <xdr:nvSpPr>
        <xdr:cNvPr id="27" name="leftArrow"/>
        <xdr:cNvSpPr/>
      </xdr:nvSpPr>
      <xdr:spPr>
        <a:xfrm>
          <a:off x="9585960" y="1958340"/>
          <a:ext cx="281940" cy="54000"/>
        </a:xfrm>
        <a:prstGeom prst="leftArrow">
          <a:avLst/>
        </a:prstGeom>
        <a:solidFill>
          <a:srgbClr val="E36C09"/>
        </a:solidFill>
        <a:ln w="9525" cap="flat" cmpd="sng">
          <a:solidFill>
            <a:srgbClr val="B66C30"/>
          </a:solidFill>
          <a:prstDash val="solid"/>
          <a:miter/>
          <a:headEnd type="none" w="med" len="med"/>
          <a:tailEnd type="none" w="med" len="me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10</xdr:col>
      <xdr:colOff>422188</xdr:colOff>
      <xdr:row>1</xdr:row>
      <xdr:rowOff>24407</xdr:rowOff>
    </xdr:from>
    <xdr:to>
      <xdr:col>18</xdr:col>
      <xdr:colOff>209615</xdr:colOff>
      <xdr:row>2</xdr:row>
      <xdr:rowOff>42088</xdr:rowOff>
    </xdr:to>
    <xdr:sp macro="" textlink="">
      <xdr:nvSpPr>
        <xdr:cNvPr id="2" name=" "/>
        <xdr:cNvSpPr txBox="1"/>
      </xdr:nvSpPr>
      <xdr:spPr>
        <a:xfrm>
          <a:off x="4173007" y="118533"/>
          <a:ext cx="5053274" cy="330201"/>
        </a:xfrm>
        <a:prstGeom prst="rect">
          <a:avLst/>
        </a:prstGeom>
        <a:solidFill>
          <a:srgbClr val="F79545"/>
        </a:solidFill>
        <a:ln w="9525" cap="flat" cmpd="sng">
          <a:solidFill>
            <a:srgbClr val="F79545"/>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000" tIns="46800" rIns="90000" bIns="46800" anchor="ctr"/>
        <a:lstStyle/>
        <a:p>
          <a:pPr algn="ctr">
            <a:lnSpc>
              <a:spcPts val="1722"/>
            </a:lnSpc>
          </a:pPr>
          <a:r>
            <a:rPr lang="en-US" altLang="zh-CN" sz="1400" b="1">
              <a:solidFill>
                <a:srgbClr val="FFFFFF"/>
              </a:solidFill>
              <a:latin typeface="Tahoma" panose="00000000000000000000" charset="0"/>
              <a:ea typeface="Tahoma" panose="00000000000000000000" charset="0"/>
            </a:rPr>
            <a:t>DA Arrears లో తేడా ఉంటే, మన్యువల్ గా Bill table లో మార్చండి</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12</xdr:col>
      <xdr:colOff>565370</xdr:colOff>
      <xdr:row>2</xdr:row>
      <xdr:rowOff>177105</xdr:rowOff>
    </xdr:from>
    <xdr:to>
      <xdr:col>14</xdr:col>
      <xdr:colOff>232145</xdr:colOff>
      <xdr:row>4</xdr:row>
      <xdr:rowOff>177626</xdr:rowOff>
    </xdr:to>
    <xdr:sp macro="" textlink="">
      <xdr:nvSpPr>
        <xdr:cNvPr id="2" name="ellipse"/>
        <xdr:cNvSpPr/>
      </xdr:nvSpPr>
      <xdr:spPr>
        <a:xfrm>
          <a:off x="8311515" y="621030"/>
          <a:ext cx="982980" cy="382905"/>
        </a:xfrm>
        <a:prstGeom prst="ellipse">
          <a:avLst/>
        </a:prstGeom>
        <a:solidFill>
          <a:srgbClr val="F79545"/>
        </a:solidFill>
        <a:ln w="9525" cap="flat" cmpd="sng">
          <a:solidFill>
            <a:srgbClr val="F79545"/>
          </a:solidFill>
          <a:prstDash val="solid"/>
          <a:miter/>
          <a:headEnd type="none" w="med" len="med"/>
          <a:tailEnd type="none" w="med" len="me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18288" tIns="0" rIns="0" bIns="0" anchor="ctr" upright="1"/>
        <a:lstStyle/>
        <a:p>
          <a:pPr algn="ctr"/>
          <a:r>
            <a:rPr lang="en-US" altLang="zh-CN" sz="1200" b="1">
              <a:solidFill>
                <a:srgbClr val="000000"/>
              </a:solidFill>
              <a:latin typeface="Arial Black" panose="00000000000000000000" charset="0"/>
              <a:ea typeface="Arial Black" panose="00000000000000000000" charset="0"/>
            </a:rPr>
            <a:t>DATA</a:t>
          </a:r>
        </a:p>
      </xdr:txBody>
    </xdr:sp>
    <xdr:clientData/>
  </xdr:twoCellAnchor>
  <xdr:twoCellAnchor>
    <xdr:from>
      <xdr:col>12</xdr:col>
      <xdr:colOff>113631</xdr:colOff>
      <xdr:row>51</xdr:row>
      <xdr:rowOff>76155</xdr:rowOff>
    </xdr:from>
    <xdr:to>
      <xdr:col>13</xdr:col>
      <xdr:colOff>75920</xdr:colOff>
      <xdr:row>51</xdr:row>
      <xdr:rowOff>88314</xdr:rowOff>
    </xdr:to>
    <xdr:cxnSp macro="">
      <xdr:nvCxnSpPr>
        <xdr:cNvPr id="3" name="straightConnector1"/>
        <xdr:cNvCxnSpPr/>
      </xdr:nvCxnSpPr>
      <xdr:spPr>
        <a:xfrm>
          <a:off x="7458075" y="7448550"/>
          <a:ext cx="590550" cy="9525"/>
        </a:xfrm>
        <a:prstGeom prst="straightConnector1">
          <a:avLst/>
        </a:prstGeom>
        <a:noFill/>
        <a:ln w="9525" cap="flat" cmpd="sng">
          <a:solidFill>
            <a:srgbClr val="000000"/>
          </a:solidFill>
          <a:prstDash val="solid"/>
          <a:miter/>
          <a:headEnd type="none" w="med" len="med"/>
          <a:tailEnd type="arrow" w="med" len="med"/>
        </a:ln>
        <a:effectLst/>
      </xdr:spPr>
      <xdr:style>
        <a:lnRef idx="2">
          <a:schemeClr val="accent1">
            <a:shade val="50000"/>
          </a:schemeClr>
        </a:lnRef>
        <a:fillRef idx="1">
          <a:schemeClr val="accent1"/>
        </a:fillRef>
        <a:effectRef idx="0">
          <a:schemeClr val="accent1"/>
        </a:effectRef>
        <a:fontRef idx="minor">
          <a:schemeClr val="dk1"/>
        </a:fontRef>
      </xdr:style>
    </xdr:cxnSp>
    <xdr:clientData/>
  </xdr:twoCellAnchor>
</xdr:wsDr>
</file>

<file path=xl/drawings/drawing5.xml><?xml version="1.0" encoding="utf-8"?>
<xdr:wsDr xmlns:xdr="http://schemas.openxmlformats.org/drawingml/2006/spreadsheetDrawing" xmlns:a="http://schemas.openxmlformats.org/drawingml/2006/main">
  <xdr:twoCellAnchor>
    <xdr:from>
      <xdr:col>12</xdr:col>
      <xdr:colOff>409053</xdr:colOff>
      <xdr:row>5</xdr:row>
      <xdr:rowOff>37951</xdr:rowOff>
    </xdr:from>
    <xdr:to>
      <xdr:col>13</xdr:col>
      <xdr:colOff>637466</xdr:colOff>
      <xdr:row>7</xdr:row>
      <xdr:rowOff>101203</xdr:rowOff>
    </xdr:to>
    <xdr:sp macro="" textlink="">
      <xdr:nvSpPr>
        <xdr:cNvPr id="2" name="ellipse"/>
        <xdr:cNvSpPr/>
      </xdr:nvSpPr>
      <xdr:spPr>
        <a:xfrm>
          <a:off x="7362825" y="1228725"/>
          <a:ext cx="914400" cy="457200"/>
        </a:xfrm>
        <a:prstGeom prst="ellipse">
          <a:avLst/>
        </a:prstGeom>
        <a:solidFill>
          <a:srgbClr val="F79545"/>
        </a:solidFill>
        <a:ln w="9525" cap="flat" cmpd="sng">
          <a:solidFill>
            <a:srgbClr val="F79545"/>
          </a:solidFill>
          <a:prstDash val="solid"/>
          <a:miter/>
          <a:headEnd type="none" w="med" len="med"/>
          <a:tailEnd type="none" w="med" len="me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18288" tIns="0" rIns="0" bIns="0" anchor="ctr" upright="1"/>
        <a:lstStyle/>
        <a:p>
          <a:pPr algn="ctr"/>
          <a:r>
            <a:rPr lang="en-US" altLang="zh-CN" sz="1200" b="1">
              <a:solidFill>
                <a:srgbClr val="000000"/>
              </a:solidFill>
              <a:latin typeface="Arial Black" panose="00000000000000000000" charset="0"/>
              <a:ea typeface="Arial Black" panose="00000000000000000000" charset="0"/>
            </a:rPr>
            <a:t>DATA</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13</xdr:col>
      <xdr:colOff>370871</xdr:colOff>
      <xdr:row>9</xdr:row>
      <xdr:rowOff>151789</xdr:rowOff>
    </xdr:from>
    <xdr:to>
      <xdr:col>15</xdr:col>
      <xdr:colOff>37644</xdr:colOff>
      <xdr:row>12</xdr:row>
      <xdr:rowOff>37772</xdr:rowOff>
    </xdr:to>
    <xdr:sp macro="" textlink="">
      <xdr:nvSpPr>
        <xdr:cNvPr id="2" name="ellipse"/>
        <xdr:cNvSpPr/>
      </xdr:nvSpPr>
      <xdr:spPr>
        <a:xfrm>
          <a:off x="7419975" y="1123950"/>
          <a:ext cx="914400" cy="457200"/>
        </a:xfrm>
        <a:prstGeom prst="ellipse">
          <a:avLst/>
        </a:prstGeom>
        <a:solidFill>
          <a:srgbClr val="F79545"/>
        </a:solidFill>
        <a:ln w="9525" cap="flat" cmpd="sng">
          <a:solidFill>
            <a:srgbClr val="F79545"/>
          </a:solidFill>
          <a:prstDash val="solid"/>
          <a:miter/>
          <a:headEnd type="none" w="med" len="med"/>
          <a:tailEnd type="none" w="med" len="me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18288" tIns="0" rIns="0" bIns="0" anchor="ctr" upright="1"/>
        <a:lstStyle/>
        <a:p>
          <a:pPr algn="ctr"/>
          <a:r>
            <a:rPr lang="en-US" altLang="zh-CN" sz="1200" b="1">
              <a:solidFill>
                <a:srgbClr val="000000"/>
              </a:solidFill>
              <a:latin typeface="Arial Black" panose="00000000000000000000" charset="0"/>
              <a:ea typeface="Arial Black" panose="00000000000000000000" charset="0"/>
            </a:rPr>
            <a:t>DATA</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21</xdr:col>
      <xdr:colOff>85651</xdr:colOff>
      <xdr:row>4</xdr:row>
      <xdr:rowOff>37980</xdr:rowOff>
    </xdr:from>
    <xdr:to>
      <xdr:col>22</xdr:col>
      <xdr:colOff>389860</xdr:colOff>
      <xdr:row>7</xdr:row>
      <xdr:rowOff>189979</xdr:rowOff>
    </xdr:to>
    <xdr:sp macro="" textlink="">
      <xdr:nvSpPr>
        <xdr:cNvPr id="2" name="ellipse"/>
        <xdr:cNvSpPr/>
      </xdr:nvSpPr>
      <xdr:spPr>
        <a:xfrm>
          <a:off x="7505700" y="742950"/>
          <a:ext cx="914400" cy="640080"/>
        </a:xfrm>
        <a:prstGeom prst="ellipse">
          <a:avLst/>
        </a:prstGeom>
        <a:solidFill>
          <a:srgbClr val="F79545"/>
        </a:solidFill>
        <a:ln w="9525" cap="flat" cmpd="sng">
          <a:solidFill>
            <a:srgbClr val="F79545"/>
          </a:solidFill>
          <a:prstDash val="solid"/>
          <a:miter/>
          <a:headEnd type="none" w="med" len="med"/>
          <a:tailEnd type="none" w="med" len="me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18288" tIns="0" rIns="0" bIns="0" anchor="ctr" upright="1"/>
        <a:lstStyle/>
        <a:p>
          <a:pPr algn="ctr"/>
          <a:r>
            <a:rPr lang="en-US" altLang="zh-CN" sz="1400" b="1">
              <a:solidFill>
                <a:srgbClr val="FFFFFF"/>
              </a:solidFill>
              <a:latin typeface="+mj-lt" panose="00000000000000000000" charset="0"/>
              <a:ea typeface="+mj-lt" panose="00000000000000000000" charset="0"/>
            </a:rPr>
            <a:t>DATA</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37</xdr:col>
      <xdr:colOff>723154</xdr:colOff>
      <xdr:row>22</xdr:row>
      <xdr:rowOff>75455</xdr:rowOff>
    </xdr:from>
    <xdr:to>
      <xdr:col>38</xdr:col>
      <xdr:colOff>0</xdr:colOff>
      <xdr:row>22</xdr:row>
      <xdr:rowOff>177031</xdr:rowOff>
    </xdr:to>
    <xdr:sp macro="" textlink="">
      <xdr:nvSpPr>
        <xdr:cNvPr id="2" name="rightArrow"/>
        <xdr:cNvSpPr/>
      </xdr:nvSpPr>
      <xdr:spPr>
        <a:xfrm>
          <a:off x="17887950" y="4962525"/>
          <a:ext cx="228600" cy="95250"/>
        </a:xfrm>
        <a:prstGeom prst="rightArrow">
          <a:avLst/>
        </a:prstGeom>
        <a:solidFill>
          <a:srgbClr val="000000"/>
        </a:solidFill>
        <a:ln w="9525" cap="flat" cmpd="sng">
          <a:solidFill>
            <a:srgbClr val="000000"/>
          </a:solidFill>
          <a:prstDash val="solid"/>
          <a:miter/>
          <a:headEnd type="none" w="med" len="med"/>
          <a:tailEnd type="none" w="med" len="me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37</xdr:col>
      <xdr:colOff>732669</xdr:colOff>
      <xdr:row>23</xdr:row>
      <xdr:rowOff>75790</xdr:rowOff>
    </xdr:from>
    <xdr:to>
      <xdr:col>38</xdr:col>
      <xdr:colOff>0</xdr:colOff>
      <xdr:row>23</xdr:row>
      <xdr:rowOff>177365</xdr:rowOff>
    </xdr:to>
    <xdr:sp macro="" textlink="">
      <xdr:nvSpPr>
        <xdr:cNvPr id="3" name="rightArrow"/>
        <xdr:cNvSpPr/>
      </xdr:nvSpPr>
      <xdr:spPr>
        <a:xfrm>
          <a:off x="17897476" y="5210175"/>
          <a:ext cx="228600" cy="95250"/>
        </a:xfrm>
        <a:prstGeom prst="rightArrow">
          <a:avLst/>
        </a:prstGeom>
        <a:solidFill>
          <a:srgbClr val="000000"/>
        </a:solidFill>
        <a:ln w="9525" cap="flat" cmpd="sng">
          <a:solidFill>
            <a:srgbClr val="000000"/>
          </a:solidFill>
          <a:prstDash val="solid"/>
          <a:miter/>
          <a:headEnd type="none" w="med" len="med"/>
          <a:tailEnd type="none" w="med" len="me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37</xdr:col>
      <xdr:colOff>723154</xdr:colOff>
      <xdr:row>24</xdr:row>
      <xdr:rowOff>88031</xdr:rowOff>
    </xdr:from>
    <xdr:to>
      <xdr:col>38</xdr:col>
      <xdr:colOff>0</xdr:colOff>
      <xdr:row>24</xdr:row>
      <xdr:rowOff>189607</xdr:rowOff>
    </xdr:to>
    <xdr:sp macro="" textlink="">
      <xdr:nvSpPr>
        <xdr:cNvPr id="4" name="rightArrow"/>
        <xdr:cNvSpPr/>
      </xdr:nvSpPr>
      <xdr:spPr>
        <a:xfrm>
          <a:off x="17887950" y="5419725"/>
          <a:ext cx="228600" cy="95250"/>
        </a:xfrm>
        <a:prstGeom prst="rightArrow">
          <a:avLst/>
        </a:prstGeom>
        <a:solidFill>
          <a:srgbClr val="000000"/>
        </a:solidFill>
        <a:ln w="9525" cap="flat" cmpd="sng">
          <a:solidFill>
            <a:srgbClr val="000000"/>
          </a:solidFill>
          <a:prstDash val="solid"/>
          <a:miter/>
          <a:headEnd type="none" w="med" len="med"/>
          <a:tailEnd type="none" w="med" len="me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13</xdr:col>
      <xdr:colOff>437795</xdr:colOff>
      <xdr:row>1</xdr:row>
      <xdr:rowOff>253007</xdr:rowOff>
    </xdr:from>
    <xdr:to>
      <xdr:col>15</xdr:col>
      <xdr:colOff>142213</xdr:colOff>
      <xdr:row>6</xdr:row>
      <xdr:rowOff>152102</xdr:rowOff>
    </xdr:to>
    <xdr:sp macro="" textlink="">
      <xdr:nvSpPr>
        <xdr:cNvPr id="2" name="leftArrow"/>
        <xdr:cNvSpPr/>
      </xdr:nvSpPr>
      <xdr:spPr>
        <a:xfrm>
          <a:off x="7458075" y="457200"/>
          <a:ext cx="1238250" cy="1076325"/>
        </a:xfrm>
        <a:prstGeom prst="leftArrow">
          <a:avLst/>
        </a:prstGeom>
        <a:gradFill>
          <a:gsLst>
            <a:gs pos="0">
              <a:srgbClr val="FF3399"/>
            </a:gs>
            <a:gs pos="25000">
              <a:srgbClr val="FF6633"/>
            </a:gs>
            <a:gs pos="50000">
              <a:srgbClr val="FFFF00"/>
            </a:gs>
            <a:gs pos="75000">
              <a:srgbClr val="00A78F"/>
            </a:gs>
            <a:gs pos="100000">
              <a:srgbClr val="3365FF"/>
            </a:gs>
          </a:gsLst>
          <a:lin ang="0" scaled="1"/>
        </a:gradFill>
        <a:ln w="9525" cap="flat" cmpd="sng">
          <a:solidFill>
            <a:srgbClr val="4BABC5"/>
          </a:solidFill>
          <a:prstDash val="solid"/>
          <a:miter/>
          <a:headEnd type="none" w="med" len="med"/>
          <a:tailEnd type="none" w="med" len="me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18288" tIns="0" rIns="0" bIns="0" anchor="ctr" upright="1"/>
        <a:lstStyle/>
        <a:p>
          <a:pPr algn="ctr"/>
          <a:r>
            <a:rPr lang="en-US" altLang="zh-CN" sz="1100" b="1">
              <a:solidFill>
                <a:srgbClr val="000000"/>
              </a:solidFill>
              <a:latin typeface="Arial" panose="00000000000000000000" charset="0"/>
              <a:ea typeface="Arial" panose="00000000000000000000" charset="0"/>
            </a:rPr>
            <a:t>DATA</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hyperlink" Target="https://teachernews.in/ap-da-jan-2019/" TargetMode="External"/><Relationship Id="rId1" Type="http://schemas.openxmlformats.org/officeDocument/2006/relationships/hyperlink" Target="https://teachernews.in/ap-da-jul-2018/"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sheetPr>
    <tabColor rgb="FFFF0000"/>
  </sheetPr>
  <dimension ref="A1:IV133"/>
  <sheetViews>
    <sheetView showGridLines="0" showRowColHeaders="0" topLeftCell="A2" workbookViewId="0">
      <selection activeCell="C19" sqref="C19"/>
    </sheetView>
  </sheetViews>
  <sheetFormatPr defaultColWidth="0" defaultRowHeight="12.75" customHeight="1" zeroHeight="1"/>
  <cols>
    <col min="1" max="1" width="4.5703125" style="1" customWidth="1"/>
    <col min="2" max="2" width="5.5703125" style="2" customWidth="1"/>
    <col min="3" max="3" width="132.28515625" style="1" customWidth="1"/>
    <col min="4" max="19" width="9.140625" style="3" hidden="1" customWidth="1"/>
    <col min="20" max="16384" width="9.140625" hidden="1"/>
  </cols>
  <sheetData>
    <row r="1" spans="1:256" ht="17.25" customHeight="1"/>
    <row r="2" spans="1:256" s="4" customFormat="1" ht="45" customHeight="1">
      <c r="A2" s="1"/>
      <c r="B2" s="1785" t="s">
        <v>810</v>
      </c>
      <c r="C2" s="1785"/>
      <c r="D2" s="5"/>
      <c r="E2" s="6"/>
      <c r="F2" s="7"/>
      <c r="G2" s="7"/>
      <c r="H2" s="7"/>
      <c r="I2" s="7"/>
      <c r="J2" s="7"/>
      <c r="K2" s="7"/>
      <c r="L2" s="7"/>
      <c r="M2" s="7"/>
      <c r="N2" s="7"/>
      <c r="O2" s="7"/>
      <c r="P2" s="7"/>
      <c r="Q2" s="7"/>
      <c r="R2" s="7"/>
      <c r="S2" s="7"/>
    </row>
    <row r="3" spans="1:256" s="8" customFormat="1" ht="20.25" customHeight="1">
      <c r="A3" s="1"/>
      <c r="B3" s="1786" t="s">
        <v>553</v>
      </c>
      <c r="C3" s="1786"/>
      <c r="D3" s="1786"/>
      <c r="E3" s="1786"/>
      <c r="F3" s="1786"/>
      <c r="G3" s="1786"/>
      <c r="H3" s="1786"/>
      <c r="I3" s="1786"/>
      <c r="J3" s="1786"/>
      <c r="K3" s="1786"/>
      <c r="L3" s="1786"/>
      <c r="M3" s="1786"/>
      <c r="N3" s="1786"/>
      <c r="O3" s="1786"/>
      <c r="P3" s="1786"/>
      <c r="Q3" s="1786"/>
      <c r="R3" s="1786"/>
      <c r="S3" s="1786"/>
      <c r="T3" s="1786"/>
      <c r="U3" s="1786"/>
      <c r="V3" s="1786"/>
      <c r="W3" s="1786"/>
      <c r="X3" s="1786"/>
      <c r="Y3" s="1786"/>
      <c r="Z3" s="1786"/>
      <c r="AA3" s="1786"/>
      <c r="AB3" s="1786"/>
      <c r="AC3" s="1786"/>
      <c r="AD3" s="1786"/>
      <c r="AE3" s="1786"/>
      <c r="AF3" s="1786"/>
      <c r="AG3" s="1786"/>
      <c r="AH3" s="1786"/>
      <c r="AI3" s="1786"/>
      <c r="AJ3" s="1786"/>
      <c r="AK3" s="1786"/>
      <c r="AL3" s="1786"/>
      <c r="AM3" s="1786"/>
      <c r="AN3" s="1786"/>
      <c r="AO3" s="1786"/>
      <c r="AP3" s="1786"/>
      <c r="AQ3" s="1786"/>
      <c r="AR3" s="1786"/>
      <c r="AS3" s="1786"/>
      <c r="AT3" s="1786"/>
      <c r="AU3" s="1786"/>
      <c r="AV3" s="1786"/>
      <c r="AW3" s="1786"/>
      <c r="AX3" s="1786"/>
      <c r="AY3" s="1786"/>
      <c r="AZ3" s="1786"/>
      <c r="BA3" s="1786"/>
      <c r="BB3" s="1786"/>
      <c r="BC3" s="1786"/>
      <c r="BD3" s="1786"/>
      <c r="BE3" s="1786"/>
      <c r="BF3" s="1786"/>
      <c r="BG3" s="1786"/>
      <c r="BH3" s="1786"/>
      <c r="BI3" s="1786"/>
      <c r="BJ3" s="1786"/>
      <c r="BK3" s="1786"/>
      <c r="BL3" s="1786"/>
      <c r="BM3" s="1786"/>
      <c r="BN3" s="1786"/>
      <c r="BO3" s="1786"/>
      <c r="BP3" s="1786"/>
      <c r="BQ3" s="1786"/>
      <c r="BR3" s="1786"/>
      <c r="BS3" s="1786"/>
      <c r="BT3" s="1786"/>
      <c r="BU3" s="1786"/>
      <c r="BV3" s="1786"/>
      <c r="BW3" s="1786"/>
      <c r="BX3" s="1786"/>
      <c r="BY3" s="1786"/>
      <c r="BZ3" s="1786"/>
      <c r="CA3" s="1786"/>
      <c r="CB3" s="1786"/>
      <c r="CC3" s="1786"/>
      <c r="CD3" s="1786"/>
      <c r="CE3" s="1786"/>
      <c r="CF3" s="1786"/>
      <c r="CG3" s="1786"/>
      <c r="CH3" s="1786"/>
      <c r="CI3" s="1786"/>
      <c r="CJ3" s="1786"/>
      <c r="CK3" s="1786"/>
      <c r="CL3" s="1786"/>
      <c r="CM3" s="1786"/>
      <c r="CN3" s="1786"/>
      <c r="CO3" s="1786"/>
      <c r="CP3" s="1786"/>
      <c r="CQ3" s="1786"/>
      <c r="CR3" s="1786"/>
      <c r="CS3" s="1786"/>
      <c r="CT3" s="1786"/>
      <c r="CU3" s="1786"/>
      <c r="CV3" s="1786"/>
      <c r="CW3" s="1786"/>
      <c r="CX3" s="1786"/>
      <c r="CY3" s="1786"/>
      <c r="CZ3" s="1786"/>
      <c r="DA3" s="1786"/>
      <c r="DB3" s="1786"/>
      <c r="DC3" s="1786"/>
      <c r="DD3" s="1786"/>
      <c r="DE3" s="1786"/>
      <c r="DF3" s="1786"/>
      <c r="DG3" s="1786"/>
      <c r="DH3" s="1786"/>
      <c r="DI3" s="1786"/>
      <c r="DJ3" s="1786"/>
      <c r="DK3" s="1786"/>
      <c r="DL3" s="1786"/>
      <c r="DM3" s="1786"/>
      <c r="DN3" s="1786"/>
      <c r="DO3" s="1786"/>
      <c r="DP3" s="1786"/>
      <c r="DQ3" s="1786"/>
      <c r="DR3" s="1786"/>
      <c r="DS3" s="1786"/>
      <c r="DT3" s="1786"/>
      <c r="DU3" s="1786"/>
      <c r="DV3" s="1786"/>
      <c r="DW3" s="1786"/>
      <c r="DX3" s="1786"/>
      <c r="DY3" s="1786"/>
      <c r="DZ3" s="1786"/>
      <c r="EA3" s="1786"/>
      <c r="EB3" s="1786"/>
      <c r="EC3" s="1786"/>
      <c r="ED3" s="1786"/>
      <c r="EE3" s="1786"/>
      <c r="EF3" s="1786"/>
      <c r="EG3" s="1786"/>
      <c r="EH3" s="1786"/>
      <c r="EI3" s="1786"/>
      <c r="EJ3" s="1786"/>
      <c r="EK3" s="1786"/>
      <c r="EL3" s="1786"/>
      <c r="EM3" s="1786"/>
      <c r="EN3" s="1786"/>
      <c r="EO3" s="1786"/>
      <c r="EP3" s="1786"/>
      <c r="EQ3" s="1786"/>
      <c r="ER3" s="1786"/>
      <c r="ES3" s="1786"/>
      <c r="ET3" s="1786"/>
      <c r="EU3" s="1786"/>
      <c r="EV3" s="1786"/>
      <c r="EW3" s="1786"/>
      <c r="EX3" s="1786"/>
      <c r="EY3" s="1786"/>
      <c r="EZ3" s="1786"/>
      <c r="FA3" s="1786"/>
      <c r="FB3" s="1786"/>
      <c r="FC3" s="1786"/>
      <c r="FD3" s="1786"/>
      <c r="FE3" s="1786"/>
      <c r="FF3" s="1786"/>
      <c r="FG3" s="1786"/>
      <c r="FH3" s="1786"/>
      <c r="FI3" s="1786"/>
      <c r="FJ3" s="1786"/>
      <c r="FK3" s="1786"/>
      <c r="FL3" s="1786"/>
      <c r="FM3" s="1786"/>
      <c r="FN3" s="1786"/>
      <c r="FO3" s="1786"/>
      <c r="FP3" s="1786"/>
      <c r="FQ3" s="1786"/>
      <c r="FR3" s="1786"/>
      <c r="FS3" s="1786"/>
      <c r="FT3" s="1786"/>
      <c r="FU3" s="1786"/>
      <c r="FV3" s="1786"/>
      <c r="FW3" s="1786"/>
      <c r="FX3" s="1786"/>
      <c r="FY3" s="1786"/>
      <c r="FZ3" s="1786"/>
      <c r="GA3" s="1786"/>
      <c r="GB3" s="1786"/>
      <c r="GC3" s="1786"/>
      <c r="GD3" s="1786"/>
      <c r="GE3" s="1786"/>
      <c r="GF3" s="1786"/>
      <c r="GG3" s="1786"/>
      <c r="GH3" s="1786"/>
      <c r="GI3" s="1786"/>
      <c r="GJ3" s="1786"/>
      <c r="GK3" s="1786"/>
      <c r="GL3" s="1786"/>
      <c r="GM3" s="1786"/>
      <c r="GN3" s="1786"/>
      <c r="GO3" s="1786"/>
      <c r="GP3" s="1786"/>
      <c r="GQ3" s="1786"/>
      <c r="GR3" s="1786"/>
      <c r="GS3" s="1786"/>
      <c r="GT3" s="1786"/>
      <c r="GU3" s="1786"/>
      <c r="GV3" s="1786"/>
      <c r="GW3" s="1786"/>
      <c r="GX3" s="1786"/>
      <c r="GY3" s="1786"/>
      <c r="GZ3" s="1786"/>
      <c r="HA3" s="1786"/>
      <c r="HB3" s="1786"/>
      <c r="HC3" s="1786"/>
      <c r="HD3" s="1786"/>
      <c r="HE3" s="1786"/>
      <c r="HF3" s="1786"/>
      <c r="HG3" s="1786"/>
      <c r="HH3" s="1786"/>
      <c r="HI3" s="1786"/>
      <c r="HJ3" s="1786"/>
      <c r="HK3" s="1786"/>
      <c r="HL3" s="1786"/>
      <c r="HM3" s="1786"/>
      <c r="HN3" s="1786"/>
      <c r="HO3" s="1786"/>
      <c r="HP3" s="1786"/>
      <c r="HQ3" s="1786"/>
      <c r="HR3" s="1786"/>
      <c r="HS3" s="1786"/>
      <c r="HT3" s="1786"/>
      <c r="HU3" s="1786"/>
      <c r="HV3" s="1786"/>
      <c r="HW3" s="1786"/>
      <c r="HX3" s="1786"/>
      <c r="HY3" s="1786"/>
      <c r="HZ3" s="1786"/>
      <c r="IA3" s="1786"/>
      <c r="IB3" s="1786"/>
      <c r="IC3" s="1786"/>
      <c r="ID3" s="1786"/>
      <c r="IE3" s="1786"/>
      <c r="IF3" s="1786"/>
      <c r="IG3" s="1786"/>
      <c r="IH3" s="1786"/>
      <c r="II3" s="1786"/>
      <c r="IJ3" s="1786"/>
      <c r="IK3" s="1786"/>
      <c r="IL3" s="1786"/>
      <c r="IM3" s="1786"/>
      <c r="IN3" s="1786"/>
      <c r="IO3" s="1786"/>
      <c r="IP3" s="1786"/>
      <c r="IQ3" s="1786"/>
      <c r="IR3" s="1786"/>
      <c r="IS3" s="1786"/>
      <c r="IT3" s="1786"/>
      <c r="IU3" s="1786"/>
      <c r="IV3" s="1786"/>
    </row>
    <row r="4" spans="1:256" s="4" customFormat="1" ht="21.75" customHeight="1">
      <c r="A4" s="1"/>
      <c r="B4" s="1787" t="s">
        <v>811</v>
      </c>
      <c r="C4" s="1787"/>
      <c r="D4" s="5"/>
      <c r="E4" s="6"/>
      <c r="F4" s="7"/>
      <c r="G4" s="7"/>
      <c r="H4" s="7"/>
      <c r="I4" s="7"/>
      <c r="J4" s="7"/>
      <c r="K4" s="7"/>
      <c r="L4" s="7"/>
      <c r="M4" s="7"/>
      <c r="N4" s="7"/>
      <c r="O4" s="7"/>
      <c r="P4" s="7"/>
      <c r="Q4" s="7"/>
      <c r="R4" s="7"/>
      <c r="S4" s="7"/>
    </row>
    <row r="5" spans="1:256" s="4" customFormat="1" ht="14.25" customHeight="1">
      <c r="A5" s="1"/>
      <c r="B5" s="9"/>
      <c r="C5" s="10" t="s">
        <v>415</v>
      </c>
      <c r="D5" s="7"/>
      <c r="E5" s="7"/>
      <c r="F5" s="7"/>
      <c r="G5" s="7"/>
      <c r="H5" s="7"/>
      <c r="I5" s="7"/>
      <c r="J5" s="7"/>
      <c r="K5" s="7"/>
      <c r="L5" s="7"/>
      <c r="M5" s="7"/>
      <c r="N5" s="7"/>
      <c r="O5" s="7"/>
      <c r="P5" s="7"/>
      <c r="Q5" s="7"/>
      <c r="R5" s="7"/>
      <c r="S5" s="7"/>
    </row>
    <row r="6" spans="1:256" ht="14.25" customHeight="1">
      <c r="B6" s="11">
        <v>1</v>
      </c>
      <c r="C6" s="12" t="s">
        <v>812</v>
      </c>
    </row>
    <row r="7" spans="1:256" s="13" customFormat="1" ht="14.25" hidden="1" customHeight="1">
      <c r="A7" s="14"/>
      <c r="B7" s="11">
        <v>2</v>
      </c>
      <c r="C7" s="15" t="s">
        <v>416</v>
      </c>
      <c r="D7" s="16"/>
      <c r="E7" s="16"/>
      <c r="F7" s="16"/>
      <c r="G7" s="16"/>
      <c r="H7" s="16"/>
      <c r="I7" s="16"/>
      <c r="J7" s="16"/>
      <c r="K7" s="16"/>
      <c r="L7" s="16"/>
      <c r="M7" s="16"/>
      <c r="N7" s="16"/>
      <c r="O7" s="16"/>
      <c r="P7" s="16"/>
      <c r="Q7" s="16"/>
      <c r="R7" s="16"/>
      <c r="S7" s="16"/>
    </row>
    <row r="8" spans="1:256" ht="15" customHeight="1">
      <c r="B8" s="11">
        <v>2</v>
      </c>
      <c r="C8" s="12" t="s">
        <v>417</v>
      </c>
    </row>
    <row r="9" spans="1:256" ht="14.25" customHeight="1">
      <c r="B9" s="11"/>
      <c r="C9" s="12"/>
    </row>
    <row r="10" spans="1:256" ht="14.25" customHeight="1">
      <c r="B10" s="11"/>
      <c r="C10" s="17" t="s">
        <v>418</v>
      </c>
    </row>
    <row r="11" spans="1:256" ht="14.25" customHeight="1">
      <c r="B11" s="11" t="s">
        <v>419</v>
      </c>
      <c r="C11" s="12" t="s">
        <v>420</v>
      </c>
    </row>
    <row r="12" spans="1:256" ht="14.25" customHeight="1">
      <c r="B12" s="11" t="s">
        <v>421</v>
      </c>
      <c r="C12" s="12" t="s">
        <v>422</v>
      </c>
    </row>
    <row r="13" spans="1:256" ht="14.25" customHeight="1">
      <c r="B13" s="11" t="s">
        <v>423</v>
      </c>
      <c r="C13" s="12" t="s">
        <v>424</v>
      </c>
    </row>
    <row r="14" spans="1:256" ht="14.25" hidden="1" customHeight="1">
      <c r="B14" s="11" t="s">
        <v>425</v>
      </c>
      <c r="C14" s="15" t="s">
        <v>426</v>
      </c>
    </row>
    <row r="15" spans="1:256" ht="14.25" customHeight="1">
      <c r="B15" s="11" t="s">
        <v>425</v>
      </c>
      <c r="C15" s="12" t="s">
        <v>427</v>
      </c>
    </row>
    <row r="16" spans="1:256" ht="14.25" customHeight="1">
      <c r="B16" s="11" t="s">
        <v>428</v>
      </c>
      <c r="C16" s="12" t="s">
        <v>429</v>
      </c>
    </row>
    <row r="17" spans="1:19" s="18" customFormat="1" ht="14.25" customHeight="1">
      <c r="A17" s="19"/>
      <c r="B17" s="11" t="s">
        <v>430</v>
      </c>
      <c r="C17" s="12" t="s">
        <v>569</v>
      </c>
      <c r="D17" s="20"/>
      <c r="E17" s="20"/>
      <c r="F17" s="20"/>
      <c r="G17" s="20"/>
      <c r="H17" s="20"/>
      <c r="I17" s="20"/>
      <c r="J17" s="20"/>
      <c r="K17" s="20"/>
      <c r="L17" s="20"/>
      <c r="M17" s="20"/>
      <c r="N17" s="20"/>
      <c r="O17" s="20"/>
      <c r="P17" s="20"/>
      <c r="Q17" s="20"/>
      <c r="R17" s="20"/>
      <c r="S17" s="20"/>
    </row>
    <row r="18" spans="1:19" ht="14.25" customHeight="1">
      <c r="B18" s="11" t="s">
        <v>431</v>
      </c>
      <c r="C18" s="12" t="s">
        <v>432</v>
      </c>
    </row>
    <row r="19" spans="1:19" ht="14.25" customHeight="1">
      <c r="B19" s="11" t="s">
        <v>433</v>
      </c>
      <c r="C19" s="12" t="s">
        <v>434</v>
      </c>
    </row>
    <row r="20" spans="1:19" ht="14.25" customHeight="1">
      <c r="B20" s="11" t="s">
        <v>316</v>
      </c>
      <c r="C20" s="12" t="s">
        <v>435</v>
      </c>
    </row>
    <row r="21" spans="1:19" ht="14.25" customHeight="1">
      <c r="B21" s="11" t="s">
        <v>436</v>
      </c>
      <c r="C21" s="12" t="s">
        <v>437</v>
      </c>
    </row>
    <row r="22" spans="1:19" ht="14.25" customHeight="1">
      <c r="B22" s="11" t="s">
        <v>438</v>
      </c>
      <c r="C22" s="12" t="s">
        <v>439</v>
      </c>
    </row>
    <row r="23" spans="1:19" ht="14.25" customHeight="1">
      <c r="B23" s="11" t="s">
        <v>440</v>
      </c>
      <c r="C23" s="12" t="s">
        <v>441</v>
      </c>
    </row>
    <row r="24" spans="1:19" ht="14.25" customHeight="1">
      <c r="B24" s="11" t="s">
        <v>442</v>
      </c>
      <c r="C24" s="12" t="s">
        <v>443</v>
      </c>
    </row>
    <row r="25" spans="1:19" ht="14.25" customHeight="1">
      <c r="B25" s="11" t="s">
        <v>444</v>
      </c>
      <c r="C25" s="12" t="s">
        <v>445</v>
      </c>
    </row>
    <row r="26" spans="1:19" ht="14.25" customHeight="1">
      <c r="B26" s="11"/>
      <c r="C26" s="21" t="s">
        <v>446</v>
      </c>
    </row>
    <row r="27" spans="1:19" ht="14.25" customHeight="1">
      <c r="B27" s="11" t="s">
        <v>447</v>
      </c>
      <c r="C27" s="12" t="s">
        <v>448</v>
      </c>
    </row>
    <row r="28" spans="1:19" ht="14.25" customHeight="1">
      <c r="B28" s="11" t="s">
        <v>449</v>
      </c>
      <c r="C28" s="12" t="s">
        <v>450</v>
      </c>
    </row>
    <row r="29" spans="1:19" ht="14.25" customHeight="1">
      <c r="B29" s="11" t="s">
        <v>451</v>
      </c>
      <c r="C29" s="12" t="s">
        <v>452</v>
      </c>
    </row>
    <row r="30" spans="1:19" ht="14.25" customHeight="1">
      <c r="B30" s="11" t="s">
        <v>453</v>
      </c>
      <c r="C30" s="12" t="s">
        <v>454</v>
      </c>
    </row>
    <row r="31" spans="1:19" ht="14.25" customHeight="1">
      <c r="B31" s="11" t="s">
        <v>455</v>
      </c>
      <c r="C31" s="12" t="s">
        <v>456</v>
      </c>
    </row>
    <row r="32" spans="1:19" ht="14.25" customHeight="1">
      <c r="B32" s="11" t="s">
        <v>457</v>
      </c>
      <c r="C32" s="12" t="s">
        <v>458</v>
      </c>
    </row>
    <row r="33" spans="2:3" ht="14.25" customHeight="1">
      <c r="B33" s="11" t="s">
        <v>459</v>
      </c>
      <c r="C33" s="12" t="s">
        <v>460</v>
      </c>
    </row>
    <row r="34" spans="2:3" ht="14.25" customHeight="1">
      <c r="B34" s="11" t="s">
        <v>461</v>
      </c>
      <c r="C34" s="12" t="s">
        <v>462</v>
      </c>
    </row>
    <row r="35" spans="2:3" ht="14.25" customHeight="1">
      <c r="B35" s="11" t="s">
        <v>313</v>
      </c>
      <c r="C35" s="12" t="s">
        <v>463</v>
      </c>
    </row>
    <row r="36" spans="2:3" ht="14.25" customHeight="1">
      <c r="B36" s="11" t="s">
        <v>464</v>
      </c>
      <c r="C36" s="12" t="s">
        <v>465</v>
      </c>
    </row>
    <row r="37" spans="2:3" ht="14.25" customHeight="1">
      <c r="B37" s="11" t="s">
        <v>466</v>
      </c>
      <c r="C37" s="12" t="s">
        <v>467</v>
      </c>
    </row>
    <row r="38" spans="2:3" ht="14.25" customHeight="1">
      <c r="B38" s="11" t="s">
        <v>468</v>
      </c>
      <c r="C38" s="12" t="s">
        <v>469</v>
      </c>
    </row>
    <row r="39" spans="2:3" ht="14.25" customHeight="1">
      <c r="B39" s="11" t="s">
        <v>470</v>
      </c>
      <c r="C39" s="12" t="s">
        <v>471</v>
      </c>
    </row>
    <row r="40" spans="2:3" ht="14.25" hidden="1" customHeight="1">
      <c r="B40" s="11">
        <v>6</v>
      </c>
      <c r="C40" s="15" t="s">
        <v>472</v>
      </c>
    </row>
    <row r="41" spans="2:3" ht="17.25" customHeight="1">
      <c r="B41" s="11"/>
      <c r="C41" s="22" t="s">
        <v>823</v>
      </c>
    </row>
    <row r="42" spans="2:3" ht="14.25" customHeight="1">
      <c r="B42" s="11"/>
      <c r="C42" s="23" t="s">
        <v>473</v>
      </c>
    </row>
    <row r="43" spans="2:3" ht="14.25" customHeight="1">
      <c r="B43" s="11"/>
      <c r="C43" s="24" t="s">
        <v>474</v>
      </c>
    </row>
    <row r="44" spans="2:3" ht="14.25" customHeight="1">
      <c r="B44" s="11"/>
      <c r="C44" s="25" t="s">
        <v>475</v>
      </c>
    </row>
    <row r="45" spans="2:3" ht="14.25" customHeight="1">
      <c r="B45" s="11"/>
      <c r="C45" s="25" t="s">
        <v>631</v>
      </c>
    </row>
    <row r="46" spans="2:3" ht="14.25" customHeight="1">
      <c r="B46" s="11"/>
      <c r="C46" s="25" t="s">
        <v>476</v>
      </c>
    </row>
    <row r="47" spans="2:3" ht="14.25" customHeight="1">
      <c r="B47" s="11"/>
      <c r="C47" s="25" t="s">
        <v>477</v>
      </c>
    </row>
    <row r="48" spans="2:3" ht="14.25" customHeight="1">
      <c r="B48" s="11"/>
      <c r="C48" s="26" t="s">
        <v>824</v>
      </c>
    </row>
    <row r="49" spans="1:19" ht="14.25" customHeight="1">
      <c r="B49" s="11"/>
      <c r="C49" s="27" t="s">
        <v>478</v>
      </c>
    </row>
    <row r="50" spans="1:19" ht="14.25" customHeight="1">
      <c r="B50" s="11"/>
      <c r="C50" s="28" t="s">
        <v>479</v>
      </c>
    </row>
    <row r="51" spans="1:19" ht="14.25" customHeight="1">
      <c r="B51" s="11"/>
      <c r="C51" s="25" t="s">
        <v>480</v>
      </c>
    </row>
    <row r="52" spans="1:19" ht="14.25" customHeight="1">
      <c r="B52" s="11"/>
      <c r="C52" s="29" t="s">
        <v>632</v>
      </c>
    </row>
    <row r="53" spans="1:19" ht="14.25" customHeight="1">
      <c r="B53" s="11"/>
      <c r="C53" s="25" t="s">
        <v>481</v>
      </c>
    </row>
    <row r="54" spans="1:19" ht="14.25" customHeight="1">
      <c r="B54" s="11"/>
      <c r="C54" s="25" t="s">
        <v>482</v>
      </c>
    </row>
    <row r="55" spans="1:19" ht="14.25" customHeight="1">
      <c r="B55" s="11"/>
      <c r="C55" s="30" t="s">
        <v>825</v>
      </c>
    </row>
    <row r="56" spans="1:19" ht="14.25" customHeight="1">
      <c r="B56" s="11"/>
      <c r="C56" s="31" t="s">
        <v>483</v>
      </c>
    </row>
    <row r="57" spans="1:19" ht="14.25" customHeight="1">
      <c r="B57" s="11"/>
      <c r="C57" s="32" t="s">
        <v>479</v>
      </c>
    </row>
    <row r="58" spans="1:19" ht="14.25" customHeight="1">
      <c r="B58" s="11"/>
      <c r="C58" s="25" t="s">
        <v>484</v>
      </c>
    </row>
    <row r="59" spans="1:19" ht="14.25" customHeight="1">
      <c r="B59" s="11"/>
      <c r="C59" s="25" t="s">
        <v>485</v>
      </c>
    </row>
    <row r="60" spans="1:19" ht="14.25" customHeight="1">
      <c r="B60" s="11"/>
      <c r="C60" s="33" t="s">
        <v>486</v>
      </c>
    </row>
    <row r="61" spans="1:19" ht="14.25" customHeight="1">
      <c r="B61" s="11"/>
      <c r="C61" s="34" t="s">
        <v>738</v>
      </c>
    </row>
    <row r="62" spans="1:19" ht="19.5" customHeight="1">
      <c r="C62" s="35" t="s">
        <v>487</v>
      </c>
    </row>
    <row r="63" spans="1:19" ht="12" customHeight="1">
      <c r="B63" s="36"/>
      <c r="C63" s="1" t="s">
        <v>488</v>
      </c>
    </row>
    <row r="64" spans="1:19" s="37" customFormat="1" ht="104.25" customHeight="1">
      <c r="A64" s="38"/>
      <c r="B64" s="39"/>
      <c r="C64" s="40" t="s">
        <v>826</v>
      </c>
      <c r="D64" s="41"/>
      <c r="E64" s="41"/>
      <c r="F64" s="41"/>
      <c r="G64" s="41"/>
      <c r="H64" s="41"/>
      <c r="I64" s="41"/>
      <c r="J64" s="41"/>
      <c r="K64" s="41"/>
      <c r="L64" s="41"/>
      <c r="M64" s="41"/>
      <c r="N64" s="41"/>
      <c r="O64" s="41"/>
      <c r="P64" s="41"/>
      <c r="Q64" s="41"/>
      <c r="R64" s="41"/>
      <c r="S64" s="41"/>
    </row>
    <row r="65" spans="2:3" ht="52.5" customHeight="1">
      <c r="B65" s="42"/>
      <c r="C65" s="43" t="s">
        <v>984</v>
      </c>
    </row>
    <row r="66" spans="2:3" hidden="1">
      <c r="B66" s="44"/>
      <c r="C66" s="45" t="s">
        <v>489</v>
      </c>
    </row>
    <row r="67" spans="2:3" ht="36" hidden="1">
      <c r="B67" s="46"/>
      <c r="C67" s="47" t="s">
        <v>490</v>
      </c>
    </row>
    <row r="68" spans="2:3" hidden="1">
      <c r="B68" s="48"/>
      <c r="C68" s="49" t="s">
        <v>491</v>
      </c>
    </row>
    <row r="69" spans="2:3" hidden="1">
      <c r="B69" s="50"/>
      <c r="C69" s="51" t="s">
        <v>492</v>
      </c>
    </row>
    <row r="70" spans="2:3" hidden="1">
      <c r="B70" s="52"/>
      <c r="C70" s="51" t="s">
        <v>493</v>
      </c>
    </row>
    <row r="71" spans="2:3" hidden="1">
      <c r="B71" s="52"/>
      <c r="C71" s="51" t="s">
        <v>494</v>
      </c>
    </row>
    <row r="72" spans="2:3" hidden="1">
      <c r="B72" s="53"/>
      <c r="C72" s="54" t="s">
        <v>495</v>
      </c>
    </row>
    <row r="73" spans="2:3" hidden="1">
      <c r="B73" s="50"/>
      <c r="C73" s="55" t="s">
        <v>496</v>
      </c>
    </row>
    <row r="74" spans="2:3" ht="14.25" hidden="1" customHeight="1">
      <c r="C74" s="56" t="s">
        <v>497</v>
      </c>
    </row>
    <row r="75" spans="2:3" ht="27" hidden="1" customHeight="1">
      <c r="B75" s="57"/>
      <c r="C75" s="58" t="s">
        <v>498</v>
      </c>
    </row>
    <row r="76" spans="2:3" ht="15" customHeight="1">
      <c r="B76" s="59"/>
      <c r="C76" s="60" t="s">
        <v>499</v>
      </c>
    </row>
    <row r="77" spans="2:3" ht="16.5" customHeight="1">
      <c r="B77" s="61" t="s">
        <v>419</v>
      </c>
      <c r="C77" s="62" t="s">
        <v>500</v>
      </c>
    </row>
    <row r="78" spans="2:3" ht="24">
      <c r="B78" s="63" t="s">
        <v>421</v>
      </c>
      <c r="C78" s="64" t="s">
        <v>501</v>
      </c>
    </row>
    <row r="79" spans="2:3" ht="17.25" customHeight="1">
      <c r="B79" s="63" t="s">
        <v>423</v>
      </c>
      <c r="C79" s="64" t="s">
        <v>827</v>
      </c>
    </row>
    <row r="80" spans="2:3" ht="27" hidden="1" customHeight="1">
      <c r="B80" s="63" t="s">
        <v>425</v>
      </c>
      <c r="C80" s="64" t="s">
        <v>502</v>
      </c>
    </row>
    <row r="81" spans="1:19" ht="39" customHeight="1">
      <c r="B81" s="63" t="s">
        <v>503</v>
      </c>
      <c r="C81" s="65" t="s">
        <v>813</v>
      </c>
    </row>
    <row r="82" spans="1:19" ht="18" customHeight="1">
      <c r="B82" s="63" t="s">
        <v>504</v>
      </c>
      <c r="C82" s="64" t="s">
        <v>505</v>
      </c>
    </row>
    <row r="83" spans="1:19" ht="41.25" customHeight="1">
      <c r="B83" s="63" t="s">
        <v>428</v>
      </c>
      <c r="C83" s="66" t="s">
        <v>506</v>
      </c>
    </row>
    <row r="84" spans="1:19" ht="35.25" customHeight="1">
      <c r="B84" s="67" t="s">
        <v>430</v>
      </c>
      <c r="C84" s="68" t="s">
        <v>507</v>
      </c>
    </row>
    <row r="85" spans="1:19" ht="41.25" customHeight="1">
      <c r="B85" s="63" t="s">
        <v>431</v>
      </c>
      <c r="C85" s="69" t="s">
        <v>508</v>
      </c>
    </row>
    <row r="86" spans="1:19" ht="36.75" customHeight="1">
      <c r="B86" s="63" t="s">
        <v>433</v>
      </c>
      <c r="C86" s="65" t="s">
        <v>814</v>
      </c>
    </row>
    <row r="87" spans="1:19" ht="24.75" customHeight="1">
      <c r="B87" s="63" t="s">
        <v>316</v>
      </c>
      <c r="C87" s="65" t="s">
        <v>568</v>
      </c>
    </row>
    <row r="88" spans="1:19" s="70" customFormat="1" ht="64.5" customHeight="1">
      <c r="A88" s="71"/>
      <c r="B88" s="63" t="s">
        <v>436</v>
      </c>
      <c r="C88" s="72" t="s">
        <v>509</v>
      </c>
      <c r="D88" s="73"/>
      <c r="E88" s="73"/>
      <c r="F88" s="73"/>
      <c r="G88" s="73"/>
      <c r="H88" s="73"/>
      <c r="I88" s="73"/>
      <c r="J88" s="73"/>
      <c r="K88" s="73"/>
      <c r="L88" s="73"/>
      <c r="M88" s="73"/>
      <c r="N88" s="73"/>
      <c r="O88" s="73"/>
      <c r="P88" s="73"/>
      <c r="Q88" s="73"/>
      <c r="R88" s="73"/>
      <c r="S88" s="73"/>
    </row>
    <row r="89" spans="1:19" ht="18" customHeight="1">
      <c r="B89" s="63" t="s">
        <v>438</v>
      </c>
      <c r="C89" s="65" t="s">
        <v>510</v>
      </c>
    </row>
    <row r="90" spans="1:19" ht="15" customHeight="1">
      <c r="B90" s="63" t="s">
        <v>440</v>
      </c>
      <c r="C90" s="74" t="s">
        <v>511</v>
      </c>
    </row>
    <row r="91" spans="1:19" ht="25.5" customHeight="1">
      <c r="B91" s="75" t="s">
        <v>442</v>
      </c>
      <c r="C91" s="74" t="s">
        <v>512</v>
      </c>
    </row>
    <row r="92" spans="1:19" ht="25.5" customHeight="1">
      <c r="B92" s="53" t="s">
        <v>444</v>
      </c>
      <c r="C92" s="76" t="s">
        <v>563</v>
      </c>
    </row>
    <row r="93" spans="1:19" ht="16.5" customHeight="1">
      <c r="B93" s="53" t="s">
        <v>513</v>
      </c>
      <c r="C93" s="77" t="s">
        <v>838</v>
      </c>
    </row>
    <row r="94" spans="1:19" ht="25.5" customHeight="1">
      <c r="B94" s="78"/>
      <c r="C94" s="79" t="s">
        <v>514</v>
      </c>
    </row>
    <row r="95" spans="1:19" ht="82.5" customHeight="1">
      <c r="B95" s="80"/>
      <c r="C95" s="81" t="s">
        <v>515</v>
      </c>
    </row>
    <row r="96" spans="1:19" ht="21" customHeight="1">
      <c r="B96" s="82"/>
      <c r="C96" s="83" t="s">
        <v>516</v>
      </c>
    </row>
    <row r="97" spans="1:3" ht="45" customHeight="1">
      <c r="B97" s="84" t="s">
        <v>447</v>
      </c>
      <c r="C97" s="85" t="s">
        <v>517</v>
      </c>
    </row>
    <row r="98" spans="1:3" ht="99.75" customHeight="1">
      <c r="B98" s="78" t="s">
        <v>449</v>
      </c>
      <c r="C98" s="86" t="s">
        <v>518</v>
      </c>
    </row>
    <row r="99" spans="1:3" ht="41.25" customHeight="1">
      <c r="B99" s="78" t="s">
        <v>451</v>
      </c>
      <c r="C99" s="85" t="s">
        <v>519</v>
      </c>
    </row>
    <row r="100" spans="1:3" ht="41.25" customHeight="1">
      <c r="B100" s="84" t="s">
        <v>453</v>
      </c>
      <c r="C100" s="87" t="s">
        <v>520</v>
      </c>
    </row>
    <row r="101" spans="1:3" ht="66.75" customHeight="1">
      <c r="B101" s="44" t="s">
        <v>455</v>
      </c>
      <c r="C101" s="86" t="s">
        <v>521</v>
      </c>
    </row>
    <row r="102" spans="1:3" ht="30.75" customHeight="1">
      <c r="B102" s="44" t="s">
        <v>457</v>
      </c>
      <c r="C102" s="85" t="s">
        <v>522</v>
      </c>
    </row>
    <row r="103" spans="1:3" ht="31.5" customHeight="1">
      <c r="B103" s="44" t="s">
        <v>459</v>
      </c>
      <c r="C103" s="86" t="s">
        <v>523</v>
      </c>
    </row>
    <row r="104" spans="1:3" ht="61.5" customHeight="1">
      <c r="B104" s="42" t="s">
        <v>461</v>
      </c>
      <c r="C104" s="85" t="s">
        <v>524</v>
      </c>
    </row>
    <row r="105" spans="1:3" ht="54" customHeight="1">
      <c r="B105" s="42" t="s">
        <v>313</v>
      </c>
      <c r="C105" s="88" t="s">
        <v>525</v>
      </c>
    </row>
    <row r="106" spans="1:3" ht="73.5" customHeight="1">
      <c r="B106" s="89" t="s">
        <v>464</v>
      </c>
      <c r="C106" s="90" t="s">
        <v>526</v>
      </c>
    </row>
    <row r="107" spans="1:3" ht="57.75" customHeight="1">
      <c r="B107" s="91" t="s">
        <v>466</v>
      </c>
      <c r="C107" s="92" t="s">
        <v>527</v>
      </c>
    </row>
    <row r="108" spans="1:3" hidden="1">
      <c r="B108" s="93"/>
      <c r="C108" s="94" t="s">
        <v>472</v>
      </c>
    </row>
    <row r="109" spans="1:3" ht="81" hidden="1" customHeight="1">
      <c r="C109" s="95" t="s">
        <v>528</v>
      </c>
    </row>
    <row r="110" spans="1:3" s="3" customFormat="1" hidden="1">
      <c r="A110" s="96"/>
      <c r="B110" s="97"/>
      <c r="C110" s="98" t="s">
        <v>529</v>
      </c>
    </row>
    <row r="111" spans="1:3" s="3" customFormat="1" hidden="1">
      <c r="A111" s="96"/>
      <c r="B111" s="97"/>
      <c r="C111" s="99" t="s">
        <v>530</v>
      </c>
    </row>
    <row r="112" spans="1:3" s="100" customFormat="1" hidden="1">
      <c r="A112" s="101"/>
      <c r="B112" s="102"/>
      <c r="C112" s="101"/>
    </row>
    <row r="113" spans="1:3" s="100" customFormat="1" hidden="1">
      <c r="A113" s="101"/>
      <c r="B113" s="102"/>
      <c r="C113" s="101"/>
    </row>
    <row r="114" spans="1:3" s="100" customFormat="1" hidden="1">
      <c r="A114" s="101"/>
      <c r="B114" s="102"/>
      <c r="C114" s="101"/>
    </row>
    <row r="115" spans="1:3" s="100" customFormat="1" hidden="1">
      <c r="A115" s="101"/>
      <c r="B115" s="102"/>
      <c r="C115" s="101"/>
    </row>
    <row r="116" spans="1:3" s="100" customFormat="1" hidden="1">
      <c r="A116" s="101"/>
      <c r="B116" s="102"/>
      <c r="C116" s="101"/>
    </row>
    <row r="117" spans="1:3" s="100" customFormat="1" hidden="1">
      <c r="A117" s="101"/>
      <c r="B117" s="102"/>
      <c r="C117" s="101"/>
    </row>
    <row r="118" spans="1:3" s="100" customFormat="1" hidden="1">
      <c r="A118" s="101"/>
      <c r="B118" s="102"/>
      <c r="C118" s="101"/>
    </row>
    <row r="119" spans="1:3" s="100" customFormat="1" hidden="1">
      <c r="A119" s="101"/>
      <c r="B119" s="102"/>
      <c r="C119" s="101"/>
    </row>
    <row r="120" spans="1:3" s="100" customFormat="1" hidden="1">
      <c r="A120" s="101"/>
      <c r="B120" s="102"/>
      <c r="C120" s="101"/>
    </row>
    <row r="121" spans="1:3" s="100" customFormat="1" hidden="1">
      <c r="A121" s="101"/>
      <c r="B121" s="102"/>
      <c r="C121" s="101"/>
    </row>
    <row r="122" spans="1:3" s="100" customFormat="1" hidden="1">
      <c r="A122" s="101"/>
      <c r="B122" s="102"/>
      <c r="C122" s="101"/>
    </row>
    <row r="123" spans="1:3" s="100" customFormat="1" hidden="1">
      <c r="A123" s="101"/>
      <c r="B123" s="102"/>
      <c r="C123" s="101"/>
    </row>
    <row r="124" spans="1:3" s="100" customFormat="1" hidden="1">
      <c r="A124" s="101"/>
      <c r="B124" s="102"/>
      <c r="C124" s="101"/>
    </row>
    <row r="125" spans="1:3" s="100" customFormat="1" hidden="1">
      <c r="A125" s="101"/>
      <c r="B125" s="102"/>
      <c r="C125" s="101"/>
    </row>
    <row r="126" spans="1:3" s="100" customFormat="1" hidden="1">
      <c r="A126" s="101"/>
      <c r="B126" s="102"/>
      <c r="C126" s="101"/>
    </row>
    <row r="127" spans="1:3" s="100" customFormat="1" hidden="1">
      <c r="A127" s="101"/>
      <c r="B127" s="102"/>
      <c r="C127" s="101"/>
    </row>
    <row r="128" spans="1:3" s="100" customFormat="1" hidden="1">
      <c r="A128" s="101"/>
      <c r="B128" s="102"/>
      <c r="C128" s="101"/>
    </row>
    <row r="129" spans="1:3" s="100" customFormat="1" hidden="1">
      <c r="A129" s="101"/>
      <c r="B129" s="102"/>
      <c r="C129" s="101"/>
    </row>
    <row r="130" spans="1:3" s="100" customFormat="1" hidden="1">
      <c r="A130" s="101"/>
      <c r="B130" s="102"/>
      <c r="C130" s="101"/>
    </row>
    <row r="131" spans="1:3" s="100" customFormat="1" hidden="1">
      <c r="A131" s="101"/>
      <c r="B131" s="102"/>
      <c r="C131" s="101"/>
    </row>
    <row r="133" spans="1:3" hidden="1">
      <c r="C133" s="103"/>
    </row>
  </sheetData>
  <sheetProtection sheet="1" objects="1" scenarios="1"/>
  <mergeCells count="3">
    <mergeCell ref="B2:C2"/>
    <mergeCell ref="B3:IV3"/>
    <mergeCell ref="B4:C4"/>
  </mergeCells>
  <hyperlinks>
    <hyperlink ref="C8" location="'Tax rules'!B62:B63" display="Some Exempted Income ( to be shown while Return filing) "/>
    <hyperlink ref="C11" location="'Tax rules'!C77" display="HRA exemption "/>
    <hyperlink ref="C12" location="'Tax rules'!B78" display="Transport allowance"/>
    <hyperlink ref="C13" location="'Tax rules'!B79" display="Reimbursement of Medical bills "/>
    <hyperlink ref="C14" location="'Information &amp; Rules exmpt,Ded'!B85" display=" u/s(5) LTA is exempt "/>
    <hyperlink ref="C15" location="'Tax rules'!B80:B82" display=" u/s 24  Exemption for interest on housing loan."/>
    <hyperlink ref="C16" location="'Tax rules'!B84" display="u/s 80CCE  &amp; 80CCD Maximum Exemption "/>
    <hyperlink ref="C18" location="'Tax rules'!B86" display="u/s 80D Medical Insurance"/>
    <hyperlink ref="C19" location="'Tax rules'!B87" display="u/s 80DD Deduction in respect of medical treatment of handicapped dependents"/>
    <hyperlink ref="C20" location="'Tax rules'!B88" display="u/s 80DDB Deduction in respect of medical treatment for specified ailments or diseases"/>
    <hyperlink ref="C21" location="'Tax rules'!B89" display="u/s 80E Interest repayment on education loan "/>
    <hyperlink ref="C22" location="'Tax rules'!B90" display="u/s 80G Donations given for certain charities "/>
    <hyperlink ref="C23" location="'Tax rules'!B91" display="u/s 80GG If you are not getting  HRA,  but living in rented house,"/>
    <hyperlink ref="C24" location="'Tax rules'!B92" display="u/s 80U If you have a permanent physical disability "/>
    <hyperlink ref="C26" location="Instructions!B92" display=" KNOW MORE about DEDUCTION under Section 80-C"/>
    <hyperlink ref="C27" location="'Tax rules'!AB93" display="Qualifying Investments u/s 80CCE"/>
    <hyperlink ref="C28" location="'Tax rules'!B97" display="Provident Fund (PF) &amp; Voluntary Provident Fund (VPF) "/>
    <hyperlink ref="C29" location="'Tax rules'!B98" display="Life Insurance Premiums &amp; Unit linked Insurance Plan (ULIP)"/>
    <hyperlink ref="C30" location="'Tax rules'!B99" display="Public Provident Fund (PPF):"/>
    <hyperlink ref="C31" location="'Tax rules'!B100" display="National Savings Certificate (NSC):"/>
    <hyperlink ref="C32" location="'Tax rules'!B101" display="Home Loan Principal Repayment &amp; Stamp Duty and Registration Charges for a home "/>
    <hyperlink ref="C33" location="'Tax rules'!B102" display="Tuition  fees  for 2 children "/>
    <hyperlink ref="C34" location="'Tax rules'!B103" display="Equity Linked Savings Scheme (ELSS)"/>
    <hyperlink ref="C35" location="'Tax rules'!B104" display="5-Yr bank fixed deposits (FDs)  or 5-Yr post office time deposit (POTD)"/>
    <hyperlink ref="C36" location="'Tax rules'!B105" display="Pension Funds or Pension Policies "/>
    <hyperlink ref="C37" location="'Tax rules'!B106" display="Stamp Duty and Registration Charges for a home:"/>
    <hyperlink ref="C38" location="'Tax rules'!B106" display="Infrastructure Bonds: NABARD rural bonds:"/>
    <hyperlink ref="C39" location="'Tax rules'!B107" display="Senior Citizen Savings Scheme 2004 (SCSS)"/>
    <hyperlink ref="C40" location="'Information &amp; Rules exmpt,Ded'!B113:B114" display="I M P O R T A N T -  A D V I S ES"/>
    <hyperlink ref="C7" location="'Information &amp; Rules exmpt,Ded'!B67:B72" display="Some  Exempted Receipts / Special allowances &amp;  Perquisite which are not chargable to tax"/>
    <hyperlink ref="C111" location="'Information &amp; Rules exmpt,Ded'!B1" display="                                                                                               1577 SECTOR-5 R.K.PURAM NEW DELHI-110022                                                GO UP"/>
    <hyperlink ref="C6" location="'Tax rules'!C41:C61" display="New Tax  Rates  for Financial-Year 2017-18, Assessment Year  2018-2019"/>
    <hyperlink ref="C17" location="'Tax rules'!B85" display="u/s 80 CCG Rajiv Gandhi Equity Savings Scheme "/>
    <hyperlink ref="C25" location="'Tax rules'!B93" display="u/s 80TTA Deduction on interest on saving bank accounts."/>
  </hyperlink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sheetPr>
    <tabColor rgb="FF3366FF"/>
  </sheetPr>
  <dimension ref="A1:FR503"/>
  <sheetViews>
    <sheetView showGridLines="0" showRowColHeaders="0" topLeftCell="A7" zoomScale="75" zoomScaleNormal="75" workbookViewId="0">
      <selection activeCell="T31" sqref="T31"/>
    </sheetView>
  </sheetViews>
  <sheetFormatPr defaultColWidth="4.42578125" defaultRowHeight="14.25"/>
  <cols>
    <col min="1" max="1" width="2" style="104" customWidth="1"/>
    <col min="2" max="2" width="2.140625" style="104" customWidth="1"/>
    <col min="3" max="3" width="7.85546875" style="104" customWidth="1"/>
    <col min="4" max="4" width="11" style="104" customWidth="1"/>
    <col min="5" max="5" width="7" style="104" customWidth="1"/>
    <col min="6" max="6" width="5.5703125" style="104" customWidth="1"/>
    <col min="7" max="7" width="6.42578125" style="104" customWidth="1"/>
    <col min="8" max="8" width="3.140625" style="104" customWidth="1"/>
    <col min="9" max="9" width="2.140625" style="104" customWidth="1"/>
    <col min="10" max="10" width="8.85546875" style="104" customWidth="1"/>
    <col min="11" max="11" width="11.7109375" style="104" customWidth="1"/>
    <col min="12" max="12" width="10" style="104" customWidth="1"/>
    <col min="13" max="13" width="2.140625" style="104" customWidth="1"/>
    <col min="14" max="14" width="10.7109375" style="104" customWidth="1"/>
    <col min="15" max="15" width="10.5703125" style="104" customWidth="1"/>
    <col min="16" max="16" width="7.85546875" style="104" customWidth="1"/>
    <col min="17" max="17" width="8.140625" style="104" customWidth="1"/>
    <col min="18" max="18" width="2.140625" style="104" customWidth="1"/>
    <col min="19" max="19" width="9.7109375" style="104" customWidth="1"/>
    <col min="20" max="20" width="9.85546875" style="104" customWidth="1"/>
    <col min="21" max="21" width="2.140625" style="105" customWidth="1"/>
    <col min="22" max="22" width="2" style="105" customWidth="1"/>
    <col min="23" max="23" width="1.7109375" style="105" customWidth="1"/>
    <col min="24" max="26" width="9.7109375" style="106" customWidth="1"/>
    <col min="27" max="27" width="2.28515625" style="106" customWidth="1"/>
    <col min="28" max="28" width="9.7109375" style="106" customWidth="1"/>
    <col min="29" max="29" width="9.7109375" style="105" customWidth="1"/>
    <col min="30" max="30" width="5.7109375" style="105" customWidth="1"/>
    <col min="31" max="31" width="5" style="105" hidden="1" customWidth="1"/>
    <col min="32" max="34" width="8" style="105" hidden="1" customWidth="1"/>
    <col min="35" max="36" width="9.85546875" style="104" hidden="1" customWidth="1"/>
    <col min="37" max="39" width="9.42578125" style="104" hidden="1" customWidth="1"/>
    <col min="40" max="40" width="9.140625" style="104" customWidth="1"/>
    <col min="41" max="41" width="11.7109375" style="104" customWidth="1"/>
    <col min="42" max="42" width="20" style="104" customWidth="1"/>
    <col min="43" max="45" width="9.42578125" style="104" customWidth="1"/>
    <col min="46" max="46" width="10.85546875" style="104" customWidth="1"/>
    <col min="47" max="47" width="11.28515625" style="104" customWidth="1"/>
    <col min="48" max="53" width="9.42578125" style="104" customWidth="1"/>
    <col min="54" max="54" width="10.140625" style="104" customWidth="1"/>
    <col min="55" max="55" width="11" style="104" customWidth="1"/>
    <col min="56" max="56" width="10.85546875" style="104" customWidth="1"/>
    <col min="57" max="57" width="12.140625" style="104" customWidth="1"/>
    <col min="58" max="58" width="11.42578125" style="104" customWidth="1"/>
    <col min="59" max="59" width="12.28515625" style="104" customWidth="1"/>
    <col min="60" max="60" width="10.7109375" style="104" customWidth="1"/>
    <col min="61" max="61" width="9.5703125" style="104" customWidth="1"/>
    <col min="62" max="62" width="42.140625" style="104" customWidth="1"/>
    <col min="63" max="63" width="15.7109375" style="104" customWidth="1"/>
    <col min="64" max="64" width="18.7109375" style="104" customWidth="1"/>
    <col min="65" max="65" width="12.7109375" style="104" customWidth="1"/>
    <col min="66" max="66" width="12.140625" style="104" customWidth="1"/>
    <col min="67" max="67" width="14" style="104" customWidth="1"/>
    <col min="68" max="68" width="11.85546875" style="104" customWidth="1"/>
    <col min="69" max="69" width="12.5703125" style="104" customWidth="1"/>
    <col min="70" max="70" width="11" style="104" customWidth="1"/>
    <col min="71" max="76" width="9.5703125" style="104" customWidth="1"/>
    <col min="77" max="77" width="10.42578125" style="104" customWidth="1"/>
    <col min="78" max="82" width="9.5703125" style="104" customWidth="1"/>
    <col min="83" max="83" width="10" style="104" customWidth="1"/>
    <col min="84" max="87" width="9.5703125" style="104" customWidth="1"/>
    <col min="88" max="88" width="10" style="104" customWidth="1"/>
    <col min="89" max="89" width="10.42578125" style="104" customWidth="1"/>
    <col min="90" max="97" width="9.5703125" style="104" customWidth="1"/>
    <col min="98" max="98" width="11.42578125" style="104" customWidth="1"/>
    <col min="99" max="104" width="10.7109375" style="104" customWidth="1"/>
    <col min="105" max="105" width="10.5703125" style="104" customWidth="1"/>
    <col min="106" max="106" width="10.7109375" style="107" customWidth="1"/>
    <col min="107" max="107" width="10.7109375" style="104" customWidth="1"/>
    <col min="108" max="108" width="9.140625" style="108" customWidth="1"/>
    <col min="109" max="109" width="9.140625" style="109" customWidth="1"/>
    <col min="110" max="110" width="8.7109375" style="109" customWidth="1"/>
    <col min="111" max="111" width="9.140625" style="108" customWidth="1"/>
    <col min="112" max="113" width="8.7109375" style="104" customWidth="1"/>
    <col min="114" max="114" width="9.7109375" style="104" customWidth="1"/>
    <col min="115" max="115" width="10" style="104" customWidth="1"/>
    <col min="116" max="116" width="9.28515625" style="104" customWidth="1"/>
    <col min="117" max="117" width="9.7109375" style="104" customWidth="1"/>
    <col min="118" max="119" width="4.42578125" style="104" customWidth="1"/>
    <col min="120" max="120" width="7" style="104" customWidth="1"/>
    <col min="121" max="134" width="8.7109375" style="104" customWidth="1"/>
    <col min="135" max="229" width="4.42578125" style="104" customWidth="1"/>
    <col min="230" max="16384" width="4.42578125" style="104"/>
  </cols>
  <sheetData>
    <row r="1" spans="1:111" s="110" customFormat="1" ht="6" customHeight="1">
      <c r="U1" s="111"/>
      <c r="V1" s="111"/>
      <c r="W1" s="111"/>
      <c r="X1" s="112"/>
      <c r="Y1" s="112"/>
      <c r="Z1" s="112"/>
      <c r="AA1" s="112"/>
      <c r="AB1" s="112"/>
      <c r="AC1" s="111"/>
      <c r="AD1" s="111"/>
      <c r="AE1" s="111"/>
      <c r="AF1" s="111"/>
      <c r="AG1" s="111"/>
      <c r="AH1" s="111"/>
      <c r="DB1" s="113"/>
      <c r="DD1" s="114"/>
      <c r="DE1" s="115"/>
      <c r="DF1" s="115"/>
      <c r="DG1" s="114"/>
    </row>
    <row r="2" spans="1:111" s="110" customFormat="1" ht="19.899999999999999" customHeight="1">
      <c r="D2" s="116"/>
      <c r="E2" s="116"/>
      <c r="F2" s="116"/>
      <c r="G2" s="116"/>
      <c r="H2" s="116"/>
      <c r="I2" s="116"/>
      <c r="J2" s="116"/>
      <c r="K2" s="117"/>
      <c r="L2" s="117"/>
      <c r="M2" s="117"/>
      <c r="N2" s="117"/>
      <c r="O2" s="116"/>
      <c r="P2" s="116"/>
      <c r="Q2" s="116"/>
      <c r="R2" s="116"/>
      <c r="S2" s="116"/>
      <c r="T2" s="116"/>
      <c r="U2" s="111"/>
      <c r="V2" s="111" t="s">
        <v>855</v>
      </c>
      <c r="W2" s="111"/>
      <c r="X2" s="1863" t="s">
        <v>783</v>
      </c>
      <c r="Y2" s="1863"/>
      <c r="Z2" s="1863"/>
      <c r="AA2" s="1863"/>
      <c r="AB2" s="1863"/>
      <c r="AC2" s="1863"/>
      <c r="AD2" s="111"/>
      <c r="AE2" s="111"/>
      <c r="AF2" s="111"/>
      <c r="AG2" s="111"/>
      <c r="AH2" s="111"/>
      <c r="DB2" s="113"/>
      <c r="DD2" s="114"/>
      <c r="DE2" s="115"/>
      <c r="DF2" s="115"/>
      <c r="DG2" s="114"/>
    </row>
    <row r="3" spans="1:111" s="110" customFormat="1" ht="4.9000000000000004" customHeight="1">
      <c r="D3" s="118"/>
      <c r="E3" s="118"/>
      <c r="F3" s="118"/>
      <c r="G3" s="118"/>
      <c r="H3" s="118"/>
      <c r="I3" s="118"/>
      <c r="J3" s="118"/>
      <c r="K3" s="119"/>
      <c r="L3" s="119"/>
      <c r="M3" s="119"/>
      <c r="N3" s="119"/>
      <c r="O3" s="116"/>
      <c r="P3" s="116"/>
      <c r="Q3" s="116"/>
      <c r="R3" s="116"/>
      <c r="S3" s="116"/>
      <c r="T3" s="116"/>
      <c r="U3" s="111"/>
      <c r="V3" s="111"/>
      <c r="W3" s="111"/>
      <c r="X3" s="120"/>
      <c r="Y3" s="120"/>
      <c r="Z3" s="120"/>
      <c r="AA3" s="120"/>
      <c r="AB3" s="120"/>
      <c r="AC3" s="120"/>
      <c r="AD3" s="111"/>
      <c r="AE3" s="111"/>
      <c r="AF3" s="111"/>
      <c r="AG3" s="111"/>
      <c r="AH3" s="111"/>
      <c r="DB3" s="113"/>
      <c r="DD3" s="114"/>
      <c r="DE3" s="115"/>
      <c r="DF3" s="115"/>
      <c r="DG3" s="114"/>
    </row>
    <row r="4" spans="1:111" ht="18" customHeight="1">
      <c r="A4" s="110"/>
      <c r="B4" s="1824" t="s">
        <v>1005</v>
      </c>
      <c r="C4" s="1824"/>
      <c r="D4" s="1824"/>
      <c r="E4" s="1824"/>
      <c r="F4" s="1824"/>
      <c r="G4" s="121"/>
      <c r="H4" s="1847" t="s">
        <v>1006</v>
      </c>
      <c r="I4" s="1847"/>
      <c r="J4" s="1847"/>
      <c r="K4" s="1847"/>
      <c r="L4" s="121"/>
      <c r="M4" s="1847" t="s">
        <v>1007</v>
      </c>
      <c r="N4" s="1847"/>
      <c r="O4" s="1847"/>
      <c r="P4" s="122"/>
      <c r="Q4" s="1827" t="str">
        <f>IF(S11&lt;5000,"You Need Not Submit Rent Receipt for this rent.",IF(AND(S11&gt;5000,S11&lt;8300)," You Should Submit Rent Receipt with Out Owner PAN Number.",IF(S11&lt;83000," You Should Submit Rent Receipt with PAN No. of House Owner.")))</f>
        <v xml:space="preserve"> You Should Submit Rent Receipt with PAN No. of House Owner.</v>
      </c>
      <c r="R4" s="1828"/>
      <c r="S4" s="1828"/>
      <c r="T4" s="1828"/>
      <c r="U4" s="1829"/>
      <c r="V4" s="111"/>
      <c r="W4" s="111"/>
      <c r="X4" s="1988" t="s">
        <v>1000</v>
      </c>
      <c r="Y4" s="1988"/>
      <c r="Z4" s="1988"/>
      <c r="AA4" s="123"/>
      <c r="AB4" s="123"/>
      <c r="AC4" s="111"/>
      <c r="AD4" s="111"/>
      <c r="AE4" s="111"/>
      <c r="AF4" s="111"/>
      <c r="AG4" s="111"/>
      <c r="AH4" s="111"/>
      <c r="AI4" s="110"/>
      <c r="AJ4" s="110"/>
      <c r="AK4" s="110"/>
      <c r="AL4" s="110"/>
      <c r="AM4" s="110"/>
      <c r="AN4" s="110"/>
      <c r="AO4" s="110"/>
      <c r="AP4" s="110"/>
      <c r="AQ4" s="110"/>
      <c r="AR4" s="110"/>
      <c r="AS4" s="110"/>
      <c r="AT4" s="110"/>
      <c r="AU4" s="110"/>
      <c r="AV4" s="110"/>
      <c r="AW4" s="110"/>
      <c r="AX4" s="110"/>
      <c r="AY4" s="110"/>
      <c r="AZ4" s="110"/>
      <c r="BA4" s="110"/>
      <c r="BB4" s="110"/>
      <c r="BC4" s="110"/>
      <c r="BD4" s="110"/>
      <c r="BE4" s="110"/>
      <c r="BF4" s="110"/>
      <c r="BG4" s="110"/>
      <c r="BH4" s="110"/>
      <c r="BI4" s="110"/>
      <c r="BJ4" s="110"/>
      <c r="BK4" s="110"/>
      <c r="BL4" s="110"/>
      <c r="BM4" s="110"/>
      <c r="BN4" s="110"/>
      <c r="BO4" s="110"/>
      <c r="BP4" s="110"/>
      <c r="BQ4" s="110"/>
      <c r="BR4" s="110"/>
      <c r="BS4" s="110"/>
      <c r="BT4" s="110"/>
      <c r="BU4" s="110"/>
      <c r="BV4" s="110"/>
      <c r="BW4" s="110"/>
      <c r="BX4" s="110"/>
      <c r="BY4" s="110"/>
      <c r="BZ4" s="110"/>
      <c r="CA4" s="110"/>
      <c r="CB4" s="110"/>
      <c r="CC4" s="110"/>
      <c r="CD4" s="110"/>
      <c r="CE4" s="110"/>
      <c r="CF4" s="110"/>
      <c r="CG4" s="110"/>
      <c r="CH4" s="110"/>
      <c r="CI4" s="110"/>
      <c r="CJ4" s="110"/>
      <c r="CK4" s="110"/>
      <c r="CL4" s="110"/>
      <c r="CM4" s="110"/>
      <c r="CN4" s="110"/>
      <c r="CO4" s="110"/>
    </row>
    <row r="5" spans="1:111" s="124" customFormat="1" ht="18" customHeight="1">
      <c r="A5" s="125"/>
      <c r="B5" s="1824"/>
      <c r="C5" s="1824"/>
      <c r="D5" s="1824"/>
      <c r="E5" s="1824"/>
      <c r="F5" s="1824"/>
      <c r="G5" s="121"/>
      <c r="H5" s="1847"/>
      <c r="I5" s="1847"/>
      <c r="J5" s="1847"/>
      <c r="K5" s="1847"/>
      <c r="L5" s="121"/>
      <c r="M5" s="1847"/>
      <c r="N5" s="1847"/>
      <c r="O5" s="1847"/>
      <c r="P5" s="122"/>
      <c r="Q5" s="1830"/>
      <c r="R5" s="1831"/>
      <c r="S5" s="1831"/>
      <c r="T5" s="1831"/>
      <c r="U5" s="1832"/>
      <c r="V5" s="126"/>
      <c r="W5" s="126"/>
      <c r="X5" s="1989" t="s">
        <v>1001</v>
      </c>
      <c r="Y5" s="1989"/>
      <c r="Z5" s="1989"/>
      <c r="AA5" s="123"/>
      <c r="AB5" s="123"/>
      <c r="AC5" s="126"/>
      <c r="AD5" s="126"/>
      <c r="AE5" s="126"/>
      <c r="AF5" s="126"/>
      <c r="AG5" s="126"/>
      <c r="AH5" s="126"/>
      <c r="AI5" s="125"/>
      <c r="AJ5" s="125"/>
      <c r="AK5" s="125"/>
      <c r="AL5" s="125"/>
      <c r="AM5" s="125"/>
      <c r="AN5" s="125"/>
      <c r="AO5" s="127"/>
      <c r="AP5" s="125"/>
      <c r="AQ5" s="125"/>
      <c r="AR5" s="125"/>
      <c r="AS5" s="125"/>
      <c r="AT5" s="125"/>
      <c r="AU5" s="125"/>
      <c r="AV5" s="125"/>
      <c r="AW5" s="125"/>
      <c r="AX5" s="125"/>
      <c r="AY5" s="125"/>
      <c r="AZ5" s="125"/>
      <c r="BA5" s="125"/>
      <c r="BB5" s="125"/>
      <c r="BC5" s="125"/>
      <c r="BD5" s="125"/>
      <c r="BE5" s="125"/>
      <c r="BF5" s="125"/>
      <c r="BG5" s="125"/>
      <c r="BH5" s="125"/>
      <c r="BI5" s="125"/>
      <c r="BJ5" s="125"/>
      <c r="BK5" s="125"/>
      <c r="BL5" s="125"/>
      <c r="BM5" s="125"/>
      <c r="BN5" s="125"/>
      <c r="BO5" s="125"/>
      <c r="BP5" s="125"/>
      <c r="BQ5" s="125"/>
      <c r="BR5" s="125"/>
      <c r="BS5" s="125"/>
      <c r="BT5" s="125"/>
      <c r="BU5" s="125"/>
      <c r="BV5" s="125"/>
      <c r="BW5" s="125"/>
      <c r="BX5" s="125"/>
      <c r="BY5" s="125"/>
      <c r="BZ5" s="125"/>
      <c r="CA5" s="125"/>
      <c r="CB5" s="125"/>
      <c r="CC5" s="125"/>
      <c r="CD5" s="125"/>
      <c r="CE5" s="125"/>
      <c r="CF5" s="125"/>
      <c r="CG5" s="125"/>
      <c r="CH5" s="125"/>
      <c r="CI5" s="125"/>
      <c r="CJ5" s="125"/>
      <c r="CK5" s="125"/>
      <c r="CL5" s="125"/>
      <c r="CM5" s="125"/>
      <c r="CN5" s="125"/>
      <c r="CO5" s="125"/>
      <c r="DB5" s="128"/>
      <c r="DD5" s="129"/>
      <c r="DE5" s="109"/>
      <c r="DF5" s="109"/>
      <c r="DG5" s="129"/>
    </row>
    <row r="6" spans="1:111" ht="18" customHeight="1">
      <c r="A6" s="130"/>
      <c r="B6" s="131"/>
      <c r="C6" s="131"/>
      <c r="D6" s="131"/>
      <c r="E6" s="131"/>
      <c r="F6" s="131"/>
      <c r="G6" s="131"/>
      <c r="H6" s="131"/>
      <c r="I6" s="131"/>
      <c r="J6" s="131"/>
      <c r="K6" s="132"/>
      <c r="L6" s="132"/>
      <c r="M6" s="132"/>
      <c r="N6" s="132"/>
      <c r="O6" s="133"/>
      <c r="P6" s="133"/>
      <c r="Q6" s="134"/>
      <c r="R6" s="134"/>
      <c r="S6" s="134"/>
      <c r="T6" s="134"/>
      <c r="U6" s="134"/>
      <c r="V6" s="111"/>
      <c r="W6" s="111"/>
      <c r="X6" s="2012" t="s">
        <v>1002</v>
      </c>
      <c r="Y6" s="2012"/>
      <c r="Z6" s="2012"/>
      <c r="AA6" s="123"/>
      <c r="AB6" s="123"/>
      <c r="AC6" s="111"/>
      <c r="AD6" s="111"/>
      <c r="AE6" s="111"/>
      <c r="AF6" s="111"/>
      <c r="AG6" s="111"/>
      <c r="AH6" s="111"/>
      <c r="AI6" s="110"/>
      <c r="AJ6" s="110"/>
      <c r="AK6" s="110"/>
      <c r="AL6" s="110"/>
      <c r="AM6" s="110"/>
      <c r="AN6" s="110"/>
      <c r="AO6" s="110"/>
      <c r="AP6" s="110"/>
      <c r="AQ6" s="110"/>
      <c r="AR6" s="110"/>
      <c r="AS6" s="110"/>
      <c r="AT6" s="110"/>
      <c r="AU6" s="110"/>
      <c r="AV6" s="110"/>
      <c r="AW6" s="110"/>
      <c r="AX6" s="110"/>
      <c r="AY6" s="110"/>
      <c r="AZ6" s="110"/>
      <c r="BA6" s="110"/>
      <c r="BB6" s="110"/>
      <c r="BC6" s="110"/>
      <c r="BD6" s="110"/>
      <c r="BE6" s="110"/>
      <c r="BF6" s="110"/>
      <c r="BG6" s="110"/>
      <c r="BH6" s="110"/>
      <c r="BI6" s="110"/>
      <c r="BJ6" s="110"/>
      <c r="BK6" s="110"/>
      <c r="BL6" s="110"/>
      <c r="BM6" s="110"/>
      <c r="BN6" s="110"/>
      <c r="BO6" s="110"/>
      <c r="BP6" s="110"/>
      <c r="BQ6" s="110"/>
      <c r="BR6" s="110"/>
      <c r="BS6" s="110"/>
      <c r="BT6" s="110"/>
      <c r="BU6" s="110"/>
      <c r="BV6" s="110"/>
      <c r="BW6" s="110"/>
      <c r="BX6" s="110"/>
      <c r="BY6" s="110"/>
      <c r="BZ6" s="110"/>
      <c r="CA6" s="110"/>
      <c r="CB6" s="110"/>
      <c r="CC6" s="110"/>
      <c r="CD6" s="110"/>
      <c r="CE6" s="110"/>
      <c r="CF6" s="110"/>
      <c r="CG6" s="110"/>
      <c r="CH6" s="110"/>
      <c r="CI6" s="110"/>
      <c r="CJ6" s="110"/>
      <c r="CK6" s="110"/>
      <c r="CL6" s="110"/>
      <c r="CM6" s="110"/>
      <c r="CN6" s="110"/>
      <c r="CO6" s="110"/>
    </row>
    <row r="7" spans="1:111" ht="24" customHeight="1">
      <c r="A7" s="110"/>
      <c r="B7" s="1849" t="s">
        <v>989</v>
      </c>
      <c r="C7" s="1849"/>
      <c r="D7" s="1849"/>
      <c r="E7" s="1849"/>
      <c r="F7" s="1849"/>
      <c r="G7" s="1849"/>
      <c r="H7" s="1849"/>
      <c r="I7" s="1849"/>
      <c r="J7" s="1849"/>
      <c r="K7" s="1849"/>
      <c r="L7" s="1849"/>
      <c r="M7" s="1849"/>
      <c r="N7" s="1849"/>
      <c r="O7" s="1849"/>
      <c r="P7" s="1849"/>
      <c r="Q7" s="1849"/>
      <c r="R7" s="1849"/>
      <c r="S7" s="1849"/>
      <c r="T7" s="1849"/>
      <c r="U7" s="1849"/>
      <c r="V7" s="111"/>
      <c r="W7" s="111"/>
      <c r="X7" s="135"/>
      <c r="Y7" s="1835" t="s">
        <v>980</v>
      </c>
      <c r="Z7" s="1835"/>
      <c r="AA7" s="136"/>
      <c r="AB7" s="1858" t="s">
        <v>981</v>
      </c>
      <c r="AC7" s="1858"/>
      <c r="AD7" s="137"/>
      <c r="AE7" s="111"/>
      <c r="AF7" s="111"/>
      <c r="AG7" s="111"/>
      <c r="AH7" s="111"/>
      <c r="AI7" s="138"/>
      <c r="AJ7" s="139"/>
      <c r="AK7" s="1898"/>
      <c r="AL7" s="1898"/>
      <c r="AM7" s="1898"/>
      <c r="AN7" s="110"/>
      <c r="AO7" s="110"/>
      <c r="AP7" s="110"/>
      <c r="AQ7" s="110"/>
      <c r="AR7" s="110"/>
      <c r="AS7" s="110"/>
      <c r="AT7" s="110"/>
      <c r="AU7" s="110"/>
      <c r="AV7" s="110"/>
      <c r="AW7" s="110"/>
      <c r="AX7" s="110"/>
      <c r="AY7" s="110"/>
      <c r="AZ7" s="110"/>
      <c r="BA7" s="110"/>
      <c r="BB7" s="110"/>
      <c r="BC7" s="110"/>
      <c r="BD7" s="110"/>
      <c r="BE7" s="110"/>
      <c r="BF7" s="110"/>
      <c r="BG7" s="110"/>
      <c r="BH7" s="110"/>
      <c r="BI7" s="110"/>
      <c r="BJ7" s="110"/>
      <c r="BK7" s="110"/>
      <c r="BL7" s="110"/>
      <c r="BM7" s="110"/>
      <c r="BN7" s="110"/>
      <c r="BO7" s="110"/>
      <c r="BP7" s="110"/>
      <c r="BQ7" s="110"/>
      <c r="BR7" s="110"/>
      <c r="BS7" s="110"/>
      <c r="BT7" s="110"/>
      <c r="BU7" s="110"/>
      <c r="BV7" s="110"/>
      <c r="BW7" s="110"/>
      <c r="BX7" s="110"/>
      <c r="BY7" s="110"/>
      <c r="BZ7" s="110"/>
      <c r="CA7" s="110"/>
      <c r="CB7" s="110"/>
      <c r="CC7" s="110"/>
      <c r="CD7" s="110"/>
      <c r="CE7" s="110"/>
      <c r="CF7" s="110"/>
      <c r="CG7" s="110"/>
      <c r="CH7" s="110"/>
      <c r="CI7" s="110"/>
      <c r="CJ7" s="110"/>
      <c r="CK7" s="110"/>
      <c r="CL7" s="110"/>
      <c r="CM7" s="110"/>
      <c r="CN7" s="110"/>
      <c r="CO7" s="110"/>
      <c r="CP7" s="140"/>
      <c r="CQ7" s="140"/>
      <c r="CR7" s="140"/>
      <c r="CS7" s="140"/>
      <c r="CT7" s="140"/>
      <c r="CU7" s="140"/>
      <c r="CV7" s="140"/>
      <c r="CW7" s="140"/>
      <c r="CX7" s="140"/>
      <c r="CY7" s="140"/>
      <c r="CZ7" s="140"/>
      <c r="DA7" s="140"/>
      <c r="DB7" s="141"/>
      <c r="DC7" s="140"/>
    </row>
    <row r="8" spans="1:111" ht="9.75" customHeight="1">
      <c r="A8" s="110"/>
      <c r="B8" s="142"/>
      <c r="C8" s="142"/>
      <c r="D8" s="142"/>
      <c r="E8" s="142"/>
      <c r="F8" s="142"/>
      <c r="G8" s="142"/>
      <c r="H8" s="143"/>
      <c r="I8" s="143"/>
      <c r="J8" s="143"/>
      <c r="K8" s="143"/>
      <c r="L8" s="143"/>
      <c r="M8" s="143"/>
      <c r="N8" s="143"/>
      <c r="O8" s="142"/>
      <c r="P8" s="142"/>
      <c r="Q8" s="142"/>
      <c r="R8" s="144"/>
      <c r="S8" s="142"/>
      <c r="T8" s="142"/>
      <c r="U8" s="145"/>
      <c r="V8" s="111"/>
      <c r="W8" s="111"/>
      <c r="X8" s="146"/>
      <c r="Y8" s="146"/>
      <c r="Z8" s="146"/>
      <c r="AA8" s="146"/>
      <c r="AB8" s="146"/>
      <c r="AC8" s="111"/>
      <c r="AD8" s="111"/>
      <c r="AE8" s="111"/>
      <c r="AF8" s="111"/>
      <c r="AG8" s="111"/>
      <c r="AH8" s="111"/>
      <c r="AI8" s="138"/>
      <c r="AJ8" s="139"/>
      <c r="AK8" s="1898"/>
      <c r="AL8" s="1898"/>
      <c r="AM8" s="1898"/>
      <c r="AN8" s="110"/>
      <c r="AO8" s="110"/>
      <c r="AP8" s="110"/>
      <c r="AQ8" s="110"/>
      <c r="AR8" s="110"/>
      <c r="AS8" s="110"/>
      <c r="AT8" s="110"/>
      <c r="AU8" s="110"/>
      <c r="AV8" s="110"/>
      <c r="AW8" s="110"/>
      <c r="AX8" s="110"/>
      <c r="AY8" s="110"/>
      <c r="AZ8" s="110"/>
      <c r="BA8" s="110"/>
      <c r="BB8" s="110"/>
      <c r="BC8" s="110"/>
      <c r="BD8" s="110"/>
      <c r="BE8" s="110"/>
      <c r="BF8" s="110"/>
      <c r="BG8" s="110"/>
      <c r="BH8" s="110"/>
      <c r="BI8" s="110"/>
      <c r="BJ8" s="110"/>
      <c r="BK8" s="110"/>
      <c r="BL8" s="110"/>
      <c r="BM8" s="110"/>
      <c r="BN8" s="110"/>
      <c r="BO8" s="110"/>
      <c r="BP8" s="110"/>
      <c r="BQ8" s="110"/>
      <c r="BR8" s="110"/>
      <c r="BS8" s="110"/>
      <c r="BT8" s="110"/>
      <c r="BU8" s="110"/>
      <c r="BV8" s="110"/>
      <c r="BW8" s="110"/>
      <c r="BX8" s="110"/>
      <c r="BY8" s="110"/>
      <c r="BZ8" s="110"/>
      <c r="CA8" s="110"/>
      <c r="CB8" s="110"/>
      <c r="CC8" s="110"/>
      <c r="CD8" s="110"/>
      <c r="CE8" s="110"/>
      <c r="CF8" s="110"/>
      <c r="CG8" s="110"/>
      <c r="CH8" s="110"/>
      <c r="CI8" s="110"/>
      <c r="CJ8" s="110"/>
      <c r="CK8" s="110"/>
      <c r="CL8" s="110"/>
      <c r="CM8" s="110"/>
      <c r="CN8" s="110"/>
      <c r="CO8" s="110"/>
      <c r="CP8" s="140"/>
      <c r="CQ8" s="140"/>
      <c r="CR8" s="140"/>
      <c r="CS8" s="140"/>
      <c r="CT8" s="140"/>
      <c r="CU8" s="140"/>
      <c r="CV8" s="140"/>
      <c r="CW8" s="140"/>
      <c r="CX8" s="140"/>
      <c r="CY8" s="140"/>
      <c r="CZ8" s="140"/>
      <c r="DA8" s="140"/>
      <c r="DB8" s="141"/>
      <c r="DC8" s="140"/>
    </row>
    <row r="9" spans="1:111" ht="18" customHeight="1">
      <c r="A9" s="110"/>
      <c r="B9" s="147"/>
      <c r="C9" s="1833" t="s">
        <v>753</v>
      </c>
      <c r="D9" s="1834"/>
      <c r="E9" s="1834"/>
      <c r="F9" s="1834"/>
      <c r="G9" s="1834"/>
      <c r="H9" s="1848"/>
      <c r="I9" s="148"/>
      <c r="J9" s="1856" t="s">
        <v>998</v>
      </c>
      <c r="K9" s="1857"/>
      <c r="L9" s="149"/>
      <c r="M9" s="150"/>
      <c r="N9" s="1825" t="s">
        <v>847</v>
      </c>
      <c r="O9" s="1826"/>
      <c r="P9" s="1826"/>
      <c r="Q9" s="1826"/>
      <c r="R9" s="1846"/>
      <c r="S9" s="1852" t="s">
        <v>751</v>
      </c>
      <c r="T9" s="1853"/>
      <c r="U9" s="151"/>
      <c r="V9" s="152"/>
      <c r="W9" s="153"/>
      <c r="X9" s="154">
        <f>AY144</f>
        <v>43282</v>
      </c>
      <c r="Y9" s="155">
        <f>AW144</f>
        <v>19500</v>
      </c>
      <c r="Z9" s="156">
        <f>IF(X9=AT$189,AT$194,BA144)</f>
        <v>613</v>
      </c>
      <c r="AA9" s="157"/>
      <c r="AB9" s="158"/>
      <c r="AC9" s="159"/>
      <c r="AD9" s="160"/>
      <c r="AE9" s="161"/>
      <c r="AF9" s="161"/>
      <c r="AG9" s="161"/>
      <c r="AH9" s="161"/>
      <c r="AI9" s="162"/>
      <c r="AJ9" s="163"/>
      <c r="AK9" s="164"/>
      <c r="AL9" s="165"/>
      <c r="AM9" s="165"/>
      <c r="AN9" s="166"/>
      <c r="AO9" s="167"/>
      <c r="AP9" s="168"/>
      <c r="AQ9" s="110"/>
      <c r="AR9" s="110"/>
      <c r="AS9" s="110"/>
      <c r="AT9" s="110"/>
      <c r="AU9" s="110"/>
      <c r="AV9" s="110"/>
      <c r="AW9" s="110"/>
      <c r="AX9" s="110"/>
      <c r="AY9" s="169"/>
      <c r="AZ9" s="110"/>
      <c r="BA9" s="110"/>
      <c r="BB9" s="110"/>
      <c r="BC9" s="110"/>
      <c r="BD9" s="110"/>
      <c r="BE9" s="110"/>
      <c r="BF9" s="110"/>
      <c r="BG9" s="110"/>
      <c r="BH9" s="110"/>
      <c r="BI9" s="110"/>
      <c r="BJ9" s="110"/>
      <c r="BK9" s="110"/>
      <c r="BL9" s="110"/>
      <c r="BM9" s="110"/>
      <c r="BN9" s="110"/>
      <c r="BO9" s="110"/>
      <c r="BP9" s="110"/>
      <c r="BQ9" s="110"/>
      <c r="BR9" s="110"/>
      <c r="BS9" s="110"/>
      <c r="BT9" s="110"/>
      <c r="BU9" s="110"/>
      <c r="BV9" s="110"/>
      <c r="BW9" s="110"/>
      <c r="BX9" s="110"/>
      <c r="BY9" s="110"/>
      <c r="BZ9" s="110"/>
      <c r="CA9" s="110"/>
      <c r="CB9" s="110"/>
      <c r="CC9" s="110"/>
      <c r="CD9" s="110"/>
      <c r="CE9" s="110"/>
      <c r="CF9" s="110"/>
      <c r="CG9" s="110"/>
      <c r="CH9" s="110"/>
      <c r="CI9" s="110"/>
      <c r="CJ9" s="110"/>
      <c r="CK9" s="110"/>
      <c r="CL9" s="110"/>
      <c r="CM9" s="110"/>
      <c r="CN9" s="110"/>
      <c r="CO9" s="110"/>
    </row>
    <row r="10" spans="1:111" ht="18" customHeight="1">
      <c r="A10" s="110"/>
      <c r="B10" s="170"/>
      <c r="C10" s="1836" t="s">
        <v>733</v>
      </c>
      <c r="D10" s="1837"/>
      <c r="E10" s="1791" t="s">
        <v>1022</v>
      </c>
      <c r="F10" s="1792"/>
      <c r="G10" s="1792"/>
      <c r="H10" s="1793"/>
      <c r="I10" s="171"/>
      <c r="J10" s="1833" t="s">
        <v>846</v>
      </c>
      <c r="K10" s="1834"/>
      <c r="L10" s="1834"/>
      <c r="M10" s="150"/>
      <c r="N10" s="2001" t="s">
        <v>969</v>
      </c>
      <c r="O10" s="2002"/>
      <c r="P10" s="2002"/>
      <c r="Q10" s="172"/>
      <c r="R10" s="1846"/>
      <c r="S10" s="1854"/>
      <c r="T10" s="1855"/>
      <c r="U10" s="151"/>
      <c r="V10" s="152"/>
      <c r="W10" s="153"/>
      <c r="X10" s="173">
        <f t="shared" ref="X10:X34" si="0">AY145</f>
        <v>43313</v>
      </c>
      <c r="Y10" s="174">
        <f t="shared" ref="Y10:Y44" si="1">AW145</f>
        <v>20050</v>
      </c>
      <c r="Z10" s="175">
        <f t="shared" ref="Z10:Z14" si="2">IF(X10=AT$189,AT$194,BA145)</f>
        <v>631</v>
      </c>
      <c r="AA10" s="157"/>
      <c r="AB10" s="176"/>
      <c r="AC10" s="177"/>
      <c r="AD10" s="160"/>
      <c r="AE10" s="161"/>
      <c r="AF10" s="161"/>
      <c r="AG10" s="161"/>
      <c r="AH10" s="161"/>
      <c r="AI10" s="178"/>
      <c r="AJ10" s="179"/>
      <c r="AK10" s="164"/>
      <c r="AL10" s="165"/>
      <c r="AM10" s="165"/>
      <c r="AN10" s="180">
        <f>(SUM(Z9:Z16)+SUM(AC15:AC16))</f>
        <v>6290</v>
      </c>
      <c r="AO10" s="167" t="str">
        <f>IF(CL$274=1,"( DA Arrears FY 2018-19 )","")</f>
        <v>( DA Arrears FY 2018-19 )</v>
      </c>
      <c r="AP10" s="168"/>
      <c r="AQ10" s="110"/>
      <c r="AR10" s="110"/>
      <c r="AS10" s="110"/>
      <c r="AT10" s="110"/>
      <c r="AU10" s="110"/>
      <c r="AV10" s="110"/>
      <c r="AW10" s="110"/>
      <c r="AX10" s="110"/>
      <c r="AY10" s="110"/>
      <c r="AZ10" s="110"/>
      <c r="BA10" s="110"/>
      <c r="BB10" s="110"/>
      <c r="BC10" s="110"/>
      <c r="BD10" s="110"/>
      <c r="BE10" s="110"/>
      <c r="BF10" s="110"/>
      <c r="BG10" s="110"/>
      <c r="BH10" s="110"/>
      <c r="BI10" s="110"/>
      <c r="BJ10" s="110"/>
      <c r="BK10" s="110"/>
      <c r="BL10" s="110"/>
      <c r="BM10" s="110"/>
      <c r="BN10" s="110"/>
      <c r="BO10" s="110"/>
      <c r="BP10" s="110"/>
      <c r="BQ10" s="110"/>
      <c r="BR10" s="110"/>
      <c r="BS10" s="110"/>
      <c r="BT10" s="110"/>
      <c r="BU10" s="110"/>
      <c r="BV10" s="110"/>
      <c r="BW10" s="110"/>
      <c r="BX10" s="110"/>
      <c r="BY10" s="110"/>
      <c r="BZ10" s="110"/>
      <c r="CA10" s="110"/>
      <c r="CB10" s="110"/>
      <c r="CC10" s="110"/>
      <c r="CD10" s="110"/>
      <c r="CE10" s="110"/>
      <c r="CF10" s="110"/>
      <c r="CG10" s="110"/>
      <c r="CH10" s="110"/>
      <c r="CI10" s="110"/>
      <c r="CJ10" s="110"/>
      <c r="CK10" s="110"/>
      <c r="CL10" s="110"/>
      <c r="CM10" s="110"/>
      <c r="CN10" s="110"/>
      <c r="CO10" s="110"/>
    </row>
    <row r="11" spans="1:111" ht="18" customHeight="1">
      <c r="A11" s="110"/>
      <c r="B11" s="170"/>
      <c r="C11" s="1816" t="s">
        <v>1</v>
      </c>
      <c r="D11" s="1817"/>
      <c r="E11" s="1968" t="s">
        <v>1023</v>
      </c>
      <c r="F11" s="1954"/>
      <c r="G11" s="1954"/>
      <c r="H11" s="1955"/>
      <c r="I11" s="171"/>
      <c r="J11" s="1836" t="s">
        <v>972</v>
      </c>
      <c r="K11" s="1865"/>
      <c r="L11" s="181"/>
      <c r="M11" s="150"/>
      <c r="N11" s="1977" t="s">
        <v>1003</v>
      </c>
      <c r="O11" s="1978"/>
      <c r="P11" s="182"/>
      <c r="Q11" s="182"/>
      <c r="R11" s="1846"/>
      <c r="S11" s="1859">
        <v>12000</v>
      </c>
      <c r="T11" s="1860"/>
      <c r="U11" s="151"/>
      <c r="V11" s="153"/>
      <c r="W11" s="153"/>
      <c r="X11" s="173">
        <f t="shared" si="0"/>
        <v>43344</v>
      </c>
      <c r="Y11" s="174">
        <f t="shared" si="1"/>
        <v>20050</v>
      </c>
      <c r="Z11" s="175">
        <f t="shared" si="2"/>
        <v>631</v>
      </c>
      <c r="AA11" s="157"/>
      <c r="AB11" s="176"/>
      <c r="AC11" s="177"/>
      <c r="AD11" s="160"/>
      <c r="AE11" s="161"/>
      <c r="AF11" s="161"/>
      <c r="AG11" s="161"/>
      <c r="AH11" s="161"/>
      <c r="AI11" s="178"/>
      <c r="AJ11" s="179"/>
      <c r="AK11" s="164"/>
      <c r="AL11" s="165"/>
      <c r="AM11" s="165"/>
      <c r="AN11" s="168"/>
      <c r="AO11" s="168"/>
      <c r="AP11" s="168"/>
      <c r="AQ11" s="110"/>
      <c r="AR11" s="110"/>
      <c r="AS11" s="110"/>
      <c r="AT11" s="110"/>
      <c r="AU11" s="110"/>
      <c r="AV11" s="110"/>
      <c r="AW11" s="110"/>
      <c r="AX11" s="110"/>
      <c r="AY11" s="110"/>
      <c r="AZ11" s="110"/>
      <c r="BA11" s="110"/>
      <c r="BB11" s="110"/>
      <c r="BC11" s="110"/>
      <c r="BD11" s="110"/>
      <c r="BE11" s="110"/>
      <c r="BF11" s="110"/>
      <c r="BG11" s="110"/>
      <c r="BH11" s="110"/>
      <c r="BI11" s="110"/>
      <c r="BJ11" s="110"/>
      <c r="BK11" s="110"/>
      <c r="BL11" s="110"/>
      <c r="BM11" s="110"/>
      <c r="BN11" s="110"/>
      <c r="BO11" s="110"/>
      <c r="BP11" s="110"/>
      <c r="BQ11" s="110"/>
      <c r="BR11" s="110"/>
      <c r="BS11" s="110"/>
      <c r="BT11" s="110"/>
      <c r="BU11" s="110"/>
      <c r="BV11" s="110"/>
      <c r="BW11" s="110"/>
      <c r="BX11" s="110"/>
      <c r="BY11" s="110"/>
      <c r="BZ11" s="110"/>
      <c r="CA11" s="110"/>
      <c r="CB11" s="110"/>
      <c r="CC11" s="110"/>
      <c r="CD11" s="110"/>
      <c r="CE11" s="110"/>
      <c r="CF11" s="110"/>
      <c r="CG11" s="110"/>
      <c r="CH11" s="110"/>
      <c r="CI11" s="110"/>
      <c r="CJ11" s="110"/>
      <c r="CK11" s="110"/>
      <c r="CL11" s="110"/>
      <c r="CM11" s="110"/>
      <c r="CN11" s="110"/>
      <c r="CO11" s="110"/>
    </row>
    <row r="12" spans="1:111" ht="18" customHeight="1">
      <c r="A12" s="110"/>
      <c r="B12" s="170"/>
      <c r="C12" s="1816" t="s">
        <v>807</v>
      </c>
      <c r="D12" s="1817"/>
      <c r="E12" s="1802"/>
      <c r="F12" s="1802"/>
      <c r="G12" s="1802"/>
      <c r="H12" s="1802"/>
      <c r="I12" s="171"/>
      <c r="J12" s="183" t="s">
        <v>935</v>
      </c>
      <c r="K12" s="184"/>
      <c r="L12" s="185"/>
      <c r="M12" s="150"/>
      <c r="N12" s="1979" t="s">
        <v>1004</v>
      </c>
      <c r="O12" s="1980"/>
      <c r="P12" s="186"/>
      <c r="Q12" s="186"/>
      <c r="R12" s="1846"/>
      <c r="S12" s="1810" t="s">
        <v>752</v>
      </c>
      <c r="T12" s="1811"/>
      <c r="U12" s="151"/>
      <c r="V12" s="153"/>
      <c r="W12" s="153"/>
      <c r="X12" s="173">
        <f t="shared" si="0"/>
        <v>43374</v>
      </c>
      <c r="Y12" s="174">
        <f t="shared" si="1"/>
        <v>20050</v>
      </c>
      <c r="Z12" s="175">
        <f t="shared" si="2"/>
        <v>631</v>
      </c>
      <c r="AA12" s="157"/>
      <c r="AB12" s="176"/>
      <c r="AC12" s="177"/>
      <c r="AD12" s="160"/>
      <c r="AE12" s="161"/>
      <c r="AF12" s="161"/>
      <c r="AG12" s="161"/>
      <c r="AH12" s="161"/>
      <c r="AI12" s="187"/>
      <c r="AJ12" s="188"/>
      <c r="AK12" s="164"/>
      <c r="AL12" s="165"/>
      <c r="AM12" s="165"/>
      <c r="AN12" s="168"/>
      <c r="AO12" s="168"/>
      <c r="AP12" s="189"/>
      <c r="AQ12" s="110"/>
      <c r="AR12" s="110"/>
      <c r="AS12" s="110"/>
      <c r="AT12" s="110"/>
      <c r="AU12" s="110"/>
      <c r="AV12" s="110"/>
      <c r="AW12" s="110"/>
      <c r="AX12" s="110"/>
      <c r="AY12" s="110"/>
      <c r="AZ12" s="110"/>
      <c r="BA12" s="110"/>
      <c r="BB12" s="110"/>
      <c r="BC12" s="110"/>
      <c r="BD12" s="110"/>
      <c r="BE12" s="110"/>
      <c r="BF12" s="110"/>
      <c r="BG12" s="110"/>
      <c r="BH12" s="110"/>
      <c r="BI12" s="110"/>
      <c r="BJ12" s="110"/>
      <c r="BK12" s="110"/>
      <c r="BL12" s="110"/>
      <c r="BM12" s="110"/>
      <c r="BN12" s="110"/>
      <c r="BO12" s="110"/>
      <c r="BP12" s="110"/>
      <c r="BQ12" s="110"/>
      <c r="BR12" s="110"/>
      <c r="BS12" s="110"/>
      <c r="BT12" s="110"/>
      <c r="BU12" s="110"/>
      <c r="BV12" s="110"/>
      <c r="BW12" s="110"/>
      <c r="BX12" s="110"/>
      <c r="BY12" s="110"/>
      <c r="BZ12" s="110"/>
      <c r="CA12" s="110"/>
      <c r="CB12" s="110"/>
      <c r="CC12" s="110"/>
      <c r="CD12" s="110"/>
      <c r="CE12" s="110"/>
      <c r="CF12" s="110"/>
      <c r="CG12" s="110"/>
      <c r="CH12" s="110"/>
      <c r="CI12" s="110"/>
      <c r="CJ12" s="110"/>
      <c r="CK12" s="110"/>
      <c r="CL12" s="110"/>
      <c r="CM12" s="110"/>
      <c r="CN12" s="110"/>
      <c r="CO12" s="110"/>
    </row>
    <row r="13" spans="1:111" ht="18" customHeight="1">
      <c r="A13" s="110"/>
      <c r="B13" s="170"/>
      <c r="C13" s="1816" t="s">
        <v>730</v>
      </c>
      <c r="D13" s="1817"/>
      <c r="E13" s="1802" t="s">
        <v>1015</v>
      </c>
      <c r="F13" s="1802"/>
      <c r="G13" s="1802"/>
      <c r="H13" s="1802"/>
      <c r="I13" s="171"/>
      <c r="J13" s="1958" t="s">
        <v>931</v>
      </c>
      <c r="K13" s="1918"/>
      <c r="L13" s="190"/>
      <c r="M13" s="150"/>
      <c r="N13" s="1979" t="s">
        <v>759</v>
      </c>
      <c r="O13" s="1980"/>
      <c r="P13" s="191"/>
      <c r="Q13" s="191"/>
      <c r="R13" s="1846"/>
      <c r="S13" s="1861" t="str">
        <f>IF('Annexure -I I'!J67='Annexure -I I'!Q69,"",CONCATENATE("Rs. ",'Annexure -I I'!L67))</f>
        <v>Rs. 42996</v>
      </c>
      <c r="T13" s="1862"/>
      <c r="U13" s="151"/>
      <c r="V13" s="153"/>
      <c r="W13" s="153"/>
      <c r="X13" s="173">
        <f t="shared" si="0"/>
        <v>43405</v>
      </c>
      <c r="Y13" s="174">
        <f t="shared" si="1"/>
        <v>20050</v>
      </c>
      <c r="Z13" s="175">
        <f t="shared" si="2"/>
        <v>631</v>
      </c>
      <c r="AA13" s="157"/>
      <c r="AB13" s="176"/>
      <c r="AC13" s="177"/>
      <c r="AD13" s="160"/>
      <c r="AE13" s="161"/>
      <c r="AF13" s="161"/>
      <c r="AG13" s="161"/>
      <c r="AH13" s="161"/>
      <c r="AI13" s="178"/>
      <c r="AJ13" s="179"/>
      <c r="AK13" s="164"/>
      <c r="AL13" s="165"/>
      <c r="AM13" s="165"/>
      <c r="AN13" s="168"/>
      <c r="AO13" s="168"/>
      <c r="AP13" s="168"/>
      <c r="AQ13" s="110"/>
      <c r="AR13" s="110"/>
      <c r="AS13" s="110"/>
      <c r="AT13" s="110"/>
      <c r="AU13" s="110"/>
      <c r="AV13" s="110"/>
      <c r="AW13" s="110"/>
      <c r="AX13" s="110"/>
      <c r="AY13" s="110"/>
      <c r="AZ13" s="110"/>
      <c r="BA13" s="110"/>
      <c r="BB13" s="110"/>
      <c r="BC13" s="110"/>
      <c r="BD13" s="110"/>
      <c r="BE13" s="110"/>
      <c r="BF13" s="110"/>
      <c r="BG13" s="110"/>
      <c r="BH13" s="110"/>
      <c r="BI13" s="110"/>
      <c r="BJ13" s="110"/>
      <c r="BK13" s="110"/>
      <c r="BL13" s="110"/>
      <c r="BM13" s="110"/>
      <c r="BN13" s="110"/>
      <c r="BO13" s="110"/>
      <c r="BP13" s="110"/>
      <c r="BQ13" s="110"/>
      <c r="BR13" s="110"/>
      <c r="BS13" s="110"/>
      <c r="BT13" s="110"/>
      <c r="BU13" s="110"/>
      <c r="BV13" s="110"/>
      <c r="BW13" s="110"/>
      <c r="BX13" s="110"/>
      <c r="BY13" s="110"/>
      <c r="BZ13" s="110"/>
      <c r="CA13" s="110"/>
      <c r="CB13" s="110"/>
      <c r="CC13" s="110"/>
      <c r="CD13" s="110"/>
      <c r="CE13" s="110"/>
      <c r="CF13" s="110"/>
      <c r="CG13" s="110"/>
      <c r="CH13" s="110"/>
      <c r="CI13" s="110"/>
      <c r="CJ13" s="110"/>
      <c r="CK13" s="110"/>
      <c r="CL13" s="110"/>
      <c r="CM13" s="110"/>
      <c r="CN13" s="110"/>
      <c r="CO13" s="110"/>
    </row>
    <row r="14" spans="1:111" ht="18" customHeight="1">
      <c r="A14" s="110"/>
      <c r="B14" s="170"/>
      <c r="C14" s="1816" t="s">
        <v>729</v>
      </c>
      <c r="D14" s="1817"/>
      <c r="E14" s="1802" t="s">
        <v>1016</v>
      </c>
      <c r="F14" s="1802"/>
      <c r="G14" s="1802"/>
      <c r="H14" s="1802"/>
      <c r="I14" s="171"/>
      <c r="J14" s="1958" t="s">
        <v>932</v>
      </c>
      <c r="K14" s="1918"/>
      <c r="L14" s="192"/>
      <c r="M14" s="150"/>
      <c r="N14" s="1896" t="s">
        <v>999</v>
      </c>
      <c r="O14" s="1897"/>
      <c r="P14" s="193"/>
      <c r="Q14" s="194"/>
      <c r="R14" s="1846"/>
      <c r="S14" s="1969" t="s">
        <v>754</v>
      </c>
      <c r="T14" s="1970"/>
      <c r="U14" s="151"/>
      <c r="V14" s="153"/>
      <c r="W14" s="153"/>
      <c r="X14" s="173">
        <f t="shared" si="0"/>
        <v>43435</v>
      </c>
      <c r="Y14" s="174">
        <f t="shared" si="1"/>
        <v>20050</v>
      </c>
      <c r="Z14" s="175">
        <f t="shared" si="2"/>
        <v>631</v>
      </c>
      <c r="AA14" s="157"/>
      <c r="AB14" s="176"/>
      <c r="AC14" s="177"/>
      <c r="AD14" s="160"/>
      <c r="AE14" s="161"/>
      <c r="AF14" s="161"/>
      <c r="AG14" s="161"/>
      <c r="AH14" s="161"/>
      <c r="AI14" s="178"/>
      <c r="AJ14" s="179"/>
      <c r="AK14" s="164"/>
      <c r="AL14" s="165"/>
      <c r="AM14" s="195"/>
      <c r="AN14" s="168"/>
      <c r="AO14" s="168"/>
      <c r="AP14" s="168"/>
      <c r="AQ14" s="110"/>
      <c r="AR14" s="110"/>
      <c r="AS14" s="110"/>
      <c r="AT14" s="110"/>
      <c r="AU14" s="110"/>
      <c r="AV14" s="110"/>
      <c r="AW14" s="110"/>
      <c r="AX14" s="110"/>
      <c r="AY14" s="110"/>
      <c r="AZ14" s="110"/>
      <c r="BA14" s="110"/>
      <c r="BB14" s="110"/>
      <c r="BC14" s="110"/>
      <c r="BD14" s="110"/>
      <c r="BE14" s="110"/>
      <c r="BF14" s="110"/>
      <c r="BG14" s="110"/>
      <c r="BH14" s="110"/>
      <c r="BI14" s="110"/>
      <c r="BJ14" s="110"/>
      <c r="BK14" s="110"/>
      <c r="BL14" s="110"/>
      <c r="BM14" s="110"/>
      <c r="BN14" s="110"/>
      <c r="BO14" s="110"/>
      <c r="BP14" s="110"/>
      <c r="BQ14" s="110"/>
      <c r="BR14" s="110"/>
      <c r="BS14" s="110"/>
      <c r="BT14" s="110"/>
      <c r="BU14" s="110"/>
      <c r="BV14" s="110"/>
      <c r="BW14" s="110"/>
      <c r="BX14" s="110"/>
      <c r="BY14" s="110"/>
      <c r="BZ14" s="110"/>
      <c r="CA14" s="110"/>
      <c r="CB14" s="110"/>
      <c r="CC14" s="110"/>
      <c r="CD14" s="110"/>
      <c r="CE14" s="110"/>
      <c r="CF14" s="110"/>
      <c r="CG14" s="110"/>
      <c r="CH14" s="110"/>
      <c r="CI14" s="110"/>
      <c r="CJ14" s="110"/>
      <c r="CK14" s="110"/>
      <c r="CL14" s="110"/>
      <c r="CM14" s="110"/>
      <c r="CN14" s="110"/>
      <c r="CO14" s="110"/>
    </row>
    <row r="15" spans="1:111" ht="18" customHeight="1">
      <c r="A15" s="110"/>
      <c r="B15" s="170"/>
      <c r="C15" s="1816" t="s">
        <v>359</v>
      </c>
      <c r="D15" s="1817"/>
      <c r="E15" s="1802" t="s">
        <v>1016</v>
      </c>
      <c r="F15" s="1802"/>
      <c r="G15" s="1802"/>
      <c r="H15" s="1802"/>
      <c r="I15" s="171"/>
      <c r="J15" s="1890" t="s">
        <v>355</v>
      </c>
      <c r="K15" s="1891"/>
      <c r="L15" s="196"/>
      <c r="M15" s="150"/>
      <c r="N15" s="1850" t="s">
        <v>747</v>
      </c>
      <c r="O15" s="1851"/>
      <c r="P15" s="1851"/>
      <c r="Q15" s="186"/>
      <c r="R15" s="1846"/>
      <c r="S15" s="1814">
        <f>'Annexure -I I'!L46</f>
        <v>150000</v>
      </c>
      <c r="T15" s="1815"/>
      <c r="U15" s="151"/>
      <c r="V15" s="153"/>
      <c r="W15" s="153"/>
      <c r="X15" s="173">
        <f t="shared" si="0"/>
        <v>43466</v>
      </c>
      <c r="Y15" s="174">
        <f t="shared" si="1"/>
        <v>20050</v>
      </c>
      <c r="Z15" s="175">
        <f>IF(X15=AT$189,AT$194,BA150)</f>
        <v>631</v>
      </c>
      <c r="AA15" s="157"/>
      <c r="AB15" s="197">
        <f>AW150</f>
        <v>20050</v>
      </c>
      <c r="AC15" s="198">
        <f>IF(X15=AT$189,AT$197,BC150)</f>
        <v>630</v>
      </c>
      <c r="AD15" s="160"/>
      <c r="AE15" s="161"/>
      <c r="AF15" s="161"/>
      <c r="AG15" s="161"/>
      <c r="AH15" s="161"/>
      <c r="AI15" s="168"/>
      <c r="AJ15" s="199"/>
      <c r="AK15" s="164"/>
      <c r="AL15" s="165"/>
      <c r="AM15" s="195"/>
      <c r="AN15" s="168"/>
      <c r="AO15" s="168"/>
      <c r="AP15" s="168"/>
      <c r="AQ15" s="110"/>
      <c r="AR15" s="110"/>
      <c r="AS15" s="110"/>
      <c r="AT15" s="110"/>
      <c r="AU15" s="110"/>
      <c r="AV15" s="110"/>
      <c r="AW15" s="110"/>
      <c r="AX15" s="110"/>
      <c r="AY15" s="110"/>
      <c r="AZ15" s="110"/>
      <c r="BA15" s="110"/>
      <c r="BB15" s="110"/>
      <c r="BC15" s="110"/>
      <c r="BD15" s="110"/>
      <c r="BE15" s="110"/>
      <c r="BF15" s="110"/>
      <c r="BG15" s="110"/>
      <c r="BH15" s="110"/>
      <c r="BI15" s="110"/>
      <c r="BJ15" s="110"/>
      <c r="BK15" s="110"/>
      <c r="BL15" s="110"/>
      <c r="BM15" s="110"/>
      <c r="BN15" s="110"/>
      <c r="BO15" s="110"/>
      <c r="BP15" s="110"/>
      <c r="BQ15" s="110"/>
      <c r="BR15" s="110"/>
      <c r="BS15" s="110"/>
      <c r="BT15" s="110"/>
      <c r="BU15" s="110"/>
      <c r="BV15" s="110"/>
      <c r="BW15" s="110"/>
      <c r="BX15" s="110"/>
      <c r="BY15" s="110"/>
      <c r="BZ15" s="110"/>
      <c r="CA15" s="110"/>
      <c r="CB15" s="110"/>
      <c r="CC15" s="110"/>
      <c r="CD15" s="110"/>
      <c r="CE15" s="110"/>
      <c r="CF15" s="110"/>
      <c r="CG15" s="110"/>
      <c r="CH15" s="110"/>
      <c r="CI15" s="110"/>
      <c r="CJ15" s="110"/>
      <c r="CK15" s="110"/>
      <c r="CL15" s="110"/>
      <c r="CM15" s="110"/>
      <c r="CN15" s="110"/>
      <c r="CO15" s="110"/>
    </row>
    <row r="16" spans="1:111" ht="18" customHeight="1">
      <c r="A16" s="110"/>
      <c r="B16" s="200"/>
      <c r="C16" s="1816" t="s">
        <v>360</v>
      </c>
      <c r="D16" s="1817"/>
      <c r="E16" s="1802" t="s">
        <v>5</v>
      </c>
      <c r="F16" s="1802"/>
      <c r="G16" s="1802"/>
      <c r="H16" s="1802"/>
      <c r="I16" s="171"/>
      <c r="J16" s="1816" t="s">
        <v>399</v>
      </c>
      <c r="K16" s="1918"/>
      <c r="L16" s="201"/>
      <c r="M16" s="150"/>
      <c r="N16" s="202" t="s">
        <v>950</v>
      </c>
      <c r="O16" s="203"/>
      <c r="P16" s="203"/>
      <c r="Q16" s="204"/>
      <c r="R16" s="205"/>
      <c r="S16" s="206"/>
      <c r="T16" s="207"/>
      <c r="U16" s="208"/>
      <c r="V16" s="209"/>
      <c r="W16" s="209"/>
      <c r="X16" s="173">
        <f t="shared" si="0"/>
        <v>43497</v>
      </c>
      <c r="Y16" s="174">
        <f t="shared" si="1"/>
        <v>20050</v>
      </c>
      <c r="Z16" s="175">
        <f>IF(X16=AT$189,AT$194,BA151)</f>
        <v>631</v>
      </c>
      <c r="AA16" s="157"/>
      <c r="AB16" s="197">
        <f>AW151</f>
        <v>20050</v>
      </c>
      <c r="AC16" s="198">
        <f>IF(X16=AT$189,AT$197,BC151)</f>
        <v>630</v>
      </c>
      <c r="AD16" s="160"/>
      <c r="AE16" s="161"/>
      <c r="AF16" s="161"/>
      <c r="AG16" s="161"/>
      <c r="AH16" s="161"/>
      <c r="AI16" s="210"/>
      <c r="AJ16" s="211"/>
      <c r="AK16" s="164"/>
      <c r="AL16" s="165"/>
      <c r="AM16" s="195"/>
      <c r="AN16" s="212"/>
      <c r="AO16" s="167"/>
      <c r="AP16" s="168"/>
      <c r="AQ16" s="110"/>
      <c r="AR16" s="110"/>
      <c r="AS16" s="110"/>
      <c r="AT16" s="110"/>
      <c r="AU16" s="110"/>
      <c r="AV16" s="110"/>
      <c r="AW16" s="110"/>
      <c r="AX16" s="110"/>
      <c r="AY16" s="110"/>
      <c r="AZ16" s="213"/>
      <c r="BA16" s="110"/>
      <c r="BB16" s="110"/>
      <c r="BC16" s="110"/>
      <c r="BD16" s="110"/>
      <c r="BE16" s="110"/>
      <c r="BF16" s="110"/>
      <c r="BG16" s="110"/>
      <c r="BH16" s="110"/>
      <c r="BI16" s="110"/>
      <c r="BJ16" s="110"/>
      <c r="BK16" s="110"/>
      <c r="BL16" s="110"/>
      <c r="BM16" s="110"/>
      <c r="BN16" s="110"/>
      <c r="BO16" s="110"/>
      <c r="BP16" s="110"/>
      <c r="BQ16" s="110"/>
      <c r="BR16" s="110"/>
      <c r="BS16" s="110"/>
      <c r="BT16" s="110"/>
      <c r="BU16" s="110"/>
      <c r="BV16" s="110"/>
      <c r="BW16" s="110"/>
      <c r="BX16" s="110"/>
      <c r="BY16" s="110"/>
      <c r="BZ16" s="110"/>
      <c r="CA16" s="110"/>
      <c r="CB16" s="110"/>
      <c r="CC16" s="110"/>
      <c r="CD16" s="110"/>
      <c r="CE16" s="110"/>
      <c r="CF16" s="110"/>
      <c r="CG16" s="110"/>
      <c r="CH16" s="110"/>
      <c r="CI16" s="110"/>
      <c r="CJ16" s="110"/>
      <c r="CK16" s="110"/>
      <c r="CL16" s="110"/>
      <c r="CM16" s="110"/>
      <c r="CN16" s="110"/>
      <c r="CO16" s="110"/>
    </row>
    <row r="17" spans="1:111" ht="18" customHeight="1">
      <c r="A17" s="110"/>
      <c r="B17" s="214"/>
      <c r="C17" s="1892" t="s">
        <v>731</v>
      </c>
      <c r="D17" s="1893"/>
      <c r="E17" s="1982"/>
      <c r="F17" s="1982"/>
      <c r="G17" s="1982"/>
      <c r="H17" s="1983"/>
      <c r="I17" s="171"/>
      <c r="J17" s="1816" t="s">
        <v>933</v>
      </c>
      <c r="K17" s="1918"/>
      <c r="L17" s="215"/>
      <c r="M17" s="150"/>
      <c r="N17" s="1894" t="s">
        <v>949</v>
      </c>
      <c r="O17" s="1895"/>
      <c r="P17" s="1895"/>
      <c r="Q17" s="216" t="s">
        <v>948</v>
      </c>
      <c r="R17" s="217"/>
      <c r="S17" s="218"/>
      <c r="T17" s="216"/>
      <c r="U17" s="208"/>
      <c r="V17" s="209"/>
      <c r="W17" s="209"/>
      <c r="X17" s="219">
        <f t="shared" si="0"/>
        <v>43525</v>
      </c>
      <c r="Y17" s="220">
        <f t="shared" si="1"/>
        <v>20050</v>
      </c>
      <c r="Z17" s="221">
        <f>IF(X17=AT$189,AT$194,BA152)</f>
        <v>631</v>
      </c>
      <c r="AA17" s="222"/>
      <c r="AB17" s="223">
        <f>AW152</f>
        <v>20050</v>
      </c>
      <c r="AC17" s="224">
        <f>IF(X17=AT$189,AT$197,BC152)</f>
        <v>630</v>
      </c>
      <c r="AD17" s="160"/>
      <c r="AE17" s="161"/>
      <c r="AF17" s="161"/>
      <c r="AG17" s="161"/>
      <c r="AH17" s="161"/>
      <c r="AI17" s="210"/>
      <c r="AJ17" s="211"/>
      <c r="AK17" s="164"/>
      <c r="AL17" s="165"/>
      <c r="AM17" s="195"/>
      <c r="AN17" s="168"/>
      <c r="AO17" s="168"/>
      <c r="AP17" s="168"/>
      <c r="AQ17" s="110"/>
      <c r="AR17" s="110"/>
      <c r="AS17" s="110"/>
      <c r="AT17" s="110"/>
      <c r="AU17" s="110"/>
      <c r="AV17" s="110"/>
      <c r="AW17" s="110"/>
      <c r="AX17" s="110"/>
      <c r="AY17" s="110"/>
      <c r="AZ17" s="110"/>
      <c r="BA17" s="110"/>
      <c r="BB17" s="110"/>
      <c r="BC17" s="110"/>
      <c r="BD17" s="110"/>
      <c r="BE17" s="110"/>
      <c r="BF17" s="110"/>
      <c r="BG17" s="110"/>
      <c r="BH17" s="110"/>
      <c r="BI17" s="110"/>
      <c r="BJ17" s="110"/>
      <c r="BK17" s="110"/>
      <c r="BL17" s="110"/>
      <c r="BM17" s="110"/>
      <c r="BN17" s="110"/>
      <c r="BO17" s="110"/>
      <c r="BP17" s="110"/>
      <c r="BQ17" s="110"/>
      <c r="BR17" s="110"/>
      <c r="BS17" s="110"/>
      <c r="BT17" s="110"/>
      <c r="BU17" s="110"/>
      <c r="BV17" s="110"/>
      <c r="BW17" s="110"/>
      <c r="BX17" s="110"/>
      <c r="BY17" s="110"/>
      <c r="BZ17" s="110"/>
      <c r="CA17" s="110"/>
      <c r="CB17" s="110"/>
      <c r="CC17" s="110"/>
      <c r="CD17" s="110"/>
      <c r="CE17" s="110"/>
      <c r="CF17" s="110"/>
      <c r="CG17" s="110"/>
      <c r="CH17" s="110"/>
      <c r="CI17" s="110"/>
      <c r="CJ17" s="110"/>
      <c r="CK17" s="110"/>
      <c r="CL17" s="110"/>
      <c r="CM17" s="110"/>
      <c r="CN17" s="110"/>
      <c r="CO17" s="110"/>
    </row>
    <row r="18" spans="1:111" ht="18" customHeight="1">
      <c r="A18" s="110"/>
      <c r="B18" s="144"/>
      <c r="C18" s="225" t="s">
        <v>400</v>
      </c>
      <c r="D18" s="226"/>
      <c r="E18" s="2010"/>
      <c r="F18" s="2010"/>
      <c r="G18" s="2010"/>
      <c r="H18" s="2011"/>
      <c r="I18" s="1900"/>
      <c r="J18" s="1960" t="s">
        <v>381</v>
      </c>
      <c r="K18" s="1961"/>
      <c r="L18" s="227"/>
      <c r="M18" s="150"/>
      <c r="N18" s="228"/>
      <c r="O18" s="229"/>
      <c r="P18" s="229"/>
      <c r="Q18" s="230"/>
      <c r="R18" s="231"/>
      <c r="S18" s="230"/>
      <c r="T18" s="232"/>
      <c r="U18" s="151"/>
      <c r="V18" s="153"/>
      <c r="W18" s="153"/>
      <c r="X18" s="173">
        <f t="shared" si="0"/>
        <v>43556</v>
      </c>
      <c r="Y18" s="174">
        <f t="shared" si="1"/>
        <v>20050</v>
      </c>
      <c r="Z18" s="233">
        <f t="shared" ref="Z18:Z27" si="3">IF(X18=AT$189,AT$194,BA153)</f>
        <v>631</v>
      </c>
      <c r="AA18" s="234"/>
      <c r="AB18" s="197">
        <f>AW153</f>
        <v>20050</v>
      </c>
      <c r="AC18" s="235">
        <f>IF(X18=AT$189,AT$197,BC153)</f>
        <v>630</v>
      </c>
      <c r="AD18" s="160"/>
      <c r="AE18" s="161"/>
      <c r="AF18" s="161"/>
      <c r="AG18" s="161"/>
      <c r="AH18" s="161"/>
      <c r="AI18" s="168"/>
      <c r="AJ18" s="199"/>
      <c r="AK18" s="164"/>
      <c r="AL18" s="165"/>
      <c r="AM18" s="195"/>
      <c r="AN18" s="168"/>
      <c r="AO18" s="168"/>
      <c r="AP18" s="168"/>
      <c r="AQ18" s="110"/>
      <c r="AR18" s="110"/>
      <c r="AS18" s="110"/>
      <c r="AT18" s="110"/>
      <c r="AU18" s="110"/>
      <c r="AV18" s="110"/>
      <c r="AW18" s="110"/>
      <c r="AX18" s="110"/>
      <c r="AY18" s="110"/>
      <c r="AZ18" s="110"/>
      <c r="BA18" s="110"/>
      <c r="BB18" s="110"/>
      <c r="BC18" s="110"/>
      <c r="BD18" s="110"/>
      <c r="BE18" s="110"/>
      <c r="BF18" s="110"/>
      <c r="BG18" s="110"/>
      <c r="BH18" s="110"/>
      <c r="BI18" s="110"/>
      <c r="BJ18" s="110"/>
      <c r="BK18" s="110"/>
      <c r="BL18" s="110"/>
      <c r="BM18" s="110"/>
      <c r="BN18" s="110"/>
      <c r="BO18" s="110"/>
      <c r="BP18" s="110"/>
      <c r="BQ18" s="110"/>
      <c r="BR18" s="110"/>
      <c r="BS18" s="110"/>
      <c r="BT18" s="110"/>
      <c r="BU18" s="110"/>
      <c r="BV18" s="110"/>
      <c r="BW18" s="110"/>
      <c r="BX18" s="110"/>
      <c r="BY18" s="110"/>
      <c r="BZ18" s="110"/>
      <c r="CA18" s="110"/>
      <c r="CB18" s="110"/>
      <c r="CC18" s="110"/>
      <c r="CD18" s="110"/>
      <c r="CE18" s="110"/>
      <c r="CF18" s="110"/>
      <c r="CG18" s="110"/>
      <c r="CH18" s="110"/>
      <c r="CI18" s="110"/>
      <c r="CJ18" s="110"/>
      <c r="CK18" s="110"/>
      <c r="CL18" s="110"/>
      <c r="CM18" s="110"/>
      <c r="CN18" s="110"/>
      <c r="CO18" s="110"/>
    </row>
    <row r="19" spans="1:111" ht="18" customHeight="1">
      <c r="A19" s="110"/>
      <c r="B19" s="144"/>
      <c r="C19" s="1821" t="s">
        <v>570</v>
      </c>
      <c r="D19" s="1822"/>
      <c r="E19" s="1954" t="s">
        <v>1017</v>
      </c>
      <c r="F19" s="1954"/>
      <c r="G19" s="1954"/>
      <c r="H19" s="1955"/>
      <c r="I19" s="1900"/>
      <c r="J19" s="236"/>
      <c r="K19" s="237"/>
      <c r="L19" s="238"/>
      <c r="M19" s="150"/>
      <c r="N19" s="1833" t="s">
        <v>713</v>
      </c>
      <c r="O19" s="1834"/>
      <c r="P19" s="1834"/>
      <c r="Q19" s="1834"/>
      <c r="R19" s="1834"/>
      <c r="S19" s="1834"/>
      <c r="T19" s="1848"/>
      <c r="U19" s="239"/>
      <c r="V19" s="153"/>
      <c r="W19" s="153"/>
      <c r="X19" s="173">
        <f t="shared" si="0"/>
        <v>43586</v>
      </c>
      <c r="Y19" s="174">
        <f t="shared" si="1"/>
        <v>20050</v>
      </c>
      <c r="Z19" s="233">
        <f t="shared" si="3"/>
        <v>631</v>
      </c>
      <c r="AA19" s="234"/>
      <c r="AB19" s="197">
        <f t="shared" ref="AB19:AB27" si="4">AW154</f>
        <v>20050</v>
      </c>
      <c r="AC19" s="235">
        <f t="shared" ref="AC19:AC27" si="5">IF(X19=AT$189,AT$197,BC154)</f>
        <v>630</v>
      </c>
      <c r="AD19" s="160"/>
      <c r="AE19" s="161"/>
      <c r="AF19" s="161"/>
      <c r="AG19" s="161"/>
      <c r="AH19" s="161"/>
      <c r="AI19" s="240"/>
      <c r="AJ19" s="241"/>
      <c r="AK19" s="164"/>
      <c r="AL19" s="165"/>
      <c r="AM19" s="195"/>
      <c r="AN19" s="168"/>
      <c r="AO19" s="168"/>
      <c r="AP19" s="168" t="s">
        <v>675</v>
      </c>
      <c r="AQ19" s="110"/>
      <c r="AR19" s="110"/>
      <c r="AS19" s="110"/>
      <c r="AT19" s="110"/>
      <c r="AU19" s="110"/>
      <c r="AV19" s="110"/>
      <c r="AW19" s="110"/>
      <c r="AX19" s="110"/>
      <c r="AY19" s="110"/>
      <c r="AZ19" s="110"/>
      <c r="BA19" s="110"/>
      <c r="BB19" s="110"/>
      <c r="BC19" s="110"/>
      <c r="BD19" s="110"/>
      <c r="BE19" s="110"/>
      <c r="BF19" s="110"/>
      <c r="BG19" s="110"/>
      <c r="BH19" s="110"/>
      <c r="BI19" s="110"/>
      <c r="BJ19" s="110"/>
      <c r="BK19" s="110"/>
      <c r="BL19" s="110"/>
      <c r="BM19" s="110"/>
      <c r="BN19" s="110"/>
      <c r="BO19" s="110"/>
      <c r="BP19" s="110"/>
      <c r="BQ19" s="110"/>
      <c r="BR19" s="110"/>
      <c r="BS19" s="110"/>
      <c r="BT19" s="110"/>
      <c r="BU19" s="110"/>
      <c r="BV19" s="110"/>
      <c r="BW19" s="110"/>
      <c r="BX19" s="110"/>
      <c r="BY19" s="110"/>
      <c r="BZ19" s="110"/>
      <c r="CA19" s="110"/>
      <c r="CB19" s="110"/>
      <c r="CC19" s="110"/>
      <c r="CD19" s="110"/>
      <c r="CE19" s="110"/>
      <c r="CF19" s="110"/>
      <c r="CG19" s="110"/>
      <c r="CH19" s="110"/>
      <c r="CI19" s="110"/>
      <c r="CJ19" s="110"/>
      <c r="CK19" s="110"/>
      <c r="CL19" s="110"/>
      <c r="CM19" s="110"/>
      <c r="CN19" s="110"/>
      <c r="CO19" s="110"/>
    </row>
    <row r="20" spans="1:111" ht="18" customHeight="1">
      <c r="A20" s="110"/>
      <c r="B20" s="144"/>
      <c r="C20" s="1821" t="s">
        <v>571</v>
      </c>
      <c r="D20" s="1822"/>
      <c r="E20" s="1954" t="s">
        <v>1015</v>
      </c>
      <c r="F20" s="1954"/>
      <c r="G20" s="1954"/>
      <c r="H20" s="1955"/>
      <c r="I20" s="1900"/>
      <c r="J20" s="242" t="s">
        <v>934</v>
      </c>
      <c r="K20" s="243"/>
      <c r="L20" s="244"/>
      <c r="M20" s="150"/>
      <c r="N20" s="1974" t="s">
        <v>1011</v>
      </c>
      <c r="O20" s="1975"/>
      <c r="P20" s="245">
        <v>7000</v>
      </c>
      <c r="Q20" s="1917" t="s">
        <v>936</v>
      </c>
      <c r="R20" s="1917"/>
      <c r="S20" s="245"/>
      <c r="T20" s="246"/>
      <c r="U20" s="151"/>
      <c r="V20" s="153"/>
      <c r="W20" s="153"/>
      <c r="X20" s="173">
        <f t="shared" si="0"/>
        <v>43617</v>
      </c>
      <c r="Y20" s="174">
        <f t="shared" si="1"/>
        <v>20050</v>
      </c>
      <c r="Z20" s="233">
        <f t="shared" si="3"/>
        <v>631</v>
      </c>
      <c r="AA20" s="234"/>
      <c r="AB20" s="197">
        <f t="shared" si="4"/>
        <v>20050</v>
      </c>
      <c r="AC20" s="235">
        <f t="shared" si="5"/>
        <v>630</v>
      </c>
      <c r="AD20" s="160"/>
      <c r="AE20" s="161"/>
      <c r="AF20" s="161"/>
      <c r="AG20" s="161"/>
      <c r="AH20" s="161"/>
      <c r="AI20" s="168"/>
      <c r="AJ20" s="199"/>
      <c r="AK20" s="164"/>
      <c r="AL20" s="165"/>
      <c r="AM20" s="195"/>
      <c r="AN20" s="168"/>
      <c r="AO20" s="168"/>
      <c r="AP20" s="168"/>
      <c r="AQ20" s="110"/>
      <c r="AR20" s="110"/>
      <c r="AS20" s="110"/>
      <c r="AT20" s="110"/>
      <c r="AU20" s="110"/>
      <c r="AV20" s="110"/>
      <c r="AW20" s="110"/>
      <c r="AX20" s="110"/>
      <c r="AY20" s="110"/>
      <c r="AZ20" s="110"/>
      <c r="BA20" s="110"/>
      <c r="BB20" s="110"/>
      <c r="BC20" s="110"/>
      <c r="BD20" s="110"/>
      <c r="BE20" s="110"/>
      <c r="BF20" s="110"/>
      <c r="BG20" s="110"/>
      <c r="BH20" s="110"/>
      <c r="BI20" s="110"/>
      <c r="BJ20" s="110"/>
      <c r="BK20" s="110"/>
      <c r="BL20" s="110"/>
      <c r="BM20" s="110"/>
      <c r="BN20" s="110"/>
      <c r="BO20" s="110"/>
      <c r="BP20" s="110"/>
      <c r="BQ20" s="110"/>
      <c r="BR20" s="110"/>
      <c r="BS20" s="110"/>
      <c r="BT20" s="110"/>
      <c r="BU20" s="110"/>
      <c r="BV20" s="110"/>
      <c r="BW20" s="110"/>
      <c r="BX20" s="110"/>
      <c r="BY20" s="110"/>
      <c r="BZ20" s="110"/>
      <c r="CA20" s="110"/>
      <c r="CB20" s="110"/>
      <c r="CC20" s="110"/>
      <c r="CD20" s="110"/>
      <c r="CE20" s="110"/>
      <c r="CF20" s="110"/>
      <c r="CG20" s="110"/>
      <c r="CH20" s="110"/>
      <c r="CI20" s="110"/>
      <c r="CJ20" s="110"/>
      <c r="CK20" s="110"/>
      <c r="CL20" s="110"/>
      <c r="CM20" s="110"/>
      <c r="CN20" s="110"/>
      <c r="CO20" s="110"/>
    </row>
    <row r="21" spans="1:111" ht="18" customHeight="1">
      <c r="A21" s="110"/>
      <c r="B21" s="247"/>
      <c r="C21" s="1821" t="s">
        <v>572</v>
      </c>
      <c r="D21" s="1822"/>
      <c r="E21" s="1802" t="s">
        <v>1016</v>
      </c>
      <c r="F21" s="1802"/>
      <c r="G21" s="1802"/>
      <c r="H21" s="1802"/>
      <c r="I21" s="1900"/>
      <c r="J21" s="248" t="s">
        <v>387</v>
      </c>
      <c r="K21" s="249"/>
      <c r="L21" s="250"/>
      <c r="M21" s="150"/>
      <c r="N21" s="1872" t="str">
        <f>IF(CL274=1,"APGLI Mothly ","TSGLI Mothly ")</f>
        <v xml:space="preserve">APGLI Mothly </v>
      </c>
      <c r="O21" s="1873"/>
      <c r="P21" s="251">
        <v>2000</v>
      </c>
      <c r="Q21" s="1981" t="str">
        <f>IF(CL274=1," APGLI Change","TSGLI Change")</f>
        <v xml:space="preserve"> APGLI Change</v>
      </c>
      <c r="R21" s="1981"/>
      <c r="S21" s="251"/>
      <c r="T21" s="252"/>
      <c r="U21" s="1971"/>
      <c r="V21" s="153"/>
      <c r="W21" s="153"/>
      <c r="X21" s="173">
        <f t="shared" si="0"/>
        <v>43647</v>
      </c>
      <c r="Y21" s="174">
        <f t="shared" si="1"/>
        <v>20050</v>
      </c>
      <c r="Z21" s="233">
        <f t="shared" si="3"/>
        <v>631</v>
      </c>
      <c r="AA21" s="234"/>
      <c r="AB21" s="197">
        <f t="shared" si="4"/>
        <v>20050</v>
      </c>
      <c r="AC21" s="235">
        <f t="shared" si="5"/>
        <v>630</v>
      </c>
      <c r="AD21" s="160"/>
      <c r="AE21" s="161"/>
      <c r="AF21" s="161"/>
      <c r="AG21" s="161"/>
      <c r="AH21" s="161"/>
      <c r="AI21" s="168"/>
      <c r="AJ21" s="199"/>
      <c r="AK21" s="164"/>
      <c r="AL21" s="165"/>
      <c r="AM21" s="195"/>
      <c r="AN21" s="180">
        <f>SUM(Z17:Z28)+SUM(AC17:AC28)</f>
        <v>15391</v>
      </c>
      <c r="AO21" s="167" t="s">
        <v>844</v>
      </c>
      <c r="AP21" s="168"/>
      <c r="AQ21" s="110"/>
      <c r="AR21" s="110"/>
      <c r="AS21" s="110"/>
      <c r="AT21" s="110"/>
      <c r="AU21" s="110"/>
      <c r="AV21" s="110"/>
      <c r="AW21" s="110"/>
      <c r="AX21" s="110"/>
      <c r="AY21" s="110"/>
      <c r="AZ21" s="110"/>
      <c r="BA21" s="110"/>
      <c r="BB21" s="110"/>
      <c r="BC21" s="110"/>
      <c r="BD21" s="110"/>
      <c r="BE21" s="110"/>
      <c r="BF21" s="110"/>
      <c r="BG21" s="110"/>
      <c r="BH21" s="110"/>
      <c r="BI21" s="110"/>
      <c r="BJ21" s="110"/>
      <c r="BK21" s="110"/>
      <c r="BL21" s="110"/>
      <c r="BM21" s="110"/>
      <c r="BN21" s="110"/>
      <c r="BO21" s="110"/>
      <c r="BP21" s="110"/>
      <c r="BQ21" s="110"/>
      <c r="BR21" s="110"/>
      <c r="BS21" s="110"/>
      <c r="BT21" s="110"/>
      <c r="BU21" s="110"/>
      <c r="BV21" s="110"/>
      <c r="BW21" s="110"/>
      <c r="BX21" s="110"/>
      <c r="BY21" s="110"/>
      <c r="BZ21" s="110"/>
      <c r="CA21" s="110"/>
      <c r="CB21" s="110"/>
      <c r="CC21" s="110"/>
      <c r="CD21" s="110"/>
      <c r="CE21" s="110"/>
      <c r="CF21" s="110"/>
      <c r="CG21" s="110"/>
      <c r="CH21" s="110"/>
      <c r="CI21" s="110"/>
      <c r="CJ21" s="110"/>
      <c r="CK21" s="110"/>
      <c r="CL21" s="110"/>
      <c r="CM21" s="110"/>
      <c r="CN21" s="110"/>
      <c r="CO21" s="110"/>
    </row>
    <row r="22" spans="1:111" ht="18" customHeight="1">
      <c r="A22" s="110"/>
      <c r="B22" s="247"/>
      <c r="C22" s="1821" t="s">
        <v>359</v>
      </c>
      <c r="D22" s="1822"/>
      <c r="E22" s="1802" t="s">
        <v>1016</v>
      </c>
      <c r="F22" s="1802"/>
      <c r="G22" s="1802"/>
      <c r="H22" s="1802"/>
      <c r="I22" s="1900"/>
      <c r="J22" s="253" t="s">
        <v>942</v>
      </c>
      <c r="K22" s="254"/>
      <c r="L22" s="255"/>
      <c r="M22" s="150"/>
      <c r="N22" s="1906" t="s">
        <v>1012</v>
      </c>
      <c r="O22" s="1907"/>
      <c r="P22" s="256">
        <v>120</v>
      </c>
      <c r="Q22" s="1944" t="s">
        <v>937</v>
      </c>
      <c r="R22" s="1944"/>
      <c r="S22" s="256"/>
      <c r="T22" s="252"/>
      <c r="U22" s="1971"/>
      <c r="V22" s="153"/>
      <c r="W22" s="153"/>
      <c r="X22" s="173">
        <f t="shared" si="0"/>
        <v>43678</v>
      </c>
      <c r="Y22" s="174">
        <f t="shared" si="1"/>
        <v>20640</v>
      </c>
      <c r="Z22" s="233">
        <f t="shared" si="3"/>
        <v>649</v>
      </c>
      <c r="AA22" s="234"/>
      <c r="AB22" s="197">
        <f t="shared" si="4"/>
        <v>20640</v>
      </c>
      <c r="AC22" s="235">
        <f t="shared" si="5"/>
        <v>649</v>
      </c>
      <c r="AD22" s="160"/>
      <c r="AE22" s="161"/>
      <c r="AF22" s="161"/>
      <c r="AG22" s="161"/>
      <c r="AH22" s="161"/>
      <c r="AI22" s="167"/>
      <c r="AJ22" s="199"/>
      <c r="AK22" s="164"/>
      <c r="AL22" s="165"/>
      <c r="AM22" s="195"/>
      <c r="AN22" s="180"/>
      <c r="AO22" s="167"/>
      <c r="AP22" s="168"/>
      <c r="AQ22" s="110"/>
      <c r="AR22" s="110"/>
      <c r="AS22" s="110"/>
      <c r="AT22" s="110"/>
      <c r="AU22" s="110"/>
      <c r="AV22" s="110"/>
      <c r="AW22" s="110"/>
      <c r="AX22" s="110"/>
      <c r="AY22" s="110"/>
      <c r="AZ22" s="110"/>
      <c r="BA22" s="110"/>
      <c r="BB22" s="110"/>
      <c r="BC22" s="110"/>
      <c r="BD22" s="110"/>
      <c r="BE22" s="110"/>
      <c r="BF22" s="110"/>
      <c r="BG22" s="110"/>
      <c r="BH22" s="110"/>
      <c r="BI22" s="110"/>
      <c r="BJ22" s="110"/>
      <c r="BK22" s="110"/>
      <c r="BL22" s="110"/>
      <c r="BM22" s="110"/>
      <c r="BN22" s="110"/>
      <c r="BO22" s="110"/>
      <c r="BP22" s="110"/>
      <c r="BQ22" s="110"/>
      <c r="BR22" s="110"/>
      <c r="BS22" s="110"/>
      <c r="BT22" s="110"/>
      <c r="BU22" s="110"/>
      <c r="BV22" s="110"/>
      <c r="BW22" s="110"/>
      <c r="BX22" s="110"/>
      <c r="BY22" s="110"/>
      <c r="BZ22" s="110"/>
      <c r="CA22" s="110"/>
      <c r="CB22" s="110"/>
      <c r="CC22" s="110"/>
      <c r="CD22" s="110"/>
      <c r="CE22" s="110"/>
      <c r="CF22" s="110"/>
      <c r="CG22" s="110"/>
      <c r="CH22" s="110"/>
      <c r="CI22" s="110"/>
      <c r="CJ22" s="110"/>
      <c r="CK22" s="110"/>
      <c r="CL22" s="110"/>
      <c r="CM22" s="110"/>
      <c r="CN22" s="110"/>
      <c r="CO22" s="110"/>
    </row>
    <row r="23" spans="1:111" ht="18" customHeight="1">
      <c r="A23" s="110"/>
      <c r="B23" s="247"/>
      <c r="C23" s="257" t="s">
        <v>805</v>
      </c>
      <c r="D23" s="258"/>
      <c r="E23" s="259" t="s">
        <v>806</v>
      </c>
      <c r="F23" s="1819"/>
      <c r="G23" s="1819"/>
      <c r="H23" s="1820"/>
      <c r="I23" s="1900"/>
      <c r="J23" s="260" t="s">
        <v>732</v>
      </c>
      <c r="K23" s="237"/>
      <c r="L23" s="196"/>
      <c r="M23" s="150"/>
      <c r="N23" s="261" t="s">
        <v>997</v>
      </c>
      <c r="O23" s="2032"/>
      <c r="P23" s="2032"/>
      <c r="Q23" s="1901" t="str">
        <f>IF(CL274=1,"APGLI No","TSGLI No")</f>
        <v>APGLI No</v>
      </c>
      <c r="R23" s="1901"/>
      <c r="S23" s="1804"/>
      <c r="T23" s="1805"/>
      <c r="U23" s="1971"/>
      <c r="V23" s="153"/>
      <c r="W23" s="153"/>
      <c r="X23" s="173">
        <f t="shared" si="0"/>
        <v>43709</v>
      </c>
      <c r="Y23" s="174">
        <f t="shared" si="1"/>
        <v>20640</v>
      </c>
      <c r="Z23" s="233">
        <f t="shared" si="3"/>
        <v>649</v>
      </c>
      <c r="AA23" s="234"/>
      <c r="AB23" s="197">
        <f t="shared" si="4"/>
        <v>20640</v>
      </c>
      <c r="AC23" s="235">
        <f t="shared" si="5"/>
        <v>649</v>
      </c>
      <c r="AD23" s="262"/>
      <c r="AE23" s="161"/>
      <c r="AF23" s="161"/>
      <c r="AG23" s="161"/>
      <c r="AH23" s="161"/>
      <c r="AI23" s="168"/>
      <c r="AJ23" s="199"/>
      <c r="AK23" s="164"/>
      <c r="AL23" s="165"/>
      <c r="AM23" s="195"/>
      <c r="AN23" s="168"/>
      <c r="AO23" s="168"/>
      <c r="AP23" s="168"/>
      <c r="AQ23" s="110"/>
      <c r="AR23" s="110"/>
      <c r="AS23" s="110"/>
      <c r="AT23" s="110"/>
      <c r="AU23" s="110"/>
      <c r="AV23" s="110"/>
      <c r="AW23" s="110"/>
      <c r="AX23" s="110"/>
      <c r="AY23" s="110"/>
      <c r="AZ23" s="110"/>
      <c r="BA23" s="110"/>
      <c r="BB23" s="110"/>
      <c r="BC23" s="110"/>
      <c r="BD23" s="110"/>
      <c r="BE23" s="110"/>
      <c r="BF23" s="110"/>
      <c r="BG23" s="110"/>
      <c r="BH23" s="110"/>
      <c r="BI23" s="110"/>
      <c r="BJ23" s="110"/>
      <c r="BK23" s="110"/>
      <c r="BL23" s="110"/>
      <c r="BM23" s="110"/>
      <c r="BN23" s="110"/>
      <c r="BO23" s="110"/>
      <c r="BP23" s="110"/>
      <c r="BQ23" s="110"/>
      <c r="BR23" s="110"/>
      <c r="BS23" s="110"/>
      <c r="BT23" s="110"/>
      <c r="BU23" s="110"/>
      <c r="BV23" s="110"/>
      <c r="BW23" s="110"/>
      <c r="BX23" s="110"/>
      <c r="BY23" s="110"/>
      <c r="BZ23" s="110"/>
      <c r="CA23" s="110"/>
      <c r="CB23" s="110"/>
      <c r="CC23" s="110"/>
      <c r="CD23" s="110"/>
      <c r="CE23" s="110"/>
      <c r="CF23" s="110"/>
      <c r="CG23" s="110"/>
      <c r="CH23" s="110"/>
      <c r="CI23" s="110"/>
      <c r="CJ23" s="110"/>
      <c r="CK23" s="110"/>
      <c r="CL23" s="110"/>
      <c r="CM23" s="110"/>
      <c r="CN23" s="110"/>
      <c r="CO23" s="110"/>
    </row>
    <row r="24" spans="1:111" s="263" customFormat="1" ht="18" customHeight="1">
      <c r="A24" s="264"/>
      <c r="B24" s="265"/>
      <c r="C24" s="2003"/>
      <c r="D24" s="2004"/>
      <c r="E24" s="1998"/>
      <c r="F24" s="1999"/>
      <c r="G24" s="1999"/>
      <c r="H24" s="2000"/>
      <c r="I24" s="1900"/>
      <c r="J24" s="266" t="str">
        <f>IF(CL274=2,"TS Increment","")</f>
        <v/>
      </c>
      <c r="K24" s="267"/>
      <c r="L24" s="268"/>
      <c r="M24" s="269"/>
      <c r="N24" s="1870" t="s">
        <v>939</v>
      </c>
      <c r="O24" s="1871"/>
      <c r="P24" s="270"/>
      <c r="Q24" s="1944" t="s">
        <v>938</v>
      </c>
      <c r="R24" s="1944"/>
      <c r="S24" s="271"/>
      <c r="T24" s="272"/>
      <c r="U24" s="1987"/>
      <c r="V24" s="273"/>
      <c r="W24" s="273"/>
      <c r="X24" s="173">
        <f t="shared" si="0"/>
        <v>43739</v>
      </c>
      <c r="Y24" s="174">
        <f t="shared" si="1"/>
        <v>20640</v>
      </c>
      <c r="Z24" s="233">
        <f t="shared" si="3"/>
        <v>649</v>
      </c>
      <c r="AA24" s="234"/>
      <c r="AB24" s="197">
        <f t="shared" si="4"/>
        <v>20640</v>
      </c>
      <c r="AC24" s="235">
        <f t="shared" si="5"/>
        <v>649</v>
      </c>
      <c r="AD24" s="262"/>
      <c r="AE24" s="274"/>
      <c r="AF24" s="274"/>
      <c r="AG24" s="274"/>
      <c r="AH24" s="274"/>
      <c r="AI24" s="275"/>
      <c r="AJ24" s="199"/>
      <c r="AK24" s="164"/>
      <c r="AL24" s="165"/>
      <c r="AM24" s="195"/>
      <c r="AN24" s="275"/>
      <c r="AO24" s="275"/>
      <c r="AP24" s="275"/>
      <c r="AQ24" s="264"/>
      <c r="AR24" s="264"/>
      <c r="AS24" s="264"/>
      <c r="AT24" s="264"/>
      <c r="AU24" s="264"/>
      <c r="AV24" s="264"/>
      <c r="AW24" s="264"/>
      <c r="AX24" s="264"/>
      <c r="AY24" s="264"/>
      <c r="AZ24" s="264"/>
      <c r="BA24" s="264"/>
      <c r="BB24" s="264"/>
      <c r="BC24" s="264"/>
      <c r="BD24" s="264"/>
      <c r="BE24" s="264"/>
      <c r="BF24" s="264"/>
      <c r="BG24" s="264"/>
      <c r="BH24" s="264"/>
      <c r="BI24" s="264"/>
      <c r="BJ24" s="264"/>
      <c r="BK24" s="264"/>
      <c r="BL24" s="264"/>
      <c r="BM24" s="264"/>
      <c r="BN24" s="264"/>
      <c r="BO24" s="264"/>
      <c r="BP24" s="264"/>
      <c r="BQ24" s="264"/>
      <c r="BR24" s="264"/>
      <c r="BS24" s="264"/>
      <c r="BT24" s="264"/>
      <c r="BU24" s="264"/>
      <c r="BV24" s="264"/>
      <c r="BW24" s="264"/>
      <c r="BX24" s="264"/>
      <c r="BY24" s="264"/>
      <c r="BZ24" s="264"/>
      <c r="CA24" s="264"/>
      <c r="CB24" s="264"/>
      <c r="CC24" s="264"/>
      <c r="CD24" s="264"/>
      <c r="CE24" s="264"/>
      <c r="CF24" s="264"/>
      <c r="CG24" s="264"/>
      <c r="CH24" s="264"/>
      <c r="CI24" s="264"/>
      <c r="CJ24" s="264"/>
      <c r="CK24" s="264"/>
      <c r="CL24" s="264"/>
      <c r="CM24" s="264"/>
      <c r="CN24" s="264"/>
      <c r="CO24" s="264"/>
      <c r="DB24" s="128"/>
      <c r="DD24" s="109"/>
      <c r="DE24" s="109"/>
      <c r="DF24" s="109"/>
      <c r="DG24" s="109"/>
    </row>
    <row r="25" spans="1:111" ht="18" customHeight="1">
      <c r="A25" s="110"/>
      <c r="B25" s="247"/>
      <c r="C25" s="2014" t="s">
        <v>784</v>
      </c>
      <c r="D25" s="2015"/>
      <c r="E25" s="2015"/>
      <c r="F25" s="2015"/>
      <c r="G25" s="2015"/>
      <c r="H25" s="2016"/>
      <c r="I25" s="1900"/>
      <c r="J25" s="1874" t="s">
        <v>897</v>
      </c>
      <c r="K25" s="1875"/>
      <c r="L25" s="1876"/>
      <c r="M25" s="276"/>
      <c r="N25" s="1868" t="s">
        <v>970</v>
      </c>
      <c r="O25" s="1869"/>
      <c r="P25" s="256">
        <v>50</v>
      </c>
      <c r="Q25" s="1869" t="s">
        <v>971</v>
      </c>
      <c r="R25" s="1918"/>
      <c r="S25" s="1918"/>
      <c r="T25" s="277"/>
      <c r="U25" s="1987"/>
      <c r="V25" s="278"/>
      <c r="W25" s="279"/>
      <c r="X25" s="173">
        <f t="shared" si="0"/>
        <v>43770</v>
      </c>
      <c r="Y25" s="174">
        <f t="shared" si="1"/>
        <v>20640</v>
      </c>
      <c r="Z25" s="233">
        <f t="shared" si="3"/>
        <v>649</v>
      </c>
      <c r="AA25" s="234"/>
      <c r="AB25" s="197">
        <f t="shared" si="4"/>
        <v>20640</v>
      </c>
      <c r="AC25" s="235">
        <f t="shared" si="5"/>
        <v>649</v>
      </c>
      <c r="AD25" s="262"/>
      <c r="AE25" s="280"/>
      <c r="AF25" s="280"/>
      <c r="AG25" s="280"/>
      <c r="AH25" s="280"/>
      <c r="AI25" s="281"/>
      <c r="AJ25" s="199"/>
      <c r="AK25" s="164"/>
      <c r="AL25" s="165"/>
      <c r="AM25" s="195"/>
      <c r="AN25" s="166"/>
      <c r="AO25" s="167"/>
      <c r="AP25" s="168"/>
      <c r="AQ25" s="110"/>
      <c r="AR25" s="110"/>
      <c r="AS25" s="110"/>
      <c r="AT25" s="110"/>
      <c r="AU25" s="110"/>
      <c r="AV25" s="110"/>
      <c r="AW25" s="110"/>
      <c r="AX25" s="110"/>
      <c r="AY25" s="110"/>
      <c r="AZ25" s="110"/>
      <c r="BA25" s="110"/>
      <c r="BB25" s="110"/>
      <c r="BC25" s="110"/>
      <c r="BD25" s="110"/>
      <c r="BE25" s="110"/>
      <c r="BF25" s="110"/>
      <c r="BG25" s="110"/>
      <c r="BH25" s="110"/>
      <c r="BI25" s="110"/>
      <c r="BJ25" s="110"/>
      <c r="BK25" s="110"/>
      <c r="BL25" s="110"/>
      <c r="BM25" s="110"/>
      <c r="BN25" s="110"/>
      <c r="BO25" s="110"/>
      <c r="BP25" s="110"/>
      <c r="BQ25" s="110"/>
      <c r="BR25" s="110"/>
      <c r="BS25" s="110"/>
      <c r="BT25" s="110"/>
      <c r="BU25" s="110"/>
      <c r="BV25" s="110"/>
      <c r="BW25" s="110"/>
      <c r="BX25" s="110"/>
      <c r="BY25" s="110"/>
      <c r="BZ25" s="110"/>
      <c r="CA25" s="110"/>
      <c r="CB25" s="110"/>
      <c r="CC25" s="110"/>
      <c r="CD25" s="110"/>
      <c r="CE25" s="110"/>
      <c r="CF25" s="110"/>
      <c r="CG25" s="110"/>
      <c r="CH25" s="110"/>
      <c r="CI25" s="110"/>
      <c r="CJ25" s="110"/>
      <c r="CK25" s="110"/>
      <c r="CL25" s="110"/>
      <c r="CM25" s="110"/>
      <c r="CN25" s="110"/>
      <c r="CO25" s="110"/>
    </row>
    <row r="26" spans="1:111" ht="18" customHeight="1">
      <c r="A26" s="110"/>
      <c r="B26" s="247"/>
      <c r="C26" s="1794"/>
      <c r="D26" s="1795"/>
      <c r="E26" s="1795"/>
      <c r="F26" s="1796"/>
      <c r="G26" s="1952"/>
      <c r="H26" s="1953"/>
      <c r="I26" s="1900"/>
      <c r="J26" s="1877"/>
      <c r="K26" s="1878"/>
      <c r="L26" s="1878"/>
      <c r="M26" s="282"/>
      <c r="N26" s="2019" t="s">
        <v>1009</v>
      </c>
      <c r="O26" s="2020"/>
      <c r="P26" s="283"/>
      <c r="Q26" s="2021" t="s">
        <v>1010</v>
      </c>
      <c r="R26" s="2021"/>
      <c r="S26" s="283"/>
      <c r="T26" s="284"/>
      <c r="U26" s="1987"/>
      <c r="V26" s="285"/>
      <c r="W26" s="286"/>
      <c r="X26" s="173">
        <f t="shared" si="0"/>
        <v>43800</v>
      </c>
      <c r="Y26" s="174">
        <f t="shared" si="1"/>
        <v>20640</v>
      </c>
      <c r="Z26" s="233">
        <f t="shared" si="3"/>
        <v>649</v>
      </c>
      <c r="AA26" s="234"/>
      <c r="AB26" s="197">
        <f t="shared" si="4"/>
        <v>20640</v>
      </c>
      <c r="AC26" s="235">
        <f t="shared" si="5"/>
        <v>649</v>
      </c>
      <c r="AD26" s="262"/>
      <c r="AE26" s="287"/>
      <c r="AF26" s="287"/>
      <c r="AG26" s="287"/>
      <c r="AH26" s="287"/>
      <c r="AI26" s="288"/>
      <c r="AJ26" s="199"/>
      <c r="AK26" s="164"/>
      <c r="AL26" s="165"/>
      <c r="AM26" s="195"/>
      <c r="AN26" s="168"/>
      <c r="AO26" s="168"/>
      <c r="AP26" s="168"/>
      <c r="AQ26" s="110"/>
      <c r="AR26" s="110"/>
      <c r="AS26" s="110"/>
      <c r="AT26" s="110"/>
      <c r="AU26" s="110"/>
      <c r="AV26" s="110"/>
      <c r="AW26" s="110"/>
      <c r="AX26" s="110"/>
      <c r="AY26" s="110"/>
      <c r="AZ26" s="110"/>
      <c r="BA26" s="110"/>
      <c r="BB26" s="110"/>
      <c r="BC26" s="110"/>
      <c r="BD26" s="110"/>
      <c r="BE26" s="110"/>
      <c r="BF26" s="110"/>
      <c r="BG26" s="110"/>
      <c r="BH26" s="110"/>
      <c r="BI26" s="110"/>
      <c r="BJ26" s="110"/>
      <c r="BK26" s="110"/>
      <c r="BL26" s="110"/>
      <c r="BM26" s="110"/>
      <c r="BN26" s="110"/>
      <c r="BO26" s="110"/>
      <c r="BP26" s="110"/>
      <c r="BQ26" s="110"/>
      <c r="BR26" s="110"/>
      <c r="BS26" s="110"/>
      <c r="BT26" s="110"/>
      <c r="BU26" s="110"/>
      <c r="BV26" s="110"/>
      <c r="BW26" s="110"/>
      <c r="BX26" s="110"/>
      <c r="BY26" s="110"/>
      <c r="BZ26" s="110"/>
      <c r="CA26" s="110"/>
      <c r="CB26" s="110"/>
      <c r="CC26" s="110"/>
      <c r="CD26" s="110"/>
      <c r="CE26" s="110"/>
      <c r="CF26" s="110"/>
      <c r="CG26" s="110"/>
      <c r="CH26" s="110"/>
      <c r="CI26" s="110"/>
      <c r="CJ26" s="110"/>
      <c r="CK26" s="110"/>
      <c r="CL26" s="110"/>
      <c r="CM26" s="110"/>
      <c r="CN26" s="110"/>
      <c r="CO26" s="110"/>
    </row>
    <row r="27" spans="1:111" ht="18" customHeight="1">
      <c r="A27" s="110"/>
      <c r="B27" s="247"/>
      <c r="C27" s="289"/>
      <c r="D27" s="290"/>
      <c r="E27" s="290"/>
      <c r="F27" s="291"/>
      <c r="G27" s="1956"/>
      <c r="H27" s="1957"/>
      <c r="I27" s="1900"/>
      <c r="J27" s="292"/>
      <c r="K27" s="293"/>
      <c r="L27" s="293"/>
      <c r="M27" s="282"/>
      <c r="N27" s="293"/>
      <c r="O27" s="294"/>
      <c r="P27" s="293"/>
      <c r="Q27" s="295"/>
      <c r="R27" s="295"/>
      <c r="S27" s="296"/>
      <c r="T27" s="297"/>
      <c r="U27" s="1959"/>
      <c r="V27" s="285"/>
      <c r="W27" s="286"/>
      <c r="X27" s="173">
        <f t="shared" si="0"/>
        <v>43831</v>
      </c>
      <c r="Y27" s="174">
        <f t="shared" si="1"/>
        <v>20640</v>
      </c>
      <c r="Z27" s="233">
        <f t="shared" si="3"/>
        <v>649</v>
      </c>
      <c r="AA27" s="234"/>
      <c r="AB27" s="197">
        <f t="shared" si="4"/>
        <v>20640</v>
      </c>
      <c r="AC27" s="235">
        <f t="shared" si="5"/>
        <v>649</v>
      </c>
      <c r="AD27" s="262"/>
      <c r="AE27" s="287"/>
      <c r="AF27" s="287"/>
      <c r="AG27" s="287"/>
      <c r="AH27" s="287"/>
      <c r="AI27" s="298"/>
      <c r="AJ27" s="199"/>
      <c r="AK27" s="164"/>
      <c r="AL27" s="165"/>
      <c r="AM27" s="195"/>
      <c r="AN27" s="168"/>
      <c r="AO27" s="168"/>
      <c r="AP27" s="168"/>
      <c r="AQ27" s="110"/>
      <c r="AR27" s="110"/>
      <c r="AS27" s="110"/>
      <c r="AT27" s="110"/>
      <c r="AU27" s="110"/>
      <c r="AV27" s="110"/>
      <c r="AW27" s="110"/>
      <c r="AX27" s="110"/>
      <c r="AY27" s="110"/>
      <c r="AZ27" s="110"/>
      <c r="BA27" s="110"/>
      <c r="BB27" s="110"/>
      <c r="BC27" s="110"/>
      <c r="BD27" s="110"/>
      <c r="BE27" s="110"/>
      <c r="BF27" s="110"/>
      <c r="BG27" s="110"/>
      <c r="BH27" s="110"/>
      <c r="BI27" s="110"/>
      <c r="BJ27" s="110"/>
      <c r="BK27" s="110"/>
      <c r="BL27" s="110"/>
      <c r="BM27" s="110"/>
      <c r="BN27" s="110"/>
      <c r="BO27" s="110"/>
      <c r="BP27" s="110"/>
      <c r="BQ27" s="110"/>
      <c r="BR27" s="110"/>
      <c r="BS27" s="110"/>
      <c r="BT27" s="110"/>
      <c r="BU27" s="110"/>
      <c r="BV27" s="110"/>
      <c r="BW27" s="110"/>
      <c r="BX27" s="110"/>
      <c r="BY27" s="110"/>
      <c r="BZ27" s="110"/>
      <c r="CA27" s="110"/>
      <c r="CB27" s="110"/>
      <c r="CC27" s="110"/>
      <c r="CD27" s="110"/>
      <c r="CE27" s="110"/>
      <c r="CF27" s="110"/>
      <c r="CG27" s="110"/>
      <c r="CH27" s="110"/>
      <c r="CI27" s="110"/>
      <c r="CJ27" s="110"/>
      <c r="CK27" s="110"/>
      <c r="CL27" s="110"/>
      <c r="CM27" s="110"/>
      <c r="CN27" s="110"/>
      <c r="CO27" s="110"/>
    </row>
    <row r="28" spans="1:111" ht="18" customHeight="1">
      <c r="A28" s="110"/>
      <c r="B28" s="247"/>
      <c r="C28" s="289"/>
      <c r="D28" s="290"/>
      <c r="E28" s="290"/>
      <c r="F28" s="291"/>
      <c r="G28" s="1804"/>
      <c r="H28" s="1842"/>
      <c r="I28" s="1900"/>
      <c r="J28" s="299"/>
      <c r="K28" s="294"/>
      <c r="L28" s="294"/>
      <c r="M28" s="282"/>
      <c r="N28" s="1919" t="s">
        <v>560</v>
      </c>
      <c r="O28" s="1919"/>
      <c r="P28" s="1919"/>
      <c r="Q28" s="1919"/>
      <c r="R28" s="1919"/>
      <c r="S28" s="1919"/>
      <c r="T28" s="1920"/>
      <c r="U28" s="1959"/>
      <c r="V28" s="285"/>
      <c r="W28" s="286"/>
      <c r="X28" s="300">
        <f t="shared" si="0"/>
        <v>43862</v>
      </c>
      <c r="Y28" s="301">
        <f t="shared" si="1"/>
        <v>20640</v>
      </c>
      <c r="Z28" s="302">
        <f>IF(X28=AT$189,AT$194,BA163)</f>
        <v>649</v>
      </c>
      <c r="AA28" s="222"/>
      <c r="AB28" s="303">
        <f>AW163</f>
        <v>20640</v>
      </c>
      <c r="AC28" s="304">
        <f>IF(X28=AT$189,AT$197,BC163)</f>
        <v>649</v>
      </c>
      <c r="AD28" s="262"/>
      <c r="AE28" s="287"/>
      <c r="AF28" s="287"/>
      <c r="AG28" s="287"/>
      <c r="AH28" s="287"/>
      <c r="AI28" s="288"/>
      <c r="AJ28" s="199"/>
      <c r="AK28" s="164"/>
      <c r="AL28" s="165"/>
      <c r="AM28" s="195"/>
      <c r="AN28" s="168"/>
      <c r="AO28" s="168"/>
      <c r="AP28" s="168"/>
      <c r="AQ28" s="110"/>
      <c r="AR28" s="110"/>
      <c r="AS28" s="110"/>
      <c r="AT28" s="110"/>
      <c r="AU28" s="110"/>
      <c r="AV28" s="110"/>
      <c r="AW28" s="110"/>
      <c r="AX28" s="110"/>
      <c r="AY28" s="110"/>
      <c r="AZ28" s="110"/>
      <c r="BA28" s="110"/>
      <c r="BB28" s="110"/>
      <c r="BC28" s="110"/>
      <c r="BD28" s="110"/>
      <c r="BE28" s="110"/>
      <c r="BF28" s="110"/>
      <c r="BG28" s="110"/>
      <c r="BH28" s="110"/>
      <c r="BI28" s="110"/>
      <c r="BJ28" s="110"/>
      <c r="BK28" s="110"/>
      <c r="BL28" s="110"/>
      <c r="BM28" s="110"/>
      <c r="BN28" s="110"/>
      <c r="BO28" s="110"/>
      <c r="BP28" s="110"/>
      <c r="BQ28" s="110"/>
      <c r="BR28" s="110"/>
      <c r="BS28" s="110"/>
      <c r="BT28" s="110"/>
      <c r="BU28" s="110"/>
      <c r="BV28" s="110"/>
      <c r="BW28" s="110"/>
      <c r="BX28" s="110"/>
      <c r="BY28" s="110"/>
      <c r="BZ28" s="110"/>
      <c r="CA28" s="110"/>
      <c r="CB28" s="110"/>
      <c r="CC28" s="110"/>
      <c r="CD28" s="110"/>
      <c r="CE28" s="110"/>
      <c r="CF28" s="110"/>
      <c r="CG28" s="110"/>
      <c r="CH28" s="110"/>
      <c r="CI28" s="110"/>
      <c r="CJ28" s="110"/>
      <c r="CK28" s="110"/>
      <c r="CL28" s="110"/>
      <c r="CM28" s="110"/>
      <c r="CN28" s="110"/>
      <c r="CO28" s="110"/>
    </row>
    <row r="29" spans="1:111" ht="18" customHeight="1">
      <c r="A29" s="110"/>
      <c r="B29" s="247"/>
      <c r="C29" s="289"/>
      <c r="D29" s="290"/>
      <c r="E29" s="290"/>
      <c r="F29" s="291"/>
      <c r="G29" s="1804"/>
      <c r="H29" s="1842"/>
      <c r="I29" s="1900"/>
      <c r="J29" s="299"/>
      <c r="K29" s="294"/>
      <c r="L29" s="294"/>
      <c r="M29" s="282"/>
      <c r="N29" s="305">
        <v>44256</v>
      </c>
      <c r="O29" s="306">
        <v>8000</v>
      </c>
      <c r="P29" s="307">
        <v>44378</v>
      </c>
      <c r="Q29" s="1930">
        <v>8000</v>
      </c>
      <c r="R29" s="1930"/>
      <c r="S29" s="308">
        <v>44501</v>
      </c>
      <c r="T29" s="306">
        <v>8000</v>
      </c>
      <c r="U29" s="1959"/>
      <c r="V29" s="285"/>
      <c r="W29" s="286"/>
      <c r="X29" s="173">
        <f t="shared" si="0"/>
        <v>43891</v>
      </c>
      <c r="Y29" s="174">
        <f t="shared" si="1"/>
        <v>20640</v>
      </c>
      <c r="Z29" s="309">
        <f>IF(X29=AT$189,AT$194,BA164)</f>
        <v>649</v>
      </c>
      <c r="AA29" s="310"/>
      <c r="AB29" s="197">
        <f>AW164</f>
        <v>20640</v>
      </c>
      <c r="AC29" s="311">
        <f>IF(X29=AT$189,AT$197,BC164)</f>
        <v>649</v>
      </c>
      <c r="AD29" s="262"/>
      <c r="AE29" s="287"/>
      <c r="AF29" s="287"/>
      <c r="AG29" s="287"/>
      <c r="AH29" s="287"/>
      <c r="AI29" s="298"/>
      <c r="AJ29" s="199"/>
      <c r="AK29" s="164"/>
      <c r="AL29" s="165"/>
      <c r="AM29" s="195"/>
      <c r="AN29" s="168"/>
      <c r="AO29" s="168"/>
      <c r="AP29" s="168"/>
      <c r="AQ29" s="110"/>
      <c r="AR29" s="110"/>
      <c r="AS29" s="110"/>
      <c r="AT29" s="110"/>
      <c r="AU29" s="110"/>
      <c r="AV29" s="110"/>
      <c r="AW29" s="110"/>
      <c r="AX29" s="110"/>
      <c r="AY29" s="110"/>
      <c r="AZ29" s="110"/>
      <c r="BA29" s="110"/>
      <c r="BB29" s="110"/>
      <c r="BC29" s="110"/>
      <c r="BD29" s="110"/>
      <c r="BE29" s="110"/>
      <c r="BF29" s="110"/>
      <c r="BG29" s="110"/>
      <c r="BH29" s="110"/>
      <c r="BI29" s="110"/>
      <c r="BJ29" s="110"/>
      <c r="BK29" s="110"/>
      <c r="BL29" s="110"/>
      <c r="BM29" s="110"/>
      <c r="BN29" s="110"/>
      <c r="BO29" s="110"/>
      <c r="BP29" s="110"/>
      <c r="BQ29" s="110"/>
      <c r="BR29" s="110"/>
      <c r="BS29" s="110"/>
      <c r="BT29" s="110"/>
      <c r="BU29" s="110"/>
      <c r="BV29" s="110"/>
      <c r="BW29" s="110"/>
      <c r="BX29" s="110"/>
      <c r="BY29" s="110"/>
      <c r="BZ29" s="110"/>
      <c r="CA29" s="110"/>
      <c r="CB29" s="110"/>
      <c r="CC29" s="110"/>
      <c r="CD29" s="110"/>
      <c r="CE29" s="110"/>
      <c r="CF29" s="110"/>
      <c r="CG29" s="110"/>
      <c r="CH29" s="110"/>
      <c r="CI29" s="110"/>
      <c r="CJ29" s="110"/>
      <c r="CK29" s="110"/>
      <c r="CL29" s="110"/>
      <c r="CM29" s="110"/>
      <c r="CN29" s="110"/>
      <c r="CO29" s="110"/>
    </row>
    <row r="30" spans="1:111" ht="18" customHeight="1">
      <c r="A30" s="110"/>
      <c r="B30" s="247"/>
      <c r="C30" s="312"/>
      <c r="D30" s="313"/>
      <c r="E30" s="313"/>
      <c r="F30" s="314"/>
      <c r="G30" s="1804"/>
      <c r="H30" s="1842"/>
      <c r="I30" s="1900"/>
      <c r="J30" s="299"/>
      <c r="K30" s="294"/>
      <c r="L30" s="294"/>
      <c r="M30" s="282"/>
      <c r="N30" s="315">
        <v>44287</v>
      </c>
      <c r="O30" s="306">
        <v>8000</v>
      </c>
      <c r="P30" s="316">
        <v>44409</v>
      </c>
      <c r="Q30" s="1930">
        <v>8000</v>
      </c>
      <c r="R30" s="1930"/>
      <c r="S30" s="317">
        <v>44531</v>
      </c>
      <c r="T30" s="318">
        <v>20000</v>
      </c>
      <c r="U30" s="1976"/>
      <c r="V30" s="285"/>
      <c r="W30" s="286"/>
      <c r="X30" s="173">
        <f t="shared" si="0"/>
        <v>43922</v>
      </c>
      <c r="Y30" s="174">
        <f t="shared" si="1"/>
        <v>20640</v>
      </c>
      <c r="Z30" s="309">
        <f t="shared" ref="Z30:Z38" si="6">IF(X30=AT$189,AT$194,BA165)</f>
        <v>649</v>
      </c>
      <c r="AA30" s="310"/>
      <c r="AB30" s="197">
        <f>AW165</f>
        <v>20640</v>
      </c>
      <c r="AC30" s="311">
        <f t="shared" ref="AC30:AC40" si="7">IF(X30=AT$189,AT$197,BC165)</f>
        <v>649</v>
      </c>
      <c r="AD30" s="262"/>
      <c r="AE30" s="287"/>
      <c r="AF30" s="287"/>
      <c r="AG30" s="287"/>
      <c r="AH30" s="287"/>
      <c r="AI30" s="288"/>
      <c r="AJ30" s="199"/>
      <c r="AK30" s="164"/>
      <c r="AL30" s="165"/>
      <c r="AM30" s="195"/>
      <c r="AN30" s="168"/>
      <c r="AO30" s="168"/>
      <c r="AP30" s="168"/>
      <c r="AQ30" s="110"/>
      <c r="AR30" s="110"/>
      <c r="AS30" s="110"/>
      <c r="AT30" s="110"/>
      <c r="AU30" s="110"/>
      <c r="AV30" s="110"/>
      <c r="AW30" s="110"/>
      <c r="AX30" s="110"/>
      <c r="AY30" s="110"/>
      <c r="AZ30" s="110"/>
      <c r="BA30" s="110"/>
      <c r="BB30" s="110"/>
      <c r="BC30" s="110"/>
      <c r="BD30" s="110"/>
      <c r="BE30" s="110"/>
      <c r="BF30" s="110"/>
      <c r="BG30" s="110"/>
      <c r="BH30" s="110"/>
      <c r="BI30" s="110"/>
      <c r="BJ30" s="110"/>
      <c r="BK30" s="110"/>
      <c r="BL30" s="110"/>
      <c r="BM30" s="110"/>
      <c r="BN30" s="110"/>
      <c r="BO30" s="110"/>
      <c r="BP30" s="110"/>
      <c r="BQ30" s="110"/>
      <c r="BR30" s="110"/>
      <c r="BS30" s="110"/>
      <c r="BT30" s="110"/>
      <c r="BU30" s="110"/>
      <c r="BV30" s="110"/>
      <c r="BW30" s="110"/>
      <c r="BX30" s="110"/>
      <c r="BY30" s="110"/>
      <c r="BZ30" s="110"/>
      <c r="CA30" s="110"/>
      <c r="CB30" s="110"/>
      <c r="CC30" s="110"/>
      <c r="CD30" s="110"/>
      <c r="CE30" s="110"/>
      <c r="CF30" s="110"/>
      <c r="CG30" s="110"/>
      <c r="CH30" s="110"/>
      <c r="CI30" s="110"/>
      <c r="CJ30" s="110"/>
      <c r="CK30" s="110"/>
      <c r="CL30" s="110"/>
      <c r="CM30" s="110"/>
      <c r="CN30" s="110"/>
      <c r="CO30" s="110"/>
    </row>
    <row r="31" spans="1:111" ht="18" customHeight="1">
      <c r="A31" s="110"/>
      <c r="B31" s="247"/>
      <c r="C31" s="1879"/>
      <c r="D31" s="1880"/>
      <c r="E31" s="1880"/>
      <c r="F31" s="1881"/>
      <c r="G31" s="2017"/>
      <c r="H31" s="2018"/>
      <c r="I31" s="1900"/>
      <c r="J31" s="299"/>
      <c r="K31" s="294"/>
      <c r="L31" s="294"/>
      <c r="M31" s="282"/>
      <c r="N31" s="319">
        <v>44317</v>
      </c>
      <c r="O31" s="306">
        <v>8000</v>
      </c>
      <c r="P31" s="316">
        <v>44440</v>
      </c>
      <c r="Q31" s="1930">
        <v>8000</v>
      </c>
      <c r="R31" s="1930"/>
      <c r="S31" s="317">
        <v>44562</v>
      </c>
      <c r="T31" s="318"/>
      <c r="U31" s="1976"/>
      <c r="V31" s="285"/>
      <c r="W31" s="286"/>
      <c r="X31" s="173">
        <f t="shared" si="0"/>
        <v>43952</v>
      </c>
      <c r="Y31" s="174">
        <f t="shared" si="1"/>
        <v>20640</v>
      </c>
      <c r="Z31" s="309">
        <f t="shared" si="6"/>
        <v>649</v>
      </c>
      <c r="AA31" s="310"/>
      <c r="AB31" s="197">
        <f t="shared" ref="AB31:AB40" si="8">AW166</f>
        <v>20640</v>
      </c>
      <c r="AC31" s="311">
        <f t="shared" si="7"/>
        <v>649</v>
      </c>
      <c r="AD31" s="262"/>
      <c r="AE31" s="287"/>
      <c r="AF31" s="287"/>
      <c r="AG31" s="287"/>
      <c r="AH31" s="287"/>
      <c r="AI31" s="298"/>
      <c r="AJ31" s="199"/>
      <c r="AK31" s="164"/>
      <c r="AL31" s="165"/>
      <c r="AM31" s="195"/>
      <c r="AN31" s="320"/>
      <c r="AO31" s="321"/>
      <c r="AP31" s="168"/>
      <c r="AQ31" s="110"/>
      <c r="AR31" s="110"/>
      <c r="AS31" s="110"/>
      <c r="AT31" s="110"/>
      <c r="AU31" s="110"/>
      <c r="AV31" s="110"/>
      <c r="AW31" s="110"/>
      <c r="AX31" s="110"/>
      <c r="AY31" s="110"/>
      <c r="AZ31" s="110"/>
      <c r="BA31" s="110"/>
      <c r="BB31" s="110"/>
      <c r="BC31" s="110"/>
      <c r="BD31" s="110"/>
      <c r="BE31" s="110"/>
      <c r="BF31" s="110"/>
      <c r="BG31" s="110"/>
      <c r="BH31" s="110"/>
      <c r="BI31" s="110"/>
      <c r="BJ31" s="110"/>
      <c r="BK31" s="110"/>
      <c r="BL31" s="110"/>
      <c r="BM31" s="110"/>
      <c r="BN31" s="110"/>
      <c r="BO31" s="110"/>
      <c r="BP31" s="110"/>
      <c r="BQ31" s="110"/>
      <c r="BR31" s="110"/>
      <c r="BS31" s="110"/>
      <c r="BT31" s="110"/>
      <c r="BU31" s="110"/>
      <c r="BV31" s="110"/>
      <c r="BW31" s="110"/>
      <c r="BX31" s="110"/>
      <c r="BY31" s="110"/>
      <c r="BZ31" s="110"/>
      <c r="CA31" s="110"/>
      <c r="CB31" s="110"/>
      <c r="CC31" s="110"/>
      <c r="CD31" s="110"/>
      <c r="CE31" s="110"/>
      <c r="CF31" s="110"/>
      <c r="CG31" s="110"/>
      <c r="CH31" s="110"/>
      <c r="CI31" s="110"/>
      <c r="CJ31" s="110"/>
      <c r="CK31" s="110"/>
      <c r="CL31" s="110"/>
      <c r="CM31" s="110"/>
      <c r="CN31" s="110"/>
      <c r="CO31" s="110"/>
    </row>
    <row r="32" spans="1:111" ht="18" customHeight="1">
      <c r="A32" s="110"/>
      <c r="B32" s="247"/>
      <c r="C32" s="1990" t="s">
        <v>848</v>
      </c>
      <c r="D32" s="1991"/>
      <c r="E32" s="1991"/>
      <c r="F32" s="1991"/>
      <c r="G32" s="1991"/>
      <c r="H32" s="1992"/>
      <c r="I32" s="1900"/>
      <c r="J32" s="299"/>
      <c r="K32" s="294"/>
      <c r="L32" s="294"/>
      <c r="M32" s="276"/>
      <c r="N32" s="322">
        <v>44348</v>
      </c>
      <c r="O32" s="306">
        <v>8000</v>
      </c>
      <c r="P32" s="323">
        <v>44470</v>
      </c>
      <c r="Q32" s="1930">
        <v>8000</v>
      </c>
      <c r="R32" s="1930"/>
      <c r="S32" s="324">
        <v>44593</v>
      </c>
      <c r="T32" s="325"/>
      <c r="U32" s="1976"/>
      <c r="V32" s="153"/>
      <c r="W32" s="153"/>
      <c r="X32" s="173">
        <f t="shared" si="0"/>
        <v>43983</v>
      </c>
      <c r="Y32" s="174">
        <f t="shared" si="1"/>
        <v>20640</v>
      </c>
      <c r="Z32" s="309">
        <f t="shared" si="6"/>
        <v>649</v>
      </c>
      <c r="AA32" s="310"/>
      <c r="AB32" s="197">
        <f t="shared" si="8"/>
        <v>20640</v>
      </c>
      <c r="AC32" s="311">
        <f t="shared" si="7"/>
        <v>649</v>
      </c>
      <c r="AD32" s="262"/>
      <c r="AE32" s="161"/>
      <c r="AF32" s="161"/>
      <c r="AG32" s="161"/>
      <c r="AH32" s="161"/>
      <c r="AI32" s="168"/>
      <c r="AJ32" s="199"/>
      <c r="AK32" s="164"/>
      <c r="AL32" s="165"/>
      <c r="AM32" s="195"/>
      <c r="AN32" s="168"/>
      <c r="AO32" s="168"/>
      <c r="AP32" s="168"/>
      <c r="AQ32" s="110"/>
      <c r="AR32" s="110"/>
      <c r="AS32" s="110"/>
      <c r="AT32" s="110"/>
      <c r="AU32" s="110"/>
      <c r="AV32" s="110"/>
      <c r="AW32" s="110"/>
      <c r="AX32" s="110"/>
      <c r="AY32" s="110"/>
      <c r="AZ32" s="110"/>
      <c r="BA32" s="110"/>
      <c r="BB32" s="110"/>
      <c r="BC32" s="110"/>
      <c r="BD32" s="110"/>
      <c r="BE32" s="110"/>
      <c r="BF32" s="110"/>
      <c r="BG32" s="110"/>
      <c r="BH32" s="110"/>
      <c r="BI32" s="110"/>
      <c r="BJ32" s="110"/>
      <c r="BK32" s="110"/>
      <c r="BL32" s="110"/>
      <c r="BM32" s="110"/>
      <c r="BN32" s="110"/>
      <c r="BO32" s="110"/>
      <c r="BP32" s="110"/>
      <c r="BQ32" s="110"/>
      <c r="BR32" s="110"/>
      <c r="BS32" s="110"/>
      <c r="BT32" s="110"/>
      <c r="BU32" s="110"/>
      <c r="BV32" s="110"/>
      <c r="BW32" s="110"/>
      <c r="BX32" s="110"/>
      <c r="BY32" s="110"/>
      <c r="BZ32" s="110"/>
      <c r="CA32" s="110"/>
      <c r="CB32" s="110"/>
      <c r="CC32" s="110"/>
      <c r="CD32" s="110"/>
      <c r="CE32" s="110"/>
      <c r="CF32" s="110"/>
      <c r="CG32" s="110"/>
      <c r="CH32" s="110"/>
      <c r="CI32" s="110"/>
      <c r="CJ32" s="110"/>
      <c r="CK32" s="110"/>
      <c r="CL32" s="110"/>
      <c r="CM32" s="110"/>
      <c r="CN32" s="110"/>
      <c r="CO32" s="110"/>
    </row>
    <row r="33" spans="1:93" ht="18" customHeight="1">
      <c r="A33" s="110"/>
      <c r="B33" s="247"/>
      <c r="C33" s="326"/>
      <c r="D33" s="327"/>
      <c r="E33" s="327"/>
      <c r="F33" s="328"/>
      <c r="G33" s="2007"/>
      <c r="H33" s="2008"/>
      <c r="I33" s="1900"/>
      <c r="J33" s="329"/>
      <c r="K33" s="330"/>
      <c r="L33" s="330"/>
      <c r="M33" s="331"/>
      <c r="N33" s="330"/>
      <c r="O33" s="332"/>
      <c r="P33" s="332"/>
      <c r="Q33" s="333"/>
      <c r="R33" s="334"/>
      <c r="S33" s="335"/>
      <c r="T33" s="336"/>
      <c r="U33" s="151"/>
      <c r="V33" s="153"/>
      <c r="W33" s="153"/>
      <c r="X33" s="173">
        <f t="shared" si="0"/>
        <v>44013</v>
      </c>
      <c r="Y33" s="174">
        <f t="shared" si="1"/>
        <v>20640</v>
      </c>
      <c r="Z33" s="309">
        <f t="shared" si="6"/>
        <v>649</v>
      </c>
      <c r="AA33" s="310"/>
      <c r="AB33" s="197">
        <f t="shared" si="8"/>
        <v>20640</v>
      </c>
      <c r="AC33" s="311">
        <f t="shared" si="7"/>
        <v>649</v>
      </c>
      <c r="AD33" s="262"/>
      <c r="AE33" s="161"/>
      <c r="AF33" s="161"/>
      <c r="AG33" s="161"/>
      <c r="AH33" s="161"/>
      <c r="AI33" s="337"/>
      <c r="AJ33" s="199"/>
      <c r="AK33" s="164"/>
      <c r="AL33" s="165"/>
      <c r="AM33" s="195"/>
      <c r="AN33" s="168"/>
      <c r="AO33" s="168"/>
      <c r="AP33" s="168"/>
      <c r="AQ33" s="110"/>
      <c r="AR33" s="110"/>
      <c r="AS33" s="110"/>
      <c r="AT33" s="110"/>
      <c r="AU33" s="110"/>
      <c r="AV33" s="110"/>
      <c r="AW33" s="110"/>
      <c r="AX33" s="110"/>
      <c r="AY33" s="110"/>
      <c r="AZ33" s="110"/>
      <c r="BA33" s="110"/>
      <c r="BB33" s="110"/>
      <c r="BC33" s="110"/>
      <c r="BD33" s="110"/>
      <c r="BE33" s="110"/>
      <c r="BF33" s="110"/>
      <c r="BG33" s="110"/>
      <c r="BH33" s="110"/>
      <c r="BI33" s="110"/>
      <c r="BJ33" s="110"/>
      <c r="BK33" s="110"/>
      <c r="BL33" s="110"/>
      <c r="BM33" s="110"/>
      <c r="BN33" s="110"/>
      <c r="BO33" s="110"/>
      <c r="BP33" s="110"/>
      <c r="BQ33" s="110"/>
      <c r="BR33" s="110"/>
      <c r="BS33" s="110"/>
      <c r="BT33" s="110"/>
      <c r="BU33" s="110"/>
      <c r="BV33" s="110"/>
      <c r="BW33" s="110"/>
      <c r="BX33" s="110"/>
      <c r="BY33" s="110"/>
      <c r="BZ33" s="110"/>
      <c r="CA33" s="110"/>
      <c r="CB33" s="110"/>
      <c r="CC33" s="110"/>
      <c r="CD33" s="110"/>
      <c r="CE33" s="110"/>
      <c r="CF33" s="110"/>
      <c r="CG33" s="110"/>
      <c r="CH33" s="110"/>
      <c r="CI33" s="110"/>
      <c r="CJ33" s="110"/>
      <c r="CK33" s="110"/>
      <c r="CL33" s="110"/>
      <c r="CM33" s="110"/>
      <c r="CN33" s="110"/>
      <c r="CO33" s="110"/>
    </row>
    <row r="34" spans="1:93" ht="18" customHeight="1">
      <c r="A34" s="110"/>
      <c r="B34" s="247"/>
      <c r="C34" s="338" t="s">
        <v>23</v>
      </c>
      <c r="D34" s="339"/>
      <c r="E34" s="339"/>
      <c r="F34" s="340"/>
      <c r="G34" s="1819"/>
      <c r="H34" s="1820"/>
      <c r="I34" s="1900"/>
      <c r="J34" s="341"/>
      <c r="K34" s="342"/>
      <c r="L34" s="342"/>
      <c r="M34" s="343"/>
      <c r="N34" s="342"/>
      <c r="O34" s="342"/>
      <c r="P34" s="342"/>
      <c r="Q34" s="342"/>
      <c r="R34" s="344"/>
      <c r="S34" s="345"/>
      <c r="T34" s="346"/>
      <c r="U34" s="151"/>
      <c r="V34" s="153"/>
      <c r="W34" s="153"/>
      <c r="X34" s="173">
        <f t="shared" si="0"/>
        <v>44044</v>
      </c>
      <c r="Y34" s="174">
        <f t="shared" si="1"/>
        <v>21230</v>
      </c>
      <c r="Z34" s="309">
        <f t="shared" si="6"/>
        <v>667</v>
      </c>
      <c r="AA34" s="310"/>
      <c r="AB34" s="197">
        <f t="shared" si="8"/>
        <v>21230</v>
      </c>
      <c r="AC34" s="311">
        <f t="shared" si="7"/>
        <v>668</v>
      </c>
      <c r="AD34" s="262"/>
      <c r="AE34" s="161"/>
      <c r="AF34" s="161"/>
      <c r="AG34" s="161"/>
      <c r="AH34" s="161"/>
      <c r="AI34" s="168"/>
      <c r="AJ34" s="199"/>
      <c r="AK34" s="164"/>
      <c r="AL34" s="165"/>
      <c r="AM34" s="195"/>
      <c r="AN34" s="180">
        <f>SUM(Z29:Z38)+SUM(AC29:AC40)</f>
        <v>14501</v>
      </c>
      <c r="AO34" s="167" t="s">
        <v>860</v>
      </c>
      <c r="AP34" s="168"/>
      <c r="AQ34" s="110"/>
      <c r="AR34" s="110"/>
      <c r="AS34" s="110"/>
      <c r="AT34" s="110"/>
      <c r="AU34" s="110"/>
      <c r="AV34" s="110"/>
      <c r="AW34" s="110"/>
      <c r="AX34" s="110"/>
      <c r="AY34" s="110"/>
      <c r="AZ34" s="110"/>
      <c r="BA34" s="110"/>
      <c r="BB34" s="110"/>
      <c r="BC34" s="110"/>
      <c r="BD34" s="110"/>
      <c r="BE34" s="110"/>
      <c r="BF34" s="110"/>
      <c r="BG34" s="110"/>
      <c r="BH34" s="110"/>
      <c r="BI34" s="110"/>
      <c r="BJ34" s="110"/>
      <c r="BK34" s="110"/>
      <c r="BL34" s="110"/>
      <c r="BM34" s="110"/>
      <c r="BN34" s="110"/>
      <c r="BO34" s="110"/>
      <c r="BP34" s="110"/>
      <c r="BQ34" s="110"/>
      <c r="BR34" s="110"/>
      <c r="BS34" s="110"/>
      <c r="BT34" s="110"/>
      <c r="BU34" s="110"/>
      <c r="BV34" s="110"/>
      <c r="BW34" s="110"/>
      <c r="BX34" s="110"/>
      <c r="BY34" s="110"/>
      <c r="BZ34" s="110"/>
      <c r="CA34" s="110"/>
      <c r="CB34" s="110"/>
      <c r="CC34" s="110"/>
      <c r="CD34" s="110"/>
      <c r="CE34" s="110"/>
      <c r="CF34" s="110"/>
      <c r="CG34" s="110"/>
      <c r="CH34" s="110"/>
      <c r="CI34" s="110"/>
      <c r="CJ34" s="110"/>
      <c r="CK34" s="110"/>
      <c r="CL34" s="110"/>
      <c r="CM34" s="110"/>
      <c r="CN34" s="110"/>
      <c r="CO34" s="110"/>
    </row>
    <row r="35" spans="1:93" ht="18" customHeight="1">
      <c r="A35" s="110"/>
      <c r="B35" s="247"/>
      <c r="C35" s="347"/>
      <c r="D35" s="348"/>
      <c r="E35" s="348"/>
      <c r="F35" s="349"/>
      <c r="G35" s="1819"/>
      <c r="H35" s="1820"/>
      <c r="I35" s="1900"/>
      <c r="J35" s="341"/>
      <c r="K35" s="350"/>
      <c r="L35" s="351"/>
      <c r="M35" s="343"/>
      <c r="N35" s="350"/>
      <c r="O35" s="352"/>
      <c r="P35" s="344"/>
      <c r="Q35" s="344"/>
      <c r="R35" s="344"/>
      <c r="S35" s="345"/>
      <c r="T35" s="346"/>
      <c r="U35" s="151"/>
      <c r="V35" s="153"/>
      <c r="W35" s="153"/>
      <c r="X35" s="173">
        <f t="shared" ref="X35:X40" si="9">AY170</f>
        <v>44075</v>
      </c>
      <c r="Y35" s="174">
        <f t="shared" si="1"/>
        <v>21230</v>
      </c>
      <c r="Z35" s="309">
        <f t="shared" si="6"/>
        <v>667</v>
      </c>
      <c r="AA35" s="310"/>
      <c r="AB35" s="197">
        <f t="shared" si="8"/>
        <v>21230</v>
      </c>
      <c r="AC35" s="311">
        <f t="shared" si="7"/>
        <v>668</v>
      </c>
      <c r="AD35" s="262"/>
      <c r="AE35" s="353"/>
      <c r="AF35" s="353"/>
      <c r="AG35" s="353"/>
      <c r="AH35" s="353"/>
      <c r="AI35" s="168"/>
      <c r="AJ35" s="354"/>
      <c r="AK35" s="164"/>
      <c r="AL35" s="165"/>
      <c r="AM35" s="354"/>
      <c r="AN35" s="168"/>
      <c r="AO35" s="168"/>
      <c r="AP35" s="168"/>
      <c r="AQ35" s="110"/>
      <c r="AR35" s="110"/>
      <c r="AS35" s="110"/>
      <c r="AT35" s="110"/>
      <c r="AU35" s="110"/>
      <c r="AV35" s="110"/>
      <c r="AW35" s="110"/>
      <c r="AX35" s="110"/>
      <c r="AY35" s="110"/>
      <c r="AZ35" s="110"/>
      <c r="BA35" s="110"/>
      <c r="BB35" s="110"/>
      <c r="BC35" s="110"/>
      <c r="BD35" s="110"/>
      <c r="BE35" s="110"/>
      <c r="BF35" s="110"/>
      <c r="BG35" s="110"/>
      <c r="BH35" s="110"/>
      <c r="BI35" s="110"/>
      <c r="BJ35" s="110"/>
      <c r="BK35" s="110"/>
      <c r="BL35" s="110"/>
      <c r="BM35" s="110"/>
      <c r="BN35" s="110"/>
      <c r="BO35" s="110"/>
      <c r="BP35" s="110"/>
      <c r="BQ35" s="110"/>
      <c r="BR35" s="110"/>
      <c r="BS35" s="110"/>
      <c r="BT35" s="110"/>
      <c r="BU35" s="110"/>
      <c r="BV35" s="110"/>
      <c r="BW35" s="110"/>
      <c r="BX35" s="110"/>
      <c r="BY35" s="110"/>
      <c r="BZ35" s="110"/>
      <c r="CA35" s="110"/>
      <c r="CB35" s="110"/>
      <c r="CC35" s="110"/>
      <c r="CD35" s="110"/>
      <c r="CE35" s="110"/>
      <c r="CF35" s="110"/>
      <c r="CG35" s="110"/>
      <c r="CH35" s="110"/>
      <c r="CI35" s="110"/>
      <c r="CJ35" s="110"/>
      <c r="CK35" s="110"/>
      <c r="CL35" s="110"/>
      <c r="CM35" s="110"/>
      <c r="CN35" s="110"/>
      <c r="CO35" s="110"/>
    </row>
    <row r="36" spans="1:93" ht="18" customHeight="1">
      <c r="A36" s="110"/>
      <c r="B36" s="247"/>
      <c r="C36" s="1984"/>
      <c r="D36" s="1985"/>
      <c r="E36" s="1985"/>
      <c r="F36" s="1986"/>
      <c r="G36" s="1972"/>
      <c r="H36" s="1973"/>
      <c r="I36" s="1900"/>
      <c r="J36" s="355"/>
      <c r="K36" s="356"/>
      <c r="L36" s="356"/>
      <c r="M36" s="357"/>
      <c r="N36" s="358"/>
      <c r="O36" s="358"/>
      <c r="P36" s="358"/>
      <c r="Q36" s="358"/>
      <c r="R36" s="359"/>
      <c r="S36" s="359"/>
      <c r="T36" s="360"/>
      <c r="U36" s="151"/>
      <c r="V36" s="153"/>
      <c r="W36" s="153"/>
      <c r="X36" s="173">
        <f t="shared" si="9"/>
        <v>44105</v>
      </c>
      <c r="Y36" s="174">
        <f t="shared" si="1"/>
        <v>21230</v>
      </c>
      <c r="Z36" s="309">
        <f t="shared" si="6"/>
        <v>667</v>
      </c>
      <c r="AA36" s="310"/>
      <c r="AB36" s="197">
        <f t="shared" si="8"/>
        <v>21230</v>
      </c>
      <c r="AC36" s="311">
        <f t="shared" si="7"/>
        <v>668</v>
      </c>
      <c r="AD36" s="262"/>
      <c r="AE36" s="361"/>
      <c r="AF36" s="361"/>
      <c r="AG36" s="361"/>
      <c r="AH36" s="361"/>
      <c r="AI36" s="168"/>
      <c r="AJ36" s="354"/>
      <c r="AK36" s="164"/>
      <c r="AL36" s="165"/>
      <c r="AM36" s="354"/>
      <c r="AN36" s="168"/>
      <c r="AO36" s="168"/>
      <c r="AP36" s="168"/>
      <c r="AQ36" s="110"/>
      <c r="AR36" s="110"/>
      <c r="AS36" s="110"/>
      <c r="AT36" s="110"/>
      <c r="AU36" s="110"/>
      <c r="AV36" s="110"/>
      <c r="AW36" s="110"/>
      <c r="AX36" s="110"/>
      <c r="AY36" s="110"/>
      <c r="AZ36" s="110"/>
      <c r="BA36" s="110"/>
      <c r="BB36" s="110"/>
      <c r="BC36" s="110"/>
      <c r="BD36" s="110"/>
      <c r="BE36" s="110"/>
      <c r="BF36" s="110"/>
      <c r="BG36" s="110"/>
      <c r="BH36" s="110"/>
      <c r="BI36" s="110"/>
      <c r="BJ36" s="110"/>
      <c r="BK36" s="110"/>
      <c r="BL36" s="110"/>
      <c r="BM36" s="110"/>
      <c r="BN36" s="110"/>
      <c r="BO36" s="110"/>
      <c r="BP36" s="110"/>
      <c r="BQ36" s="110"/>
      <c r="BR36" s="110"/>
      <c r="BS36" s="110"/>
      <c r="BT36" s="110"/>
      <c r="BU36" s="110"/>
      <c r="BV36" s="110"/>
      <c r="BW36" s="110"/>
      <c r="BX36" s="110"/>
      <c r="BY36" s="110"/>
      <c r="BZ36" s="110"/>
      <c r="CA36" s="110"/>
      <c r="CB36" s="110"/>
      <c r="CC36" s="110"/>
      <c r="CD36" s="110"/>
      <c r="CE36" s="110"/>
      <c r="CF36" s="110"/>
      <c r="CG36" s="110"/>
      <c r="CH36" s="110"/>
      <c r="CI36" s="110"/>
      <c r="CJ36" s="110"/>
      <c r="CK36" s="110"/>
      <c r="CL36" s="110"/>
      <c r="CM36" s="110"/>
      <c r="CN36" s="110"/>
      <c r="CO36" s="110"/>
    </row>
    <row r="37" spans="1:93" ht="18" customHeight="1">
      <c r="A37" s="110"/>
      <c r="B37" s="362"/>
      <c r="C37" s="1806" t="s">
        <v>706</v>
      </c>
      <c r="D37" s="1807"/>
      <c r="E37" s="1807"/>
      <c r="F37" s="1808"/>
      <c r="G37" s="1883"/>
      <c r="H37" s="1884"/>
      <c r="I37" s="363"/>
      <c r="J37" s="364"/>
      <c r="K37" s="365"/>
      <c r="L37" s="365"/>
      <c r="M37" s="1937"/>
      <c r="N37" s="1927" t="s">
        <v>861</v>
      </c>
      <c r="O37" s="1928"/>
      <c r="P37" s="1928"/>
      <c r="Q37" s="1928"/>
      <c r="R37" s="1928"/>
      <c r="S37" s="1928"/>
      <c r="T37" s="366"/>
      <c r="U37" s="151"/>
      <c r="V37" s="153"/>
      <c r="W37" s="153"/>
      <c r="X37" s="173">
        <f t="shared" si="9"/>
        <v>44136</v>
      </c>
      <c r="Y37" s="174">
        <f t="shared" si="1"/>
        <v>21230</v>
      </c>
      <c r="Z37" s="309">
        <f t="shared" si="6"/>
        <v>667</v>
      </c>
      <c r="AA37" s="310"/>
      <c r="AB37" s="197">
        <f t="shared" si="8"/>
        <v>21230</v>
      </c>
      <c r="AC37" s="311">
        <f t="shared" si="7"/>
        <v>668</v>
      </c>
      <c r="AD37" s="262"/>
      <c r="AE37" s="361"/>
      <c r="AF37" s="361"/>
      <c r="AG37" s="361"/>
      <c r="AH37" s="361"/>
      <c r="AI37" s="168"/>
      <c r="AJ37" s="354"/>
      <c r="AK37" s="164"/>
      <c r="AL37" s="165"/>
      <c r="AM37" s="354"/>
      <c r="AN37" s="168"/>
      <c r="AO37" s="168"/>
      <c r="AP37" s="168"/>
      <c r="AQ37" s="110"/>
      <c r="AR37" s="110"/>
      <c r="AS37" s="110"/>
      <c r="AT37" s="110"/>
      <c r="AU37" s="110"/>
      <c r="AV37" s="110"/>
      <c r="AW37" s="110"/>
      <c r="AX37" s="110"/>
      <c r="AY37" s="110"/>
      <c r="AZ37" s="110"/>
      <c r="BA37" s="110"/>
      <c r="BB37" s="110"/>
      <c r="BC37" s="110"/>
      <c r="BD37" s="110"/>
      <c r="BE37" s="110"/>
      <c r="BF37" s="110"/>
      <c r="BG37" s="110"/>
      <c r="BH37" s="110"/>
      <c r="BI37" s="110"/>
      <c r="BJ37" s="110"/>
      <c r="BK37" s="110"/>
      <c r="BL37" s="110"/>
      <c r="BM37" s="110"/>
      <c r="BN37" s="110"/>
      <c r="BO37" s="110"/>
      <c r="BP37" s="110"/>
      <c r="BQ37" s="110"/>
      <c r="BR37" s="110"/>
      <c r="BS37" s="110"/>
      <c r="BT37" s="110"/>
      <c r="BU37" s="110"/>
      <c r="BV37" s="110"/>
      <c r="BW37" s="110"/>
      <c r="BX37" s="110"/>
      <c r="BY37" s="110"/>
      <c r="BZ37" s="110"/>
      <c r="CA37" s="110"/>
      <c r="CB37" s="110"/>
      <c r="CC37" s="110"/>
      <c r="CD37" s="110"/>
      <c r="CE37" s="110"/>
      <c r="CF37" s="110"/>
      <c r="CG37" s="110"/>
      <c r="CH37" s="110"/>
      <c r="CI37" s="110"/>
      <c r="CJ37" s="110"/>
      <c r="CK37" s="110"/>
      <c r="CL37" s="110"/>
      <c r="CM37" s="110"/>
      <c r="CN37" s="110"/>
      <c r="CO37" s="110"/>
    </row>
    <row r="38" spans="1:93" ht="18" customHeight="1">
      <c r="A38" s="110"/>
      <c r="B38" s="367"/>
      <c r="C38" s="368"/>
      <c r="D38" s="369"/>
      <c r="E38" s="369"/>
      <c r="F38" s="370"/>
      <c r="G38" s="1819"/>
      <c r="H38" s="1820"/>
      <c r="I38" s="371"/>
      <c r="J38" s="2013" t="s">
        <v>749</v>
      </c>
      <c r="K38" s="2013"/>
      <c r="L38" s="365"/>
      <c r="M38" s="1937"/>
      <c r="N38" s="1993" t="s">
        <v>755</v>
      </c>
      <c r="O38" s="1994"/>
      <c r="P38" s="1994"/>
      <c r="Q38" s="1866"/>
      <c r="R38" s="1866"/>
      <c r="S38" s="1866"/>
      <c r="T38" s="1867"/>
      <c r="U38" s="151"/>
      <c r="V38" s="153"/>
      <c r="W38" s="153"/>
      <c r="X38" s="173">
        <f t="shared" si="9"/>
        <v>44166</v>
      </c>
      <c r="Y38" s="174">
        <f t="shared" si="1"/>
        <v>21230</v>
      </c>
      <c r="Z38" s="309">
        <f t="shared" si="6"/>
        <v>667</v>
      </c>
      <c r="AA38" s="372"/>
      <c r="AB38" s="197">
        <f t="shared" si="8"/>
        <v>21230</v>
      </c>
      <c r="AC38" s="311">
        <f t="shared" si="7"/>
        <v>668</v>
      </c>
      <c r="AD38" s="262"/>
      <c r="AE38" s="361"/>
      <c r="AF38" s="361"/>
      <c r="AG38" s="361"/>
      <c r="AH38" s="361"/>
      <c r="AI38" s="168"/>
      <c r="AJ38" s="354"/>
      <c r="AK38" s="164"/>
      <c r="AL38" s="165"/>
      <c r="AM38" s="354"/>
      <c r="AN38" s="373"/>
      <c r="AO38" s="373"/>
      <c r="AP38" s="373"/>
      <c r="AQ38" s="110"/>
      <c r="AR38" s="110"/>
      <c r="AS38" s="110"/>
      <c r="AT38" s="110"/>
      <c r="AU38" s="110"/>
      <c r="AV38" s="110"/>
      <c r="AW38" s="110"/>
      <c r="AX38" s="110"/>
      <c r="AY38" s="110"/>
      <c r="AZ38" s="110"/>
      <c r="BA38" s="110"/>
      <c r="BB38" s="110"/>
      <c r="BC38" s="110"/>
      <c r="BD38" s="110"/>
      <c r="BE38" s="110"/>
      <c r="BF38" s="110"/>
      <c r="BG38" s="110"/>
      <c r="BH38" s="110"/>
      <c r="BI38" s="110"/>
      <c r="BJ38" s="110"/>
      <c r="BK38" s="110"/>
      <c r="BL38" s="110"/>
      <c r="BM38" s="110"/>
      <c r="BN38" s="110"/>
      <c r="BO38" s="110"/>
      <c r="BP38" s="110"/>
      <c r="BQ38" s="110"/>
      <c r="BR38" s="110"/>
      <c r="BS38" s="110"/>
      <c r="BT38" s="110"/>
      <c r="BU38" s="110"/>
      <c r="BV38" s="110"/>
      <c r="BW38" s="110"/>
      <c r="BX38" s="110"/>
      <c r="BY38" s="110"/>
      <c r="BZ38" s="110"/>
      <c r="CA38" s="110"/>
      <c r="CB38" s="110"/>
      <c r="CC38" s="110"/>
      <c r="CD38" s="110"/>
      <c r="CE38" s="110"/>
      <c r="CF38" s="110"/>
      <c r="CG38" s="110"/>
      <c r="CH38" s="110"/>
      <c r="CI38" s="110"/>
      <c r="CJ38" s="110"/>
      <c r="CK38" s="110"/>
      <c r="CL38" s="110"/>
      <c r="CM38" s="110"/>
      <c r="CN38" s="110"/>
      <c r="CO38" s="110"/>
    </row>
    <row r="39" spans="1:93" ht="18" customHeight="1">
      <c r="A39" s="110"/>
      <c r="B39" s="367"/>
      <c r="C39" s="374"/>
      <c r="D39" s="375"/>
      <c r="E39" s="375"/>
      <c r="F39" s="376"/>
      <c r="G39" s="1883"/>
      <c r="H39" s="1884"/>
      <c r="I39" s="377"/>
      <c r="J39" s="2013"/>
      <c r="K39" s="2013"/>
      <c r="L39" s="365"/>
      <c r="M39" s="1937"/>
      <c r="N39" s="1964" t="s">
        <v>413</v>
      </c>
      <c r="O39" s="1965"/>
      <c r="P39" s="1965"/>
      <c r="Q39" s="1962"/>
      <c r="R39" s="1962"/>
      <c r="S39" s="1962"/>
      <c r="T39" s="1963"/>
      <c r="U39" s="151"/>
      <c r="V39" s="153"/>
      <c r="W39" s="153"/>
      <c r="X39" s="173">
        <f t="shared" si="9"/>
        <v>44197</v>
      </c>
      <c r="Y39" s="174">
        <f t="shared" si="1"/>
        <v>21230</v>
      </c>
      <c r="Z39" s="378"/>
      <c r="AA39" s="372"/>
      <c r="AB39" s="197">
        <f t="shared" si="8"/>
        <v>21230</v>
      </c>
      <c r="AC39" s="311">
        <f t="shared" si="7"/>
        <v>668</v>
      </c>
      <c r="AD39" s="262"/>
      <c r="AE39" s="361"/>
      <c r="AF39" s="361"/>
      <c r="AG39" s="361"/>
      <c r="AH39" s="361"/>
      <c r="AI39" s="168"/>
      <c r="AJ39" s="354"/>
      <c r="AK39" s="164"/>
      <c r="AL39" s="165"/>
      <c r="AM39" s="354"/>
      <c r="AN39" s="168"/>
      <c r="AO39" s="168"/>
      <c r="AP39" s="168"/>
      <c r="AQ39" s="110"/>
      <c r="AR39" s="110"/>
      <c r="AS39" s="110"/>
      <c r="AT39" s="110"/>
      <c r="AU39" s="110"/>
      <c r="AV39" s="110"/>
      <c r="AW39" s="110"/>
      <c r="AX39" s="110"/>
      <c r="AY39" s="110"/>
      <c r="AZ39" s="110"/>
      <c r="BA39" s="110"/>
      <c r="BB39" s="110"/>
      <c r="BC39" s="110"/>
      <c r="BD39" s="110"/>
      <c r="BE39" s="110"/>
      <c r="BF39" s="110"/>
      <c r="BG39" s="110"/>
      <c r="BH39" s="110"/>
      <c r="BI39" s="110"/>
      <c r="BJ39" s="110"/>
      <c r="BK39" s="110"/>
      <c r="BL39" s="110"/>
      <c r="BM39" s="110"/>
      <c r="BN39" s="110"/>
      <c r="BO39" s="110"/>
      <c r="BP39" s="110"/>
      <c r="BQ39" s="110"/>
      <c r="BR39" s="110"/>
      <c r="BS39" s="110"/>
      <c r="BT39" s="110"/>
      <c r="BU39" s="110"/>
      <c r="BV39" s="110"/>
      <c r="BW39" s="110"/>
      <c r="BX39" s="110"/>
      <c r="BY39" s="110"/>
      <c r="BZ39" s="110"/>
      <c r="CA39" s="110"/>
      <c r="CB39" s="110"/>
      <c r="CC39" s="110"/>
      <c r="CD39" s="110"/>
      <c r="CE39" s="110"/>
      <c r="CF39" s="110"/>
      <c r="CG39" s="110"/>
      <c r="CH39" s="110"/>
      <c r="CI39" s="110"/>
      <c r="CJ39" s="110"/>
      <c r="CK39" s="110"/>
      <c r="CL39" s="110"/>
      <c r="CM39" s="110"/>
      <c r="CN39" s="110"/>
      <c r="CO39" s="110"/>
    </row>
    <row r="40" spans="1:93" ht="18" customHeight="1">
      <c r="A40" s="110"/>
      <c r="B40" s="367"/>
      <c r="C40" s="1931" t="s">
        <v>742</v>
      </c>
      <c r="D40" s="1932"/>
      <c r="E40" s="1932"/>
      <c r="F40" s="1932"/>
      <c r="G40" s="1932"/>
      <c r="H40" s="1932"/>
      <c r="I40" s="1932"/>
      <c r="J40" s="1932"/>
      <c r="K40" s="379"/>
      <c r="L40" s="380"/>
      <c r="M40" s="1937"/>
      <c r="N40" s="1964" t="s">
        <v>414</v>
      </c>
      <c r="O40" s="1965"/>
      <c r="P40" s="1965"/>
      <c r="Q40" s="1913" t="str">
        <f>IF(DATA!BQ238=1,DATA!BM236,"")</f>
        <v/>
      </c>
      <c r="R40" s="1913"/>
      <c r="S40" s="1913"/>
      <c r="T40" s="1914"/>
      <c r="U40" s="151"/>
      <c r="V40" s="153"/>
      <c r="W40" s="153"/>
      <c r="X40" s="381">
        <f t="shared" si="9"/>
        <v>44228</v>
      </c>
      <c r="Y40" s="382">
        <f t="shared" si="1"/>
        <v>21230</v>
      </c>
      <c r="Z40" s="383"/>
      <c r="AA40" s="372"/>
      <c r="AB40" s="384">
        <f t="shared" si="8"/>
        <v>21230</v>
      </c>
      <c r="AC40" s="385">
        <f t="shared" si="7"/>
        <v>668</v>
      </c>
      <c r="AD40" s="262"/>
      <c r="AE40" s="361"/>
      <c r="AF40" s="361"/>
      <c r="AG40" s="361"/>
      <c r="AH40" s="361"/>
      <c r="AI40" s="168"/>
      <c r="AJ40" s="354"/>
      <c r="AK40" s="164"/>
      <c r="AL40" s="165"/>
      <c r="AM40" s="354"/>
      <c r="AN40" s="168"/>
      <c r="AO40" s="168"/>
      <c r="AP40" s="168"/>
      <c r="AQ40" s="110"/>
      <c r="AR40" s="110"/>
      <c r="AS40" s="110"/>
      <c r="AT40" s="110"/>
      <c r="AU40" s="110"/>
      <c r="AV40" s="110"/>
      <c r="AW40" s="110"/>
      <c r="AX40" s="110"/>
      <c r="AY40" s="110"/>
      <c r="AZ40" s="110"/>
      <c r="BA40" s="110"/>
      <c r="BB40" s="110"/>
      <c r="BC40" s="110"/>
      <c r="BD40" s="110"/>
      <c r="BE40" s="110"/>
      <c r="BF40" s="110"/>
      <c r="BG40" s="110"/>
      <c r="BH40" s="110"/>
      <c r="BI40" s="110"/>
      <c r="BJ40" s="110"/>
      <c r="BK40" s="110"/>
      <c r="BL40" s="110"/>
      <c r="BM40" s="110"/>
      <c r="BN40" s="110"/>
      <c r="BO40" s="110"/>
      <c r="BP40" s="110"/>
      <c r="BQ40" s="110"/>
      <c r="BR40" s="110"/>
      <c r="BS40" s="110"/>
      <c r="BT40" s="110"/>
      <c r="BU40" s="110"/>
      <c r="BV40" s="110"/>
      <c r="BW40" s="110"/>
      <c r="BX40" s="110"/>
      <c r="BY40" s="110"/>
      <c r="BZ40" s="110"/>
      <c r="CA40" s="110"/>
      <c r="CB40" s="110"/>
      <c r="CC40" s="110"/>
      <c r="CD40" s="110"/>
      <c r="CE40" s="110"/>
      <c r="CF40" s="110"/>
      <c r="CG40" s="110"/>
      <c r="CH40" s="110"/>
      <c r="CI40" s="110"/>
      <c r="CJ40" s="110"/>
      <c r="CK40" s="110"/>
      <c r="CL40" s="110"/>
      <c r="CM40" s="110"/>
      <c r="CN40" s="110"/>
      <c r="CO40" s="110"/>
    </row>
    <row r="41" spans="1:93" ht="18" customHeight="1">
      <c r="A41" s="110"/>
      <c r="B41" s="367"/>
      <c r="C41" s="1885" t="s">
        <v>728</v>
      </c>
      <c r="D41" s="1886"/>
      <c r="E41" s="1886"/>
      <c r="F41" s="1886"/>
      <c r="G41" s="1910" t="s">
        <v>635</v>
      </c>
      <c r="H41" s="1910"/>
      <c r="I41" s="1910"/>
      <c r="J41" s="1910"/>
      <c r="K41" s="386"/>
      <c r="L41" s="387"/>
      <c r="M41" s="1937"/>
      <c r="N41" s="1966" t="str">
        <f>BN239&amp;"  from Housing Property"</f>
        <v>Income  from Housing Property</v>
      </c>
      <c r="O41" s="1967"/>
      <c r="P41" s="1967"/>
      <c r="Q41" s="1911" t="str">
        <f>BM239</f>
        <v/>
      </c>
      <c r="R41" s="1911"/>
      <c r="S41" s="1911"/>
      <c r="T41" s="1912"/>
      <c r="U41" s="151"/>
      <c r="V41" s="153"/>
      <c r="W41" s="153"/>
      <c r="X41" s="173">
        <f t="shared" ref="X41:X44" si="10">AY176</f>
        <v>44256</v>
      </c>
      <c r="Y41" s="174">
        <f t="shared" si="1"/>
        <v>21230</v>
      </c>
      <c r="Z41" s="388"/>
      <c r="AA41" s="372"/>
      <c r="AB41" s="197">
        <f>AW176</f>
        <v>21230</v>
      </c>
      <c r="AC41" s="177">
        <f>IF(X41=AT$189,AT$197,BC176)</f>
        <v>668</v>
      </c>
      <c r="AD41" s="389"/>
      <c r="AE41" s="361"/>
      <c r="AF41" s="361"/>
      <c r="AG41" s="361"/>
      <c r="AH41" s="361"/>
      <c r="AI41" s="168"/>
      <c r="AJ41" s="390"/>
      <c r="AK41" s="391"/>
      <c r="AL41" s="392"/>
      <c r="AM41" s="392"/>
      <c r="AN41" s="168"/>
      <c r="AO41" s="168"/>
      <c r="AP41" s="168"/>
      <c r="AQ41" s="110"/>
      <c r="AR41" s="110"/>
      <c r="AS41" s="110"/>
      <c r="AT41" s="110"/>
      <c r="AU41" s="110"/>
      <c r="AV41" s="110"/>
      <c r="AW41" s="110"/>
      <c r="AX41" s="110"/>
      <c r="AY41" s="110"/>
      <c r="AZ41" s="110"/>
      <c r="BA41" s="110"/>
      <c r="BB41" s="110"/>
      <c r="BC41" s="110"/>
      <c r="BD41" s="110"/>
      <c r="BE41" s="110"/>
      <c r="BF41" s="110"/>
      <c r="BG41" s="110"/>
      <c r="BH41" s="110"/>
      <c r="BI41" s="110"/>
      <c r="BJ41" s="110"/>
      <c r="BK41" s="110"/>
      <c r="BL41" s="110"/>
      <c r="BM41" s="110"/>
      <c r="BN41" s="110"/>
      <c r="BO41" s="110"/>
      <c r="BP41" s="110"/>
      <c r="BQ41" s="110"/>
      <c r="BR41" s="110"/>
      <c r="BS41" s="110"/>
      <c r="BT41" s="110"/>
      <c r="BU41" s="110"/>
      <c r="BV41" s="110"/>
      <c r="BW41" s="110"/>
      <c r="BX41" s="110"/>
      <c r="BY41" s="110"/>
      <c r="BZ41" s="110"/>
      <c r="CA41" s="110"/>
      <c r="CB41" s="110"/>
      <c r="CC41" s="110"/>
      <c r="CD41" s="110"/>
      <c r="CE41" s="110"/>
      <c r="CF41" s="110"/>
      <c r="CG41" s="110"/>
      <c r="CH41" s="110"/>
      <c r="CI41" s="110"/>
      <c r="CJ41" s="110"/>
      <c r="CK41" s="110"/>
      <c r="CL41" s="110"/>
      <c r="CM41" s="110"/>
      <c r="CN41" s="110"/>
      <c r="CO41" s="110"/>
    </row>
    <row r="42" spans="1:93" ht="15.6" customHeight="1">
      <c r="A42" s="110"/>
      <c r="B42" s="367"/>
      <c r="C42" s="144"/>
      <c r="D42" s="144"/>
      <c r="E42" s="144"/>
      <c r="F42" s="144"/>
      <c r="G42" s="144"/>
      <c r="H42" s="144"/>
      <c r="I42" s="144"/>
      <c r="J42" s="144"/>
      <c r="K42" s="144"/>
      <c r="L42" s="144"/>
      <c r="M42" s="144"/>
      <c r="N42" s="144"/>
      <c r="O42" s="144"/>
      <c r="P42" s="144"/>
      <c r="Q42" s="144"/>
      <c r="R42" s="144"/>
      <c r="S42" s="144"/>
      <c r="T42" s="144"/>
      <c r="U42" s="151"/>
      <c r="V42" s="153"/>
      <c r="W42" s="153"/>
      <c r="X42" s="173">
        <f t="shared" si="10"/>
        <v>44287</v>
      </c>
      <c r="Y42" s="174">
        <f t="shared" si="1"/>
        <v>21230</v>
      </c>
      <c r="Z42" s="393"/>
      <c r="AA42" s="394"/>
      <c r="AB42" s="197">
        <f>AW176</f>
        <v>21230</v>
      </c>
      <c r="AC42" s="177">
        <f t="shared" ref="AC42:AC44" si="11">IF(X42=AT$189,AT$197,BC177)</f>
        <v>668</v>
      </c>
      <c r="AD42" s="361"/>
      <c r="AE42" s="361"/>
      <c r="AF42" s="361"/>
      <c r="AG42" s="361"/>
      <c r="AH42" s="361"/>
      <c r="AI42" s="168"/>
      <c r="AJ42" s="354"/>
      <c r="AK42" s="354"/>
      <c r="AL42" s="354"/>
      <c r="AM42" s="354"/>
      <c r="AN42" s="168"/>
      <c r="AO42" s="168"/>
      <c r="AP42" s="168"/>
      <c r="AQ42" s="110"/>
      <c r="AR42" s="110"/>
      <c r="AS42" s="110"/>
      <c r="AT42" s="110"/>
      <c r="AU42" s="110"/>
      <c r="AV42" s="110"/>
      <c r="AW42" s="110"/>
      <c r="AX42" s="110"/>
      <c r="AY42" s="110"/>
      <c r="AZ42" s="110"/>
      <c r="BA42" s="110"/>
      <c r="BB42" s="110"/>
      <c r="BC42" s="110"/>
      <c r="BD42" s="110"/>
      <c r="BE42" s="110"/>
      <c r="BF42" s="110"/>
      <c r="BG42" s="110"/>
      <c r="BH42" s="110"/>
      <c r="BI42" s="110"/>
      <c r="BJ42" s="110"/>
      <c r="BK42" s="110"/>
      <c r="BL42" s="110"/>
      <c r="BM42" s="110"/>
      <c r="BN42" s="110"/>
      <c r="BO42" s="110"/>
      <c r="BP42" s="110"/>
      <c r="BQ42" s="110"/>
      <c r="BR42" s="110"/>
      <c r="BS42" s="110"/>
      <c r="BT42" s="110"/>
      <c r="BU42" s="110"/>
      <c r="BV42" s="110"/>
      <c r="BW42" s="110"/>
      <c r="BX42" s="110"/>
      <c r="BY42" s="110"/>
      <c r="BZ42" s="110"/>
      <c r="CA42" s="110"/>
      <c r="CB42" s="110"/>
      <c r="CC42" s="110"/>
      <c r="CD42" s="110"/>
      <c r="CE42" s="110"/>
      <c r="CF42" s="110"/>
      <c r="CG42" s="110"/>
      <c r="CH42" s="110"/>
      <c r="CI42" s="110"/>
      <c r="CJ42" s="110"/>
      <c r="CK42" s="110"/>
      <c r="CL42" s="110"/>
      <c r="CM42" s="110"/>
      <c r="CN42" s="110"/>
      <c r="CO42" s="110"/>
    </row>
    <row r="43" spans="1:93" ht="16.149999999999999" customHeight="1">
      <c r="A43" s="110"/>
      <c r="B43" s="142"/>
      <c r="C43" s="1946" t="s">
        <v>815</v>
      </c>
      <c r="D43" s="2023"/>
      <c r="E43" s="2023"/>
      <c r="F43" s="2023"/>
      <c r="G43" s="2023"/>
      <c r="H43" s="2023"/>
      <c r="I43" s="2023"/>
      <c r="J43" s="2023"/>
      <c r="K43" s="2023"/>
      <c r="L43" s="2024"/>
      <c r="M43" s="142"/>
      <c r="N43" s="1946" t="s">
        <v>841</v>
      </c>
      <c r="O43" s="1947"/>
      <c r="P43" s="1947"/>
      <c r="Q43" s="1947"/>
      <c r="R43" s="1947"/>
      <c r="S43" s="1947"/>
      <c r="T43" s="1948"/>
      <c r="U43" s="395"/>
      <c r="V43" s="396"/>
      <c r="W43" s="397"/>
      <c r="X43" s="173">
        <f t="shared" si="10"/>
        <v>44317</v>
      </c>
      <c r="Y43" s="174">
        <f t="shared" si="1"/>
        <v>21230</v>
      </c>
      <c r="Z43" s="398"/>
      <c r="AA43" s="399"/>
      <c r="AB43" s="197">
        <f>AW178</f>
        <v>21230</v>
      </c>
      <c r="AC43" s="177">
        <f t="shared" si="11"/>
        <v>668</v>
      </c>
      <c r="AD43" s="400"/>
      <c r="AE43" s="401"/>
      <c r="AF43" s="401"/>
      <c r="AG43" s="402"/>
      <c r="AH43" s="402"/>
      <c r="AI43" s="168"/>
      <c r="AJ43" s="168"/>
      <c r="AK43" s="168"/>
      <c r="AL43" s="168"/>
      <c r="AM43" s="168"/>
      <c r="AN43" s="180">
        <f>SUM(AC41:AC44)</f>
        <v>2672</v>
      </c>
      <c r="AO43" s="167" t="s">
        <v>982</v>
      </c>
      <c r="AP43" s="168"/>
      <c r="AQ43" s="110"/>
      <c r="AR43" s="110"/>
      <c r="AS43" s="110"/>
      <c r="AT43" s="110"/>
      <c r="AU43" s="110"/>
      <c r="AV43" s="110"/>
      <c r="AW43" s="110"/>
      <c r="AX43" s="110"/>
      <c r="AY43" s="110"/>
      <c r="AZ43" s="110"/>
      <c r="BA43" s="110"/>
      <c r="BB43" s="110"/>
      <c r="BC43" s="110"/>
      <c r="BD43" s="110"/>
      <c r="BE43" s="110"/>
      <c r="BF43" s="110"/>
      <c r="BG43" s="110"/>
      <c r="BH43" s="110"/>
      <c r="BI43" s="110"/>
      <c r="BJ43" s="110"/>
      <c r="BK43" s="110"/>
      <c r="BL43" s="110"/>
      <c r="BM43" s="110"/>
      <c r="BN43" s="110"/>
      <c r="BO43" s="110"/>
      <c r="BP43" s="110"/>
      <c r="BQ43" s="110"/>
      <c r="BR43" s="110"/>
      <c r="BS43" s="110"/>
      <c r="BT43" s="110"/>
      <c r="BU43" s="110"/>
      <c r="BV43" s="110"/>
      <c r="BW43" s="110"/>
      <c r="BX43" s="110"/>
      <c r="BY43" s="110"/>
      <c r="BZ43" s="110"/>
      <c r="CA43" s="110"/>
      <c r="CB43" s="110"/>
      <c r="CC43" s="110"/>
      <c r="CD43" s="110"/>
      <c r="CE43" s="110"/>
      <c r="CF43" s="110"/>
      <c r="CG43" s="110"/>
      <c r="CH43" s="110"/>
      <c r="CI43" s="110"/>
      <c r="CJ43" s="110"/>
      <c r="CK43" s="110"/>
      <c r="CL43" s="110"/>
      <c r="CM43" s="110"/>
      <c r="CN43" s="110"/>
      <c r="CO43" s="110"/>
    </row>
    <row r="44" spans="1:93" ht="16.149999999999999" customHeight="1">
      <c r="A44" s="110"/>
      <c r="B44" s="142"/>
      <c r="C44" s="2025"/>
      <c r="D44" s="2026"/>
      <c r="E44" s="2026"/>
      <c r="F44" s="2026"/>
      <c r="G44" s="2026"/>
      <c r="H44" s="2026"/>
      <c r="I44" s="2026"/>
      <c r="J44" s="2026"/>
      <c r="K44" s="2026"/>
      <c r="L44" s="2027"/>
      <c r="M44" s="142"/>
      <c r="N44" s="1949"/>
      <c r="O44" s="1950"/>
      <c r="P44" s="1950"/>
      <c r="Q44" s="1950"/>
      <c r="R44" s="1950"/>
      <c r="S44" s="1950"/>
      <c r="T44" s="1951"/>
      <c r="U44" s="395"/>
      <c r="V44" s="396"/>
      <c r="W44" s="397"/>
      <c r="X44" s="173">
        <f t="shared" si="10"/>
        <v>44348</v>
      </c>
      <c r="Y44" s="174">
        <f t="shared" si="1"/>
        <v>21230</v>
      </c>
      <c r="Z44" s="398"/>
      <c r="AA44" s="403"/>
      <c r="AB44" s="404">
        <f>AW179</f>
        <v>21230</v>
      </c>
      <c r="AC44" s="177">
        <f t="shared" si="11"/>
        <v>668</v>
      </c>
      <c r="AD44" s="400"/>
      <c r="AE44" s="401"/>
      <c r="AF44" s="401"/>
      <c r="AG44" s="402"/>
      <c r="AH44" s="402"/>
      <c r="AI44" s="168"/>
      <c r="AJ44" s="168"/>
      <c r="AK44" s="168"/>
      <c r="AL44" s="168"/>
      <c r="AM44" s="168"/>
      <c r="AN44" s="168"/>
      <c r="AO44" s="168"/>
      <c r="AP44" s="168"/>
      <c r="AQ44" s="110"/>
      <c r="AR44" s="110"/>
      <c r="AS44" s="110"/>
      <c r="AT44" s="110"/>
      <c r="AU44" s="110"/>
      <c r="AV44" s="110"/>
      <c r="AW44" s="110"/>
      <c r="AX44" s="110"/>
      <c r="AY44" s="110"/>
      <c r="AZ44" s="110"/>
      <c r="BA44" s="110"/>
      <c r="BB44" s="110"/>
      <c r="BC44" s="110"/>
      <c r="BD44" s="110"/>
      <c r="BE44" s="110"/>
      <c r="BF44" s="110"/>
      <c r="BG44" s="110"/>
      <c r="BH44" s="110"/>
      <c r="BI44" s="110"/>
      <c r="BJ44" s="110"/>
      <c r="BK44" s="110"/>
      <c r="BL44" s="110"/>
      <c r="BM44" s="110"/>
      <c r="BN44" s="110"/>
      <c r="BO44" s="110"/>
      <c r="BP44" s="110"/>
      <c r="BQ44" s="110"/>
      <c r="BR44" s="110"/>
      <c r="BS44" s="110"/>
      <c r="BT44" s="110"/>
      <c r="BU44" s="110"/>
      <c r="BV44" s="110"/>
      <c r="BW44" s="110"/>
      <c r="BX44" s="110"/>
      <c r="BY44" s="110"/>
      <c r="BZ44" s="110"/>
      <c r="CA44" s="110"/>
      <c r="CB44" s="110"/>
      <c r="CC44" s="110"/>
      <c r="CD44" s="110"/>
      <c r="CE44" s="110"/>
      <c r="CF44" s="110"/>
      <c r="CG44" s="110"/>
      <c r="CH44" s="110"/>
      <c r="CI44" s="110"/>
      <c r="CJ44" s="110"/>
      <c r="CK44" s="110"/>
      <c r="CL44" s="110"/>
      <c r="CM44" s="110"/>
      <c r="CN44" s="110"/>
      <c r="CO44" s="110"/>
    </row>
    <row r="45" spans="1:93" ht="17.100000000000001" customHeight="1">
      <c r="A45" s="110"/>
      <c r="B45" s="142"/>
      <c r="C45" s="405" t="s">
        <v>986</v>
      </c>
      <c r="D45" s="406"/>
      <c r="E45" s="406"/>
      <c r="F45" s="2009"/>
      <c r="G45" s="2009"/>
      <c r="H45" s="1882" t="s">
        <v>828</v>
      </c>
      <c r="I45" s="1882"/>
      <c r="J45" s="1882"/>
      <c r="K45" s="2028"/>
      <c r="L45" s="2029"/>
      <c r="M45" s="142"/>
      <c r="N45" s="2005" t="s">
        <v>361</v>
      </c>
      <c r="O45" s="2006"/>
      <c r="P45" s="2006"/>
      <c r="Q45" s="1995" t="s">
        <v>842</v>
      </c>
      <c r="R45" s="1995"/>
      <c r="S45" s="1995"/>
      <c r="T45" s="1996"/>
      <c r="U45" s="407"/>
      <c r="V45" s="408"/>
      <c r="W45" s="111"/>
      <c r="X45" s="409"/>
      <c r="Y45" s="410"/>
      <c r="Z45" s="410"/>
      <c r="AA45" s="410"/>
      <c r="AB45" s="411"/>
      <c r="AC45" s="412"/>
      <c r="AD45" s="111"/>
      <c r="AE45" s="111"/>
      <c r="AF45" s="111"/>
      <c r="AG45" s="111"/>
      <c r="AH45" s="111"/>
      <c r="AI45" s="110"/>
      <c r="AJ45" s="110"/>
      <c r="AK45" s="110"/>
      <c r="AL45" s="110"/>
      <c r="AM45" s="110"/>
      <c r="AN45" s="110"/>
      <c r="AO45" s="110"/>
      <c r="AP45" s="110"/>
      <c r="AQ45" s="110"/>
      <c r="AR45" s="110"/>
      <c r="AS45" s="110"/>
      <c r="AT45" s="110"/>
      <c r="AU45" s="110"/>
      <c r="AV45" s="110"/>
      <c r="AW45" s="110"/>
      <c r="AX45" s="110"/>
      <c r="AY45" s="110"/>
      <c r="AZ45" s="110"/>
      <c r="BA45" s="110"/>
      <c r="BB45" s="110"/>
      <c r="BC45" s="110"/>
      <c r="BD45" s="110"/>
      <c r="BE45" s="110"/>
      <c r="BF45" s="110"/>
      <c r="BG45" s="110"/>
      <c r="BH45" s="110"/>
      <c r="BI45" s="110"/>
      <c r="BJ45" s="110"/>
      <c r="BK45" s="110"/>
      <c r="BL45" s="110"/>
      <c r="BM45" s="110"/>
      <c r="BN45" s="110"/>
      <c r="BO45" s="110"/>
      <c r="BP45" s="110"/>
      <c r="BQ45" s="110"/>
      <c r="BR45" s="110"/>
      <c r="BS45" s="110"/>
      <c r="BT45" s="110"/>
      <c r="BU45" s="110"/>
      <c r="BV45" s="110"/>
      <c r="BW45" s="110"/>
      <c r="BX45" s="110"/>
      <c r="BY45" s="110"/>
      <c r="BZ45" s="110"/>
      <c r="CA45" s="110"/>
      <c r="CB45" s="110"/>
      <c r="CC45" s="110"/>
      <c r="CD45" s="110"/>
      <c r="CE45" s="110"/>
      <c r="CF45" s="110"/>
      <c r="CG45" s="110"/>
      <c r="CH45" s="110"/>
      <c r="CI45" s="110"/>
      <c r="CJ45" s="110"/>
      <c r="CK45" s="110"/>
      <c r="CL45" s="110"/>
      <c r="CM45" s="110"/>
      <c r="CN45" s="110"/>
      <c r="CO45" s="110"/>
    </row>
    <row r="46" spans="1:93" ht="17.100000000000001" customHeight="1">
      <c r="A46" s="110"/>
      <c r="B46" s="142"/>
      <c r="C46" s="413" t="s">
        <v>993</v>
      </c>
      <c r="D46" s="414"/>
      <c r="E46" s="414"/>
      <c r="F46" s="1904"/>
      <c r="G46" s="1904"/>
      <c r="H46" s="1841" t="s">
        <v>828</v>
      </c>
      <c r="I46" s="1841"/>
      <c r="J46" s="1841"/>
      <c r="K46" s="2030"/>
      <c r="L46" s="2031"/>
      <c r="M46" s="142"/>
      <c r="N46" s="1839" t="s">
        <v>362</v>
      </c>
      <c r="O46" s="1840"/>
      <c r="P46" s="1840"/>
      <c r="Q46" s="1799" t="s">
        <v>843</v>
      </c>
      <c r="R46" s="1799"/>
      <c r="S46" s="1799"/>
      <c r="T46" s="1800"/>
      <c r="U46" s="415"/>
      <c r="V46" s="416"/>
      <c r="W46" s="111"/>
      <c r="X46" s="1939"/>
      <c r="Y46" s="1939"/>
      <c r="Z46" s="417"/>
      <c r="AA46" s="418"/>
      <c r="AB46" s="419"/>
      <c r="AC46" s="420"/>
      <c r="AD46" s="111"/>
      <c r="AE46" s="421"/>
      <c r="AF46" s="421"/>
      <c r="AG46" s="111"/>
      <c r="AH46" s="111" t="s">
        <v>903</v>
      </c>
      <c r="AI46" s="110"/>
      <c r="AJ46" s="110"/>
      <c r="AK46" s="110"/>
      <c r="AL46" s="110"/>
      <c r="AM46" s="110"/>
      <c r="AN46" s="110"/>
      <c r="AO46" s="110"/>
      <c r="AP46" s="110"/>
      <c r="AQ46" s="110"/>
      <c r="AR46" s="110"/>
      <c r="AS46" s="110"/>
      <c r="AT46" s="110"/>
      <c r="AU46" s="110"/>
      <c r="AV46" s="110"/>
      <c r="AW46" s="110"/>
      <c r="AX46" s="110"/>
      <c r="AY46" s="110"/>
      <c r="AZ46" s="110"/>
      <c r="BA46" s="110"/>
      <c r="BB46" s="110"/>
      <c r="BC46" s="110"/>
      <c r="BD46" s="110"/>
      <c r="BE46" s="110"/>
      <c r="BF46" s="110"/>
      <c r="BG46" s="110"/>
      <c r="BH46" s="110"/>
      <c r="BI46" s="110"/>
      <c r="BJ46" s="110"/>
      <c r="BK46" s="110"/>
      <c r="BL46" s="110"/>
      <c r="BM46" s="110"/>
      <c r="BN46" s="110"/>
      <c r="BO46" s="110"/>
      <c r="BP46" s="110"/>
      <c r="BQ46" s="110"/>
      <c r="BR46" s="110"/>
      <c r="BS46" s="110"/>
      <c r="BT46" s="110"/>
      <c r="BU46" s="110"/>
      <c r="BV46" s="110"/>
      <c r="BW46" s="110"/>
      <c r="BX46" s="110"/>
      <c r="BY46" s="110"/>
      <c r="BZ46" s="110"/>
      <c r="CA46" s="110"/>
      <c r="CB46" s="110"/>
      <c r="CC46" s="110"/>
      <c r="CD46" s="110"/>
      <c r="CE46" s="110"/>
      <c r="CF46" s="110"/>
      <c r="CG46" s="110"/>
      <c r="CH46" s="110"/>
      <c r="CI46" s="110"/>
      <c r="CJ46" s="110"/>
      <c r="CK46" s="110"/>
      <c r="CL46" s="110"/>
      <c r="CM46" s="110"/>
      <c r="CN46" s="110"/>
      <c r="CO46" s="110"/>
    </row>
    <row r="47" spans="1:93" ht="17.100000000000001" customHeight="1">
      <c r="A47" s="110"/>
      <c r="B47" s="142"/>
      <c r="C47" s="413" t="s">
        <v>985</v>
      </c>
      <c r="D47" s="414"/>
      <c r="E47" s="414"/>
      <c r="F47" s="1904"/>
      <c r="G47" s="1904"/>
      <c r="H47" s="1841" t="s">
        <v>828</v>
      </c>
      <c r="I47" s="1841"/>
      <c r="J47" s="1841"/>
      <c r="K47" s="1904"/>
      <c r="L47" s="1905"/>
      <c r="M47" s="142"/>
      <c r="N47" s="1839" t="s">
        <v>363</v>
      </c>
      <c r="O47" s="1840"/>
      <c r="P47" s="1840"/>
      <c r="Q47" s="1799" t="s">
        <v>634</v>
      </c>
      <c r="R47" s="1799"/>
      <c r="S47" s="1799"/>
      <c r="T47" s="1800"/>
      <c r="U47" s="422"/>
      <c r="V47" s="423"/>
      <c r="W47" s="111"/>
      <c r="X47" s="112"/>
      <c r="Y47" s="112"/>
      <c r="Z47" s="112"/>
      <c r="AA47" s="112"/>
      <c r="AB47" s="112"/>
      <c r="AC47" s="111"/>
      <c r="AD47" s="111"/>
      <c r="AE47" s="424"/>
      <c r="AF47" s="424"/>
      <c r="AG47" s="111"/>
      <c r="AH47" s="111" t="s">
        <v>904</v>
      </c>
      <c r="AI47" s="110"/>
      <c r="AJ47" s="110"/>
      <c r="AK47" s="110"/>
      <c r="AL47" s="110"/>
      <c r="AM47" s="110"/>
      <c r="AN47" s="110"/>
      <c r="AO47" s="110"/>
      <c r="AP47" s="110"/>
      <c r="AQ47" s="110"/>
      <c r="AR47" s="110"/>
      <c r="AS47" s="110"/>
      <c r="AT47" s="110"/>
      <c r="AU47" s="110"/>
      <c r="AV47" s="110"/>
      <c r="AW47" s="110"/>
      <c r="AX47" s="110"/>
      <c r="AY47" s="110"/>
      <c r="AZ47" s="110"/>
      <c r="BA47" s="110"/>
      <c r="BB47" s="110"/>
      <c r="BC47" s="110"/>
      <c r="BD47" s="110"/>
      <c r="BE47" s="110"/>
      <c r="BF47" s="110"/>
      <c r="BG47" s="110"/>
      <c r="BH47" s="110"/>
      <c r="BI47" s="110"/>
      <c r="BJ47" s="110"/>
      <c r="BK47" s="110"/>
      <c r="BL47" s="110"/>
      <c r="BM47" s="110"/>
      <c r="BN47" s="110"/>
      <c r="BO47" s="110"/>
      <c r="BP47" s="110"/>
      <c r="BQ47" s="110"/>
      <c r="BR47" s="110"/>
      <c r="BS47" s="110"/>
      <c r="BT47" s="110"/>
      <c r="BU47" s="110"/>
      <c r="BV47" s="110"/>
      <c r="BW47" s="110"/>
      <c r="BX47" s="110"/>
      <c r="BY47" s="110"/>
      <c r="BZ47" s="110"/>
      <c r="CA47" s="110"/>
      <c r="CB47" s="110"/>
      <c r="CC47" s="110"/>
      <c r="CD47" s="110"/>
      <c r="CE47" s="110"/>
      <c r="CF47" s="110"/>
      <c r="CG47" s="110"/>
      <c r="CH47" s="110"/>
      <c r="CI47" s="110"/>
      <c r="CJ47" s="110"/>
      <c r="CK47" s="110"/>
      <c r="CL47" s="110"/>
      <c r="CM47" s="110"/>
      <c r="CN47" s="110"/>
      <c r="CO47" s="110"/>
    </row>
    <row r="48" spans="1:93" ht="17.100000000000001" customHeight="1">
      <c r="A48" s="110"/>
      <c r="B48" s="142"/>
      <c r="C48" s="425" t="s">
        <v>995</v>
      </c>
      <c r="D48" s="426"/>
      <c r="E48" s="426"/>
      <c r="F48" s="1997"/>
      <c r="G48" s="1997"/>
      <c r="H48" s="1841" t="s">
        <v>828</v>
      </c>
      <c r="I48" s="1841"/>
      <c r="J48" s="1841"/>
      <c r="K48" s="1902"/>
      <c r="L48" s="1903"/>
      <c r="M48" s="142"/>
      <c r="N48" s="1839" t="s">
        <v>359</v>
      </c>
      <c r="O48" s="1840"/>
      <c r="P48" s="1840"/>
      <c r="Q48" s="1799" t="s">
        <v>634</v>
      </c>
      <c r="R48" s="1799"/>
      <c r="S48" s="1799"/>
      <c r="T48" s="1800"/>
      <c r="U48" s="422"/>
      <c r="V48" s="423"/>
      <c r="W48" s="111"/>
      <c r="X48" s="112"/>
      <c r="Y48" s="112"/>
      <c r="Z48" s="112"/>
      <c r="AA48" s="112"/>
      <c r="AB48" s="112"/>
      <c r="AC48" s="111"/>
      <c r="AD48" s="111"/>
      <c r="AE48" s="424"/>
      <c r="AF48" s="424"/>
      <c r="AG48" s="111"/>
      <c r="AH48" s="111"/>
      <c r="AI48" s="110"/>
      <c r="AJ48" s="110"/>
      <c r="AK48" s="110"/>
      <c r="AL48" s="110"/>
      <c r="AM48" s="110"/>
      <c r="AN48" s="110"/>
      <c r="AO48" s="110"/>
      <c r="AP48" s="110"/>
      <c r="AQ48" s="110"/>
      <c r="AR48" s="110"/>
      <c r="AS48" s="110"/>
      <c r="AT48" s="110"/>
      <c r="AU48" s="110"/>
      <c r="AV48" s="110"/>
      <c r="AW48" s="110"/>
      <c r="AX48" s="110"/>
      <c r="AY48" s="110"/>
      <c r="AZ48" s="110"/>
      <c r="BA48" s="110"/>
      <c r="BB48" s="110"/>
      <c r="BC48" s="110"/>
      <c r="BD48" s="110"/>
      <c r="BE48" s="110"/>
      <c r="BF48" s="110"/>
      <c r="BG48" s="110"/>
      <c r="BH48" s="110"/>
      <c r="BI48" s="110"/>
      <c r="BJ48" s="110"/>
      <c r="BK48" s="110"/>
      <c r="BL48" s="110"/>
      <c r="BM48" s="110"/>
      <c r="BN48" s="110"/>
      <c r="BO48" s="110"/>
      <c r="BP48" s="110"/>
      <c r="BQ48" s="110"/>
      <c r="BR48" s="110"/>
      <c r="BS48" s="110"/>
      <c r="BT48" s="110"/>
      <c r="BU48" s="110"/>
      <c r="BV48" s="110"/>
      <c r="BW48" s="110"/>
      <c r="BX48" s="110"/>
      <c r="BY48" s="110"/>
      <c r="BZ48" s="110"/>
      <c r="CA48" s="110"/>
      <c r="CB48" s="110"/>
      <c r="CC48" s="110"/>
      <c r="CD48" s="110"/>
      <c r="CE48" s="110"/>
      <c r="CF48" s="110"/>
      <c r="CG48" s="110"/>
      <c r="CH48" s="110"/>
      <c r="CI48" s="110"/>
      <c r="CJ48" s="110"/>
      <c r="CK48" s="110"/>
      <c r="CL48" s="110"/>
      <c r="CM48" s="110"/>
      <c r="CN48" s="110"/>
      <c r="CO48" s="110"/>
    </row>
    <row r="49" spans="1:93" ht="17.100000000000001" customHeight="1">
      <c r="A49" s="110"/>
      <c r="B49" s="142"/>
      <c r="C49" s="425" t="s">
        <v>994</v>
      </c>
      <c r="D49" s="427"/>
      <c r="E49" s="427"/>
      <c r="F49" s="1935"/>
      <c r="G49" s="1935"/>
      <c r="H49" s="1926" t="s">
        <v>828</v>
      </c>
      <c r="I49" s="1926"/>
      <c r="J49" s="1926"/>
      <c r="K49" s="1887"/>
      <c r="L49" s="1888"/>
      <c r="M49" s="428"/>
      <c r="N49" s="1812" t="s">
        <v>360</v>
      </c>
      <c r="O49" s="1813"/>
      <c r="P49" s="1813"/>
      <c r="Q49" s="1789" t="s">
        <v>5</v>
      </c>
      <c r="R49" s="1789"/>
      <c r="S49" s="1789"/>
      <c r="T49" s="1790"/>
      <c r="U49" s="429"/>
      <c r="V49" s="430"/>
      <c r="W49" s="111"/>
      <c r="X49" s="112"/>
      <c r="Y49" s="112"/>
      <c r="Z49" s="112"/>
      <c r="AA49" s="112"/>
      <c r="AB49" s="112"/>
      <c r="AC49" s="111"/>
      <c r="AD49" s="111"/>
      <c r="AE49" s="424"/>
      <c r="AF49" s="424"/>
      <c r="AG49" s="111"/>
      <c r="AH49" s="431">
        <v>2</v>
      </c>
      <c r="AI49" s="110"/>
      <c r="AJ49" s="110"/>
      <c r="AK49" s="110"/>
      <c r="AL49" s="110"/>
      <c r="AM49" s="110"/>
      <c r="AN49" s="110"/>
      <c r="AO49" s="110"/>
      <c r="AP49" s="110"/>
      <c r="AQ49" s="110"/>
      <c r="AR49" s="110"/>
      <c r="AS49" s="110"/>
      <c r="AT49" s="110"/>
      <c r="AU49" s="110"/>
      <c r="AV49" s="110"/>
      <c r="AW49" s="110"/>
      <c r="AX49" s="110"/>
      <c r="AY49" s="110"/>
      <c r="AZ49" s="110"/>
      <c r="BA49" s="110"/>
      <c r="BB49" s="110"/>
      <c r="BC49" s="110"/>
      <c r="BD49" s="110"/>
      <c r="BE49" s="110"/>
      <c r="BF49" s="110"/>
      <c r="BG49" s="110"/>
      <c r="BH49" s="110"/>
      <c r="BI49" s="110"/>
      <c r="BJ49" s="110"/>
      <c r="BK49" s="110"/>
      <c r="BL49" s="110"/>
      <c r="BM49" s="110"/>
      <c r="BN49" s="110"/>
      <c r="BO49" s="110"/>
      <c r="BP49" s="110"/>
      <c r="BQ49" s="110"/>
      <c r="BR49" s="110"/>
      <c r="BS49" s="110"/>
      <c r="BT49" s="110"/>
      <c r="BU49" s="110"/>
      <c r="BV49" s="110"/>
      <c r="BW49" s="110"/>
      <c r="BX49" s="110"/>
      <c r="BY49" s="110"/>
      <c r="BZ49" s="110"/>
      <c r="CA49" s="110"/>
      <c r="CB49" s="110"/>
      <c r="CC49" s="110"/>
      <c r="CD49" s="110"/>
      <c r="CE49" s="110"/>
      <c r="CF49" s="110"/>
      <c r="CG49" s="110"/>
      <c r="CH49" s="110"/>
      <c r="CI49" s="110"/>
      <c r="CJ49" s="110"/>
      <c r="CK49" s="110"/>
      <c r="CL49" s="110"/>
      <c r="CM49" s="110"/>
      <c r="CN49" s="110"/>
      <c r="CO49" s="110"/>
    </row>
    <row r="50" spans="1:93" ht="17.100000000000001" customHeight="1">
      <c r="A50" s="110"/>
      <c r="B50" s="142"/>
      <c r="C50" s="432" t="s">
        <v>996</v>
      </c>
      <c r="D50" s="433"/>
      <c r="E50" s="433"/>
      <c r="F50" s="1843"/>
      <c r="G50" s="1843"/>
      <c r="H50" s="1945" t="s">
        <v>828</v>
      </c>
      <c r="I50" s="1945"/>
      <c r="J50" s="1945"/>
      <c r="K50" s="1797"/>
      <c r="L50" s="1798"/>
      <c r="M50" s="428"/>
      <c r="N50" s="432" t="s">
        <v>954</v>
      </c>
      <c r="O50" s="1915" t="s">
        <v>956</v>
      </c>
      <c r="P50" s="1915"/>
      <c r="Q50" s="1945" t="s">
        <v>955</v>
      </c>
      <c r="R50" s="1945"/>
      <c r="S50" s="1908" t="s">
        <v>957</v>
      </c>
      <c r="T50" s="1909"/>
      <c r="U50" s="434"/>
      <c r="V50" s="430"/>
      <c r="W50" s="111"/>
      <c r="X50" s="112"/>
      <c r="Y50" s="112"/>
      <c r="Z50" s="112"/>
      <c r="AA50" s="112"/>
      <c r="AB50" s="112"/>
      <c r="AC50" s="111"/>
      <c r="AD50" s="111"/>
      <c r="AE50" s="424"/>
      <c r="AF50" s="424"/>
      <c r="AG50" s="111"/>
      <c r="AH50" s="111"/>
      <c r="AI50" s="110"/>
      <c r="AJ50" s="110"/>
      <c r="AK50" s="110"/>
      <c r="AL50" s="110"/>
      <c r="AM50" s="110"/>
      <c r="AN50" s="110"/>
      <c r="AO50" s="110"/>
      <c r="AP50" s="110"/>
      <c r="AQ50" s="110"/>
      <c r="AR50" s="110"/>
      <c r="AS50" s="110"/>
      <c r="AT50" s="110"/>
      <c r="AU50" s="110"/>
      <c r="AV50" s="110"/>
      <c r="AW50" s="110"/>
      <c r="AX50" s="110"/>
      <c r="AY50" s="110"/>
      <c r="AZ50" s="110"/>
      <c r="BA50" s="110"/>
      <c r="BB50" s="110"/>
      <c r="BC50" s="110"/>
      <c r="BD50" s="110"/>
      <c r="BE50" s="110"/>
      <c r="BF50" s="110"/>
      <c r="BG50" s="110"/>
      <c r="BH50" s="110"/>
      <c r="BI50" s="110"/>
      <c r="BJ50" s="110"/>
      <c r="BK50" s="110"/>
      <c r="BL50" s="110"/>
      <c r="BM50" s="110"/>
      <c r="BN50" s="110"/>
      <c r="BO50" s="110"/>
      <c r="BP50" s="110"/>
      <c r="BQ50" s="110"/>
      <c r="BR50" s="110"/>
      <c r="BS50" s="110"/>
      <c r="BT50" s="110"/>
      <c r="BU50" s="110"/>
      <c r="BV50" s="110"/>
      <c r="BW50" s="110"/>
      <c r="BX50" s="110"/>
      <c r="BY50" s="110"/>
      <c r="BZ50" s="110"/>
      <c r="CA50" s="110"/>
      <c r="CB50" s="110"/>
      <c r="CC50" s="110"/>
      <c r="CD50" s="110"/>
      <c r="CE50" s="110"/>
      <c r="CF50" s="110"/>
      <c r="CG50" s="110"/>
      <c r="CH50" s="110"/>
      <c r="CI50" s="110"/>
      <c r="CJ50" s="110"/>
      <c r="CK50" s="110"/>
      <c r="CL50" s="110"/>
      <c r="CM50" s="110"/>
      <c r="CN50" s="110"/>
      <c r="CO50" s="110"/>
    </row>
    <row r="51" spans="1:93" ht="16.5" customHeight="1">
      <c r="A51" s="110"/>
      <c r="B51" s="142"/>
      <c r="C51" s="435"/>
      <c r="D51" s="436"/>
      <c r="E51" s="436"/>
      <c r="F51" s="436"/>
      <c r="G51" s="436"/>
      <c r="H51" s="436"/>
      <c r="I51" s="436"/>
      <c r="J51" s="436"/>
      <c r="K51" s="437"/>
      <c r="L51" s="438"/>
      <c r="M51" s="428"/>
      <c r="N51" s="1844" t="str">
        <f>IF('Form 10E'!U61&lt;=0,"  No Tax Relief ",CONCATENATE(" Congratulation ",E10," Garu Your Tax Relief  Rs ."))</f>
        <v xml:space="preserve">  No Tax Relief </v>
      </c>
      <c r="O51" s="1845"/>
      <c r="P51" s="1845"/>
      <c r="Q51" s="1845"/>
      <c r="R51" s="439"/>
      <c r="S51" s="1933" t="str">
        <f>IF('Form 10E'!U61=0,"",CONCATENATE("Rs. ",ROUND('Form 10E'!U61,0)))</f>
        <v/>
      </c>
      <c r="T51" s="1934"/>
      <c r="U51" s="440"/>
      <c r="V51" s="396"/>
      <c r="W51" s="111"/>
      <c r="X51" s="112"/>
      <c r="Y51" s="112"/>
      <c r="Z51" s="112"/>
      <c r="AA51" s="112"/>
      <c r="AB51" s="112"/>
      <c r="AC51" s="111"/>
      <c r="AD51" s="111"/>
      <c r="AE51" s="111"/>
      <c r="AF51" s="111"/>
      <c r="AG51" s="111"/>
      <c r="AH51" s="111"/>
      <c r="AI51" s="110"/>
      <c r="AJ51" s="110"/>
      <c r="AK51" s="110"/>
      <c r="AL51" s="110"/>
      <c r="AM51" s="110"/>
      <c r="AN51" s="110"/>
      <c r="AO51" s="110"/>
      <c r="AP51" s="110"/>
      <c r="AQ51" s="110"/>
      <c r="AR51" s="110"/>
      <c r="AS51" s="110"/>
      <c r="AT51" s="110"/>
      <c r="AU51" s="110"/>
      <c r="AV51" s="110"/>
      <c r="AW51" s="110"/>
      <c r="AX51" s="110"/>
      <c r="AY51" s="110"/>
      <c r="AZ51" s="110"/>
      <c r="BA51" s="110"/>
      <c r="BB51" s="110"/>
      <c r="BC51" s="110"/>
      <c r="BD51" s="110"/>
      <c r="BE51" s="110"/>
      <c r="BF51" s="110"/>
      <c r="BG51" s="110"/>
      <c r="BH51" s="110"/>
      <c r="BI51" s="110"/>
      <c r="BJ51" s="110"/>
      <c r="BK51" s="110"/>
      <c r="BL51" s="110"/>
      <c r="BM51" s="110"/>
      <c r="BN51" s="110"/>
      <c r="BO51" s="110"/>
      <c r="BP51" s="110"/>
      <c r="BQ51" s="110"/>
      <c r="BR51" s="110"/>
      <c r="BS51" s="110"/>
      <c r="BT51" s="110"/>
      <c r="BU51" s="110"/>
      <c r="BV51" s="110"/>
      <c r="BW51" s="110"/>
      <c r="BX51" s="110"/>
      <c r="BY51" s="110"/>
      <c r="BZ51" s="110"/>
      <c r="CA51" s="110"/>
      <c r="CB51" s="110"/>
      <c r="CC51" s="110"/>
      <c r="CD51" s="110"/>
      <c r="CE51" s="110"/>
      <c r="CF51" s="110"/>
      <c r="CG51" s="110"/>
      <c r="CH51" s="110"/>
      <c r="CI51" s="110"/>
      <c r="CJ51" s="110"/>
      <c r="CK51" s="110"/>
      <c r="CL51" s="110"/>
      <c r="CM51" s="110"/>
      <c r="CN51" s="110"/>
      <c r="CO51" s="110"/>
    </row>
    <row r="52" spans="1:93" ht="18" customHeight="1">
      <c r="A52" s="110"/>
      <c r="B52" s="142"/>
      <c r="C52" s="441"/>
      <c r="D52" s="442"/>
      <c r="E52" s="442"/>
      <c r="F52" s="442"/>
      <c r="G52" s="442"/>
      <c r="H52" s="442"/>
      <c r="I52" s="443"/>
      <c r="J52" s="443"/>
      <c r="K52" s="444"/>
      <c r="L52" s="445"/>
      <c r="M52" s="142"/>
      <c r="N52" s="1844"/>
      <c r="O52" s="1845"/>
      <c r="P52" s="1845"/>
      <c r="Q52" s="1845"/>
      <c r="R52" s="439"/>
      <c r="S52" s="1933"/>
      <c r="T52" s="1934"/>
      <c r="U52" s="434"/>
      <c r="V52" s="430"/>
      <c r="W52" s="111"/>
      <c r="X52" s="112"/>
      <c r="Y52" s="112"/>
      <c r="Z52" s="112"/>
      <c r="AA52" s="112"/>
      <c r="AB52" s="112"/>
      <c r="AC52" s="111"/>
      <c r="AD52" s="111"/>
      <c r="AE52" s="111"/>
      <c r="AF52" s="111"/>
      <c r="AG52" s="111"/>
      <c r="AH52" s="111"/>
      <c r="AI52" s="110"/>
      <c r="AJ52" s="110"/>
      <c r="AK52" s="110"/>
      <c r="AL52" s="110"/>
      <c r="AM52" s="110"/>
      <c r="AN52" s="110"/>
      <c r="AO52" s="110"/>
      <c r="AP52" s="110"/>
      <c r="AQ52" s="110"/>
      <c r="AR52" s="110"/>
      <c r="AS52" s="110"/>
      <c r="AT52" s="110"/>
      <c r="AU52" s="110"/>
      <c r="AV52" s="110"/>
      <c r="AW52" s="110"/>
      <c r="AX52" s="110"/>
      <c r="AY52" s="110"/>
      <c r="AZ52" s="110"/>
      <c r="BA52" s="110"/>
      <c r="BB52" s="110"/>
      <c r="BC52" s="110"/>
      <c r="BD52" s="110"/>
      <c r="BE52" s="110"/>
      <c r="BF52" s="110"/>
      <c r="BG52" s="110"/>
      <c r="BH52" s="110"/>
      <c r="BI52" s="110"/>
      <c r="BJ52" s="110"/>
      <c r="BK52" s="110"/>
      <c r="BL52" s="110"/>
      <c r="BM52" s="110"/>
      <c r="BN52" s="110"/>
      <c r="BO52" s="110"/>
      <c r="BP52" s="110"/>
      <c r="BQ52" s="110"/>
      <c r="BR52" s="110"/>
      <c r="BS52" s="110"/>
      <c r="BT52" s="110"/>
      <c r="BU52" s="110"/>
      <c r="BV52" s="110"/>
      <c r="BW52" s="110"/>
      <c r="BX52" s="110"/>
      <c r="BY52" s="110"/>
      <c r="BZ52" s="110"/>
      <c r="CA52" s="110"/>
      <c r="CB52" s="110"/>
      <c r="CC52" s="110"/>
      <c r="CD52" s="110"/>
      <c r="CE52" s="110"/>
      <c r="CF52" s="110"/>
      <c r="CG52" s="110"/>
      <c r="CH52" s="110"/>
      <c r="CI52" s="110"/>
      <c r="CJ52" s="110"/>
      <c r="CK52" s="110"/>
      <c r="CL52" s="110"/>
      <c r="CM52" s="110"/>
      <c r="CN52" s="110"/>
      <c r="CO52" s="110"/>
    </row>
    <row r="53" spans="1:93" ht="18" customHeight="1">
      <c r="A53" s="110"/>
      <c r="B53" s="142"/>
      <c r="C53" s="446"/>
      <c r="D53" s="447"/>
      <c r="E53" s="447"/>
      <c r="F53" s="447"/>
      <c r="G53" s="447"/>
      <c r="H53" s="447"/>
      <c r="I53" s="443"/>
      <c r="J53" s="443"/>
      <c r="K53" s="444"/>
      <c r="L53" s="445"/>
      <c r="M53" s="142"/>
      <c r="N53" s="1940" t="s">
        <v>897</v>
      </c>
      <c r="O53" s="1941"/>
      <c r="P53" s="1941"/>
      <c r="Q53" s="1941"/>
      <c r="R53" s="1941"/>
      <c r="S53" s="1941"/>
      <c r="T53" s="1942"/>
      <c r="U53" s="448"/>
      <c r="V53" s="449"/>
      <c r="W53" s="111"/>
      <c r="X53" s="112"/>
      <c r="Y53" s="1929"/>
      <c r="Z53" s="1929"/>
      <c r="AA53" s="1929"/>
      <c r="AB53" s="1929"/>
      <c r="AC53" s="1929"/>
      <c r="AD53" s="1929"/>
      <c r="AE53" s="1929"/>
      <c r="AF53" s="111"/>
      <c r="AG53" s="111"/>
      <c r="AH53" s="111"/>
      <c r="AI53" s="110"/>
      <c r="AJ53" s="110"/>
      <c r="AK53" s="110"/>
      <c r="AL53" s="110"/>
      <c r="AM53" s="110"/>
      <c r="AN53" s="110"/>
      <c r="AO53" s="110"/>
      <c r="AP53" s="110"/>
      <c r="AQ53" s="110"/>
      <c r="AR53" s="110"/>
      <c r="AS53" s="110"/>
      <c r="AT53" s="110"/>
      <c r="AU53" s="110"/>
      <c r="AV53" s="110"/>
      <c r="AW53" s="110"/>
      <c r="AX53" s="110"/>
      <c r="AY53" s="110"/>
      <c r="AZ53" s="110"/>
      <c r="BA53" s="110"/>
      <c r="BB53" s="110"/>
      <c r="BC53" s="110"/>
      <c r="BD53" s="110"/>
      <c r="BE53" s="110"/>
      <c r="BF53" s="110"/>
      <c r="BG53" s="110"/>
      <c r="BH53" s="110"/>
      <c r="BI53" s="110"/>
      <c r="BJ53" s="110"/>
      <c r="BK53" s="110"/>
      <c r="BL53" s="110"/>
      <c r="BM53" s="110"/>
      <c r="BN53" s="110"/>
      <c r="BO53" s="110"/>
      <c r="BP53" s="110"/>
      <c r="BQ53" s="110"/>
      <c r="BR53" s="110"/>
      <c r="BS53" s="110"/>
      <c r="BT53" s="110"/>
      <c r="BU53" s="110"/>
      <c r="BV53" s="110"/>
      <c r="BW53" s="110"/>
      <c r="BX53" s="110"/>
      <c r="BY53" s="110"/>
      <c r="BZ53" s="110"/>
      <c r="CA53" s="110"/>
      <c r="CB53" s="110"/>
      <c r="CC53" s="110"/>
      <c r="CD53" s="110"/>
      <c r="CE53" s="110"/>
      <c r="CF53" s="110"/>
      <c r="CG53" s="110"/>
      <c r="CH53" s="110"/>
      <c r="CI53" s="110"/>
      <c r="CJ53" s="110"/>
      <c r="CK53" s="110"/>
      <c r="CL53" s="110"/>
      <c r="CM53" s="110"/>
      <c r="CN53" s="110"/>
      <c r="CO53" s="110"/>
    </row>
    <row r="54" spans="1:93" ht="15.75">
      <c r="A54" s="110"/>
      <c r="B54" s="142"/>
      <c r="C54" s="450"/>
      <c r="D54" s="451"/>
      <c r="E54" s="451"/>
      <c r="F54" s="451"/>
      <c r="G54" s="451"/>
      <c r="H54" s="451"/>
      <c r="I54" s="452"/>
      <c r="J54" s="452"/>
      <c r="K54" s="453"/>
      <c r="L54" s="454"/>
      <c r="M54" s="142"/>
      <c r="N54" s="455"/>
      <c r="O54" s="456"/>
      <c r="P54" s="456"/>
      <c r="Q54" s="456"/>
      <c r="R54" s="456"/>
      <c r="S54" s="456"/>
      <c r="T54" s="454"/>
      <c r="U54" s="434"/>
      <c r="V54" s="430"/>
      <c r="W54" s="111"/>
      <c r="X54" s="112"/>
      <c r="Y54" s="457"/>
      <c r="Z54" s="458"/>
      <c r="AA54" s="459"/>
      <c r="AB54" s="2022"/>
      <c r="AC54" s="2022"/>
      <c r="AD54" s="460"/>
      <c r="AE54" s="461"/>
      <c r="AF54" s="111"/>
      <c r="AG54" s="111"/>
      <c r="AH54" s="111"/>
      <c r="AI54" s="110"/>
      <c r="AJ54" s="110"/>
      <c r="AK54" s="110"/>
      <c r="AL54" s="110"/>
      <c r="AM54" s="110"/>
      <c r="AN54" s="110"/>
      <c r="AO54" s="110"/>
      <c r="AP54" s="110"/>
      <c r="AQ54" s="110"/>
      <c r="AR54" s="110"/>
      <c r="AS54" s="110"/>
      <c r="AT54" s="110"/>
      <c r="AU54" s="110"/>
      <c r="AV54" s="110"/>
      <c r="AW54" s="110"/>
      <c r="AX54" s="110"/>
      <c r="AY54" s="110"/>
      <c r="AZ54" s="110"/>
      <c r="BA54" s="110"/>
      <c r="BB54" s="110"/>
      <c r="BC54" s="110"/>
      <c r="BD54" s="110"/>
      <c r="BE54" s="110"/>
      <c r="BF54" s="110"/>
      <c r="BG54" s="110"/>
      <c r="BH54" s="110"/>
      <c r="BI54" s="110"/>
      <c r="BJ54" s="110"/>
      <c r="BK54" s="110"/>
      <c r="BL54" s="110"/>
      <c r="BM54" s="110"/>
      <c r="BN54" s="110"/>
      <c r="BO54" s="110"/>
      <c r="BP54" s="110"/>
      <c r="BQ54" s="110"/>
      <c r="BR54" s="110"/>
      <c r="BS54" s="110"/>
      <c r="BT54" s="110"/>
      <c r="BU54" s="110"/>
      <c r="BV54" s="110"/>
      <c r="BW54" s="110"/>
      <c r="BX54" s="110"/>
      <c r="BY54" s="110"/>
      <c r="BZ54" s="110"/>
      <c r="CA54" s="110"/>
      <c r="CB54" s="110"/>
      <c r="CC54" s="110"/>
      <c r="CD54" s="110"/>
      <c r="CE54" s="110"/>
      <c r="CF54" s="110"/>
      <c r="CG54" s="110"/>
      <c r="CH54" s="110"/>
      <c r="CI54" s="110"/>
      <c r="CJ54" s="110"/>
      <c r="CK54" s="110"/>
      <c r="CL54" s="110"/>
      <c r="CM54" s="110"/>
      <c r="CN54" s="110"/>
      <c r="CO54" s="110"/>
    </row>
    <row r="55" spans="1:93" ht="10.5" customHeight="1">
      <c r="A55" s="110"/>
      <c r="B55" s="142"/>
      <c r="C55" s="462"/>
      <c r="D55" s="462"/>
      <c r="E55" s="462"/>
      <c r="F55" s="462"/>
      <c r="G55" s="462"/>
      <c r="H55" s="462"/>
      <c r="I55" s="462"/>
      <c r="J55" s="462"/>
      <c r="K55" s="462"/>
      <c r="L55" s="462"/>
      <c r="M55" s="142"/>
      <c r="N55" s="142"/>
      <c r="O55" s="142"/>
      <c r="P55" s="142"/>
      <c r="Q55" s="142"/>
      <c r="R55" s="142"/>
      <c r="S55" s="142"/>
      <c r="T55" s="142"/>
      <c r="U55" s="145"/>
      <c r="V55" s="111"/>
      <c r="W55" s="111"/>
      <c r="X55" s="112"/>
      <c r="Y55" s="457"/>
      <c r="Z55" s="463"/>
      <c r="AA55" s="464"/>
      <c r="AB55" s="1943"/>
      <c r="AC55" s="1943"/>
      <c r="AD55" s="465"/>
      <c r="AE55" s="466"/>
      <c r="AF55" s="111"/>
      <c r="AG55" s="111"/>
      <c r="AH55" s="111"/>
      <c r="AI55" s="110"/>
      <c r="AJ55" s="110"/>
      <c r="AK55" s="110"/>
      <c r="AL55" s="110"/>
      <c r="AM55" s="110"/>
      <c r="AN55" s="110"/>
      <c r="AO55" s="110"/>
      <c r="AP55" s="110"/>
      <c r="AQ55" s="110"/>
      <c r="AR55" s="110"/>
      <c r="AS55" s="110"/>
      <c r="AT55" s="110"/>
      <c r="AU55" s="110"/>
      <c r="AV55" s="110"/>
      <c r="AW55" s="110"/>
      <c r="AX55" s="110"/>
      <c r="AY55" s="110"/>
      <c r="AZ55" s="110"/>
      <c r="BA55" s="110"/>
      <c r="BB55" s="110"/>
      <c r="BC55" s="110"/>
      <c r="BD55" s="110"/>
      <c r="BE55" s="110"/>
      <c r="BF55" s="110"/>
      <c r="BG55" s="110"/>
      <c r="BH55" s="110"/>
      <c r="BI55" s="110"/>
      <c r="BJ55" s="110"/>
      <c r="BK55" s="110"/>
      <c r="BL55" s="110"/>
      <c r="BM55" s="110"/>
      <c r="BN55" s="110"/>
      <c r="BO55" s="110"/>
      <c r="BP55" s="110"/>
      <c r="BQ55" s="110"/>
      <c r="BR55" s="110"/>
      <c r="BS55" s="110"/>
      <c r="BT55" s="110"/>
      <c r="BU55" s="110"/>
      <c r="BV55" s="110"/>
      <c r="BW55" s="110"/>
      <c r="BX55" s="110"/>
      <c r="BY55" s="110"/>
      <c r="BZ55" s="110"/>
      <c r="CA55" s="110"/>
      <c r="CB55" s="110"/>
      <c r="CC55" s="110"/>
      <c r="CD55" s="110"/>
      <c r="CE55" s="110"/>
      <c r="CF55" s="110"/>
      <c r="CG55" s="110"/>
      <c r="CH55" s="110"/>
      <c r="CI55" s="110"/>
      <c r="CJ55" s="110"/>
      <c r="CK55" s="110"/>
      <c r="CL55" s="110"/>
      <c r="CM55" s="110"/>
      <c r="CN55" s="110"/>
      <c r="CO55" s="110"/>
    </row>
    <row r="56" spans="1:93" ht="20.25" customHeight="1">
      <c r="A56" s="110"/>
      <c r="B56" s="110"/>
      <c r="C56" s="467"/>
      <c r="D56" s="467"/>
      <c r="E56" s="467"/>
      <c r="F56" s="467"/>
      <c r="G56" s="467"/>
      <c r="H56" s="467"/>
      <c r="I56" s="467"/>
      <c r="J56" s="467"/>
      <c r="K56" s="467"/>
      <c r="L56" s="467"/>
      <c r="M56" s="110"/>
      <c r="N56" s="110"/>
      <c r="O56" s="110"/>
      <c r="P56" s="110"/>
      <c r="Q56" s="110"/>
      <c r="R56" s="110"/>
      <c r="S56" s="110"/>
      <c r="T56" s="110"/>
      <c r="U56" s="111"/>
      <c r="V56" s="111"/>
      <c r="W56" s="111"/>
      <c r="X56" s="112"/>
      <c r="Y56" s="468"/>
      <c r="Z56" s="469"/>
      <c r="AA56" s="464"/>
      <c r="AB56" s="1938"/>
      <c r="AC56" s="1938"/>
      <c r="AD56" s="465"/>
      <c r="AE56" s="466"/>
      <c r="AF56" s="111"/>
      <c r="AG56" s="111"/>
      <c r="AH56" s="111"/>
      <c r="AI56" s="110"/>
      <c r="AJ56" s="110"/>
      <c r="AK56" s="110"/>
      <c r="AL56" s="110"/>
      <c r="AM56" s="110"/>
      <c r="AN56" s="110"/>
      <c r="AO56" s="110"/>
      <c r="AP56" s="110"/>
      <c r="AQ56" s="110"/>
      <c r="AR56" s="110"/>
      <c r="AS56" s="110"/>
      <c r="AT56" s="110"/>
      <c r="AU56" s="110"/>
      <c r="AV56" s="110"/>
      <c r="AW56" s="110"/>
      <c r="AX56" s="110"/>
      <c r="AY56" s="110"/>
      <c r="AZ56" s="110"/>
      <c r="BA56" s="110"/>
      <c r="BB56" s="110"/>
      <c r="BC56" s="110"/>
      <c r="BD56" s="110"/>
      <c r="BE56" s="110"/>
      <c r="BF56" s="110"/>
      <c r="BG56" s="110"/>
      <c r="BH56" s="110"/>
      <c r="BI56" s="110"/>
      <c r="BJ56" s="110"/>
      <c r="BK56" s="110"/>
      <c r="BL56" s="110"/>
      <c r="BM56" s="110"/>
      <c r="BN56" s="110"/>
      <c r="BO56" s="110"/>
      <c r="BP56" s="110"/>
      <c r="BQ56" s="110"/>
      <c r="BR56" s="110"/>
      <c r="BS56" s="110"/>
      <c r="BT56" s="110"/>
      <c r="BU56" s="110"/>
      <c r="BV56" s="110"/>
      <c r="BW56" s="110"/>
      <c r="BX56" s="110"/>
      <c r="BY56" s="110"/>
      <c r="BZ56" s="110"/>
      <c r="CA56" s="110"/>
      <c r="CB56" s="110"/>
      <c r="CC56" s="110"/>
      <c r="CD56" s="110"/>
      <c r="CE56" s="110"/>
      <c r="CF56" s="110"/>
      <c r="CG56" s="110"/>
      <c r="CH56" s="110"/>
      <c r="CI56" s="110"/>
      <c r="CJ56" s="110"/>
      <c r="CK56" s="110"/>
      <c r="CL56" s="110"/>
      <c r="CM56" s="110"/>
      <c r="CN56" s="110"/>
      <c r="CO56" s="110"/>
    </row>
    <row r="57" spans="1:93" ht="18" customHeight="1">
      <c r="A57" s="110"/>
      <c r="B57" s="110"/>
      <c r="C57" s="2033" t="s">
        <v>845</v>
      </c>
      <c r="D57" s="2033"/>
      <c r="E57" s="2033"/>
      <c r="F57" s="2033"/>
      <c r="G57" s="2033"/>
      <c r="H57" s="2033"/>
      <c r="I57" s="2033"/>
      <c r="J57" s="2033"/>
      <c r="K57" s="2033"/>
      <c r="L57" s="2033"/>
      <c r="M57" s="2033"/>
      <c r="N57" s="2033"/>
      <c r="O57" s="2033"/>
      <c r="P57" s="2033"/>
      <c r="Q57" s="2033"/>
      <c r="R57" s="2033"/>
      <c r="S57" s="2033"/>
      <c r="T57" s="2033"/>
      <c r="U57" s="470"/>
      <c r="V57" s="111"/>
      <c r="W57" s="111"/>
      <c r="X57" s="112"/>
      <c r="Y57" s="464"/>
      <c r="Z57" s="469"/>
      <c r="AA57" s="464"/>
      <c r="AB57" s="1803"/>
      <c r="AC57" s="1803"/>
      <c r="AD57" s="465"/>
      <c r="AE57" s="466"/>
      <c r="AF57" s="111"/>
      <c r="AG57" s="111"/>
      <c r="AH57" s="111"/>
      <c r="AI57" s="110"/>
      <c r="AJ57" s="110"/>
      <c r="AK57" s="110"/>
      <c r="AL57" s="110"/>
      <c r="AM57" s="110"/>
      <c r="AN57" s="110"/>
      <c r="AO57" s="110"/>
      <c r="AP57" s="110"/>
      <c r="AQ57" s="110"/>
      <c r="AR57" s="110"/>
      <c r="AS57" s="110"/>
      <c r="AT57" s="110"/>
      <c r="AU57" s="110"/>
      <c r="AV57" s="110"/>
      <c r="AW57" s="110"/>
      <c r="AX57" s="110"/>
      <c r="AY57" s="110"/>
      <c r="AZ57" s="110"/>
      <c r="BA57" s="110"/>
      <c r="BB57" s="110"/>
      <c r="BC57" s="110"/>
      <c r="BD57" s="110"/>
      <c r="BE57" s="110"/>
      <c r="BF57" s="110"/>
      <c r="BG57" s="110"/>
      <c r="BH57" s="110"/>
      <c r="BI57" s="110"/>
      <c r="BJ57" s="110"/>
      <c r="BK57" s="110"/>
      <c r="BL57" s="110"/>
      <c r="BM57" s="110"/>
      <c r="BN57" s="110"/>
      <c r="BO57" s="110"/>
      <c r="BP57" s="110"/>
      <c r="BQ57" s="110"/>
      <c r="BR57" s="110"/>
      <c r="BS57" s="110"/>
      <c r="BT57" s="110"/>
      <c r="BU57" s="110"/>
      <c r="BV57" s="110"/>
      <c r="BW57" s="110"/>
      <c r="BX57" s="110"/>
      <c r="BY57" s="110"/>
      <c r="BZ57" s="110"/>
      <c r="CA57" s="110"/>
      <c r="CB57" s="110"/>
      <c r="CC57" s="110"/>
      <c r="CD57" s="110"/>
      <c r="CE57" s="110"/>
      <c r="CF57" s="110"/>
      <c r="CG57" s="110"/>
      <c r="CH57" s="110"/>
      <c r="CI57" s="110"/>
      <c r="CJ57" s="110"/>
      <c r="CK57" s="110"/>
      <c r="CL57" s="110"/>
      <c r="CM57" s="110"/>
      <c r="CN57" s="110"/>
      <c r="CO57" s="110"/>
    </row>
    <row r="58" spans="1:93" ht="18" customHeight="1">
      <c r="A58" s="110"/>
      <c r="B58" s="110"/>
      <c r="C58" s="1809" t="s">
        <v>983</v>
      </c>
      <c r="D58" s="1809"/>
      <c r="E58" s="1809"/>
      <c r="F58" s="1809"/>
      <c r="G58" s="1809"/>
      <c r="H58" s="1809"/>
      <c r="I58" s="1809"/>
      <c r="J58" s="1809"/>
      <c r="K58" s="1809"/>
      <c r="L58" s="1809"/>
      <c r="M58" s="1809"/>
      <c r="N58" s="1809"/>
      <c r="O58" s="1809"/>
      <c r="P58" s="1809"/>
      <c r="Q58" s="1809"/>
      <c r="R58" s="1809"/>
      <c r="S58" s="1809"/>
      <c r="T58" s="1809"/>
      <c r="U58" s="471"/>
      <c r="V58" s="472"/>
      <c r="W58" s="472"/>
      <c r="X58" s="472"/>
      <c r="Y58" s="472"/>
      <c r="Z58" s="472"/>
      <c r="AA58" s="473"/>
      <c r="AB58" s="473"/>
      <c r="AC58" s="474"/>
      <c r="AD58" s="474"/>
      <c r="AE58" s="111"/>
      <c r="AF58" s="111"/>
      <c r="AG58" s="111"/>
      <c r="AH58" s="111"/>
      <c r="AI58" s="110"/>
      <c r="AJ58" s="110"/>
      <c r="AK58" s="110"/>
      <c r="AL58" s="110"/>
      <c r="AM58" s="110"/>
      <c r="AN58" s="110"/>
      <c r="AO58" s="110"/>
      <c r="AP58" s="110"/>
      <c r="AQ58" s="110"/>
      <c r="AR58" s="110"/>
      <c r="AS58" s="110"/>
      <c r="AT58" s="110"/>
      <c r="AU58" s="110"/>
      <c r="AV58" s="110"/>
      <c r="AW58" s="110"/>
      <c r="AX58" s="110"/>
      <c r="AY58" s="110"/>
      <c r="AZ58" s="110"/>
      <c r="BA58" s="110"/>
      <c r="BB58" s="110"/>
      <c r="BC58" s="110"/>
      <c r="BD58" s="110"/>
      <c r="BE58" s="110"/>
      <c r="BF58" s="110"/>
      <c r="BG58" s="110"/>
      <c r="BH58" s="110"/>
      <c r="BI58" s="110"/>
      <c r="BJ58" s="110"/>
      <c r="BK58" s="110"/>
      <c r="BL58" s="110"/>
      <c r="BM58" s="110"/>
      <c r="BN58" s="110"/>
      <c r="BO58" s="110"/>
      <c r="BP58" s="110"/>
      <c r="BQ58" s="110"/>
      <c r="BR58" s="110"/>
      <c r="BS58" s="110"/>
      <c r="BT58" s="110"/>
      <c r="BU58" s="110"/>
      <c r="BV58" s="110"/>
      <c r="BW58" s="110"/>
      <c r="BX58" s="110"/>
      <c r="BY58" s="110"/>
      <c r="BZ58" s="110"/>
      <c r="CA58" s="110"/>
      <c r="CB58" s="110"/>
      <c r="CC58" s="110"/>
      <c r="CD58" s="110"/>
      <c r="CE58" s="110"/>
      <c r="CF58" s="110"/>
      <c r="CG58" s="110"/>
      <c r="CH58" s="110"/>
      <c r="CI58" s="110"/>
      <c r="CJ58" s="110"/>
      <c r="CK58" s="110"/>
      <c r="CL58" s="110"/>
      <c r="CM58" s="110"/>
      <c r="CN58" s="110"/>
      <c r="CO58" s="110"/>
    </row>
    <row r="59" spans="1:93" ht="18" customHeight="1">
      <c r="A59" s="110"/>
      <c r="B59" s="110"/>
      <c r="C59" s="1818" t="s">
        <v>945</v>
      </c>
      <c r="D59" s="1818"/>
      <c r="E59" s="1818"/>
      <c r="F59" s="1818"/>
      <c r="G59" s="1818"/>
      <c r="H59" s="1818"/>
      <c r="I59" s="1818"/>
      <c r="J59" s="1818"/>
      <c r="K59" s="1818"/>
      <c r="L59" s="1818"/>
      <c r="M59" s="1818"/>
      <c r="N59" s="1818"/>
      <c r="O59" s="1818"/>
      <c r="P59" s="1818"/>
      <c r="Q59" s="1818"/>
      <c r="R59" s="1818"/>
      <c r="S59" s="1818"/>
      <c r="T59" s="1818"/>
      <c r="U59" s="475"/>
      <c r="V59" s="476"/>
      <c r="W59" s="476"/>
      <c r="X59" s="476"/>
      <c r="Y59" s="476"/>
      <c r="Z59" s="476"/>
      <c r="AA59" s="477"/>
      <c r="AB59" s="477"/>
      <c r="AC59" s="1916"/>
      <c r="AD59" s="1916"/>
      <c r="AE59" s="111"/>
      <c r="AF59" s="111"/>
      <c r="AG59" s="111"/>
      <c r="AH59" s="111"/>
      <c r="AI59" s="110"/>
      <c r="AJ59" s="110"/>
      <c r="AK59" s="110"/>
      <c r="AL59" s="110"/>
      <c r="AM59" s="110"/>
      <c r="AN59" s="110"/>
      <c r="AO59" s="110"/>
      <c r="AP59" s="110"/>
      <c r="AQ59" s="110"/>
      <c r="AR59" s="110"/>
      <c r="AS59" s="110"/>
      <c r="AT59" s="110"/>
      <c r="AU59" s="110"/>
      <c r="AV59" s="110"/>
      <c r="AW59" s="110"/>
      <c r="AX59" s="110"/>
      <c r="AY59" s="110"/>
      <c r="AZ59" s="110"/>
      <c r="BA59" s="110"/>
      <c r="BB59" s="110"/>
      <c r="BC59" s="110"/>
      <c r="BD59" s="110"/>
      <c r="BE59" s="110"/>
      <c r="BF59" s="110"/>
      <c r="BG59" s="110"/>
      <c r="BH59" s="110"/>
      <c r="BI59" s="110"/>
      <c r="BJ59" s="110"/>
      <c r="BK59" s="110"/>
      <c r="BL59" s="110"/>
      <c r="BM59" s="110"/>
      <c r="BN59" s="110"/>
      <c r="BO59" s="110"/>
      <c r="BP59" s="110"/>
      <c r="BQ59" s="110"/>
      <c r="BR59" s="110"/>
      <c r="BS59" s="110"/>
      <c r="BT59" s="110"/>
      <c r="BU59" s="110"/>
      <c r="BV59" s="110"/>
      <c r="BW59" s="110"/>
      <c r="BX59" s="110"/>
      <c r="BY59" s="110"/>
      <c r="BZ59" s="110"/>
      <c r="CA59" s="110"/>
      <c r="CB59" s="110"/>
      <c r="CC59" s="110"/>
      <c r="CD59" s="110"/>
      <c r="CE59" s="110"/>
      <c r="CF59" s="110"/>
      <c r="CG59" s="110"/>
      <c r="CH59" s="110"/>
      <c r="CI59" s="110"/>
      <c r="CJ59" s="110"/>
      <c r="CK59" s="110"/>
      <c r="CL59" s="110"/>
      <c r="CM59" s="110"/>
      <c r="CN59" s="110"/>
      <c r="CO59" s="110"/>
    </row>
    <row r="60" spans="1:93" ht="15.75">
      <c r="A60" s="110"/>
      <c r="B60" s="110"/>
      <c r="C60" s="110"/>
      <c r="D60" s="110"/>
      <c r="E60" s="110"/>
      <c r="F60" s="110"/>
      <c r="G60" s="110"/>
      <c r="H60" s="110"/>
      <c r="I60" s="110"/>
      <c r="J60" s="110"/>
      <c r="K60" s="110"/>
      <c r="L60" s="110"/>
      <c r="M60" s="110"/>
      <c r="N60" s="110"/>
      <c r="O60" s="110"/>
      <c r="P60" s="110"/>
      <c r="Q60" s="110"/>
      <c r="R60" s="110"/>
      <c r="S60" s="478"/>
      <c r="T60" s="1838"/>
      <c r="U60" s="1838"/>
      <c r="V60" s="1838"/>
      <c r="W60" s="1838"/>
      <c r="X60" s="1838"/>
      <c r="Y60" s="1838"/>
      <c r="Z60" s="1838"/>
      <c r="AA60" s="479"/>
      <c r="AB60" s="479"/>
      <c r="AC60" s="1916"/>
      <c r="AD60" s="1916"/>
      <c r="AE60" s="111"/>
      <c r="AF60" s="111"/>
      <c r="AG60" s="111"/>
      <c r="AH60" s="111"/>
      <c r="AI60" s="110"/>
      <c r="AJ60" s="110"/>
      <c r="AK60" s="110"/>
      <c r="AL60" s="110"/>
      <c r="AM60" s="110"/>
      <c r="AN60" s="110"/>
      <c r="AO60" s="110"/>
      <c r="AP60" s="110"/>
      <c r="AQ60" s="110"/>
      <c r="AR60" s="110"/>
      <c r="AS60" s="110"/>
      <c r="AT60" s="110"/>
      <c r="AU60" s="110"/>
      <c r="AV60" s="110"/>
      <c r="AW60" s="110"/>
      <c r="AX60" s="110"/>
      <c r="AY60" s="110"/>
      <c r="AZ60" s="110"/>
      <c r="BA60" s="110"/>
      <c r="BB60" s="110"/>
      <c r="BC60" s="110"/>
      <c r="BD60" s="110"/>
      <c r="BE60" s="110"/>
      <c r="BF60" s="110"/>
      <c r="BG60" s="110"/>
      <c r="BH60" s="110"/>
      <c r="BI60" s="110"/>
      <c r="BJ60" s="110"/>
      <c r="BK60" s="110"/>
      <c r="BL60" s="110"/>
      <c r="BM60" s="110"/>
      <c r="BN60" s="110"/>
      <c r="BO60" s="110"/>
      <c r="BP60" s="110"/>
      <c r="BQ60" s="110"/>
      <c r="BR60" s="110"/>
      <c r="BS60" s="110"/>
      <c r="BT60" s="110"/>
      <c r="BU60" s="110"/>
      <c r="BV60" s="110"/>
      <c r="BW60" s="110"/>
      <c r="BX60" s="110"/>
      <c r="BY60" s="110"/>
      <c r="BZ60" s="110"/>
      <c r="CA60" s="110"/>
      <c r="CB60" s="110"/>
      <c r="CC60" s="110"/>
      <c r="CD60" s="110"/>
      <c r="CE60" s="110"/>
      <c r="CF60" s="110"/>
      <c r="CG60" s="110"/>
      <c r="CH60" s="110"/>
      <c r="CI60" s="110"/>
      <c r="CJ60" s="110"/>
      <c r="CK60" s="110"/>
      <c r="CL60" s="110"/>
      <c r="CM60" s="110"/>
      <c r="CN60" s="110"/>
      <c r="CO60" s="110"/>
    </row>
    <row r="61" spans="1:93">
      <c r="A61" s="110"/>
      <c r="B61" s="110"/>
      <c r="C61" s="110"/>
      <c r="D61" s="110"/>
      <c r="E61" s="110"/>
      <c r="F61" s="110"/>
      <c r="G61" s="110"/>
      <c r="H61" s="110"/>
      <c r="I61" s="110"/>
      <c r="J61" s="110"/>
      <c r="K61" s="110"/>
      <c r="L61" s="110"/>
      <c r="M61" s="110"/>
      <c r="N61" s="110"/>
      <c r="O61" s="110"/>
      <c r="P61" s="110"/>
      <c r="Q61" s="110"/>
      <c r="R61" s="110"/>
      <c r="S61" s="110"/>
      <c r="T61" s="110"/>
      <c r="U61" s="111"/>
      <c r="V61" s="111"/>
      <c r="W61" s="111"/>
      <c r="X61" s="112"/>
      <c r="Y61" s="112"/>
      <c r="Z61" s="112"/>
      <c r="AA61" s="112"/>
      <c r="AB61" s="112"/>
      <c r="AC61" s="111"/>
      <c r="AD61" s="111"/>
      <c r="AE61" s="111"/>
      <c r="AF61" s="111"/>
      <c r="AG61" s="111"/>
      <c r="AH61" s="111"/>
      <c r="AI61" s="110"/>
      <c r="AJ61" s="110"/>
      <c r="AK61" s="110"/>
      <c r="AL61" s="110"/>
      <c r="AM61" s="110"/>
      <c r="AN61" s="110"/>
      <c r="AO61" s="110"/>
      <c r="AP61" s="110"/>
      <c r="AQ61" s="110"/>
      <c r="AR61" s="110"/>
      <c r="AS61" s="110"/>
      <c r="AT61" s="110"/>
      <c r="AU61" s="110"/>
      <c r="AV61" s="110"/>
      <c r="AW61" s="110"/>
      <c r="AX61" s="110"/>
      <c r="AY61" s="110"/>
      <c r="AZ61" s="110"/>
      <c r="BA61" s="110"/>
      <c r="BB61" s="110"/>
      <c r="BC61" s="110"/>
      <c r="BD61" s="110"/>
      <c r="BE61" s="110"/>
      <c r="BF61" s="110"/>
      <c r="BG61" s="110"/>
      <c r="BH61" s="110"/>
      <c r="BI61" s="110"/>
      <c r="BJ61" s="110"/>
      <c r="BK61" s="110"/>
      <c r="BL61" s="110"/>
      <c r="BM61" s="110"/>
      <c r="BN61" s="110"/>
      <c r="BO61" s="110"/>
      <c r="BP61" s="110"/>
      <c r="BQ61" s="110"/>
      <c r="BR61" s="110"/>
      <c r="BS61" s="110"/>
      <c r="BT61" s="110"/>
      <c r="BU61" s="110"/>
      <c r="BV61" s="110"/>
      <c r="BW61" s="110"/>
      <c r="BX61" s="110"/>
      <c r="BY61" s="110"/>
      <c r="BZ61" s="110"/>
      <c r="CA61" s="110"/>
      <c r="CB61" s="110"/>
      <c r="CC61" s="110"/>
      <c r="CD61" s="110"/>
      <c r="CE61" s="110"/>
      <c r="CF61" s="110"/>
      <c r="CG61" s="110"/>
      <c r="CH61" s="110"/>
      <c r="CI61" s="110"/>
      <c r="CJ61" s="110"/>
      <c r="CK61" s="110"/>
      <c r="CL61" s="110"/>
      <c r="CM61" s="110"/>
      <c r="CN61" s="110"/>
      <c r="CO61" s="110"/>
    </row>
    <row r="62" spans="1:93">
      <c r="A62" s="110"/>
      <c r="B62" s="110"/>
      <c r="C62" s="110"/>
      <c r="D62" s="110"/>
      <c r="E62" s="110"/>
      <c r="F62" s="110"/>
      <c r="G62" s="110"/>
      <c r="H62" s="110"/>
      <c r="I62" s="110"/>
      <c r="J62" s="110"/>
      <c r="K62" s="110"/>
      <c r="L62" s="110"/>
      <c r="M62" s="110"/>
      <c r="N62" s="110"/>
      <c r="O62" s="110"/>
      <c r="P62" s="110"/>
      <c r="Q62" s="110"/>
      <c r="R62" s="110"/>
      <c r="S62" s="110"/>
      <c r="T62" s="110"/>
      <c r="U62" s="111"/>
      <c r="V62" s="111"/>
      <c r="W62" s="111"/>
      <c r="X62" s="112"/>
      <c r="Y62" s="112"/>
      <c r="Z62" s="112"/>
      <c r="AA62" s="112"/>
      <c r="AB62" s="112"/>
      <c r="AC62" s="111"/>
      <c r="AD62" s="111"/>
      <c r="AE62" s="111"/>
      <c r="AF62" s="111"/>
      <c r="AG62" s="111"/>
      <c r="AH62" s="111"/>
      <c r="AI62" s="110"/>
      <c r="AJ62" s="110"/>
      <c r="AK62" s="110"/>
      <c r="AL62" s="110"/>
      <c r="AM62" s="110"/>
      <c r="AN62" s="110"/>
      <c r="AO62" s="110"/>
      <c r="AP62" s="110"/>
      <c r="AQ62" s="110"/>
      <c r="AR62" s="110"/>
      <c r="AS62" s="110"/>
      <c r="AT62" s="110"/>
      <c r="AU62" s="110"/>
      <c r="AV62" s="110"/>
      <c r="AW62" s="110"/>
      <c r="AX62" s="110"/>
      <c r="AY62" s="110"/>
      <c r="AZ62" s="110"/>
      <c r="BA62" s="110"/>
      <c r="BB62" s="110"/>
      <c r="BC62" s="110"/>
      <c r="BD62" s="110"/>
      <c r="BE62" s="110"/>
      <c r="BF62" s="110"/>
      <c r="BG62" s="110"/>
      <c r="BH62" s="110"/>
      <c r="BI62" s="110"/>
      <c r="BJ62" s="110"/>
      <c r="BK62" s="110"/>
      <c r="BL62" s="110"/>
      <c r="BM62" s="110"/>
      <c r="BN62" s="110"/>
      <c r="BO62" s="110"/>
      <c r="BP62" s="110"/>
      <c r="BQ62" s="110"/>
      <c r="BR62" s="110"/>
      <c r="BS62" s="110"/>
      <c r="BT62" s="110"/>
      <c r="BU62" s="110"/>
      <c r="BV62" s="110"/>
      <c r="BW62" s="110"/>
      <c r="BX62" s="110"/>
      <c r="BY62" s="110"/>
      <c r="BZ62" s="110"/>
      <c r="CA62" s="110"/>
      <c r="CB62" s="110"/>
      <c r="CC62" s="110"/>
      <c r="CD62" s="110"/>
      <c r="CE62" s="110"/>
      <c r="CF62" s="110"/>
      <c r="CG62" s="110"/>
      <c r="CH62" s="110"/>
      <c r="CI62" s="110"/>
      <c r="CJ62" s="110"/>
      <c r="CK62" s="110"/>
      <c r="CL62" s="110"/>
      <c r="CM62" s="110"/>
      <c r="CN62" s="110"/>
      <c r="CO62" s="110"/>
    </row>
    <row r="63" spans="1:93">
      <c r="A63" s="110"/>
      <c r="B63" s="110"/>
      <c r="C63" s="110"/>
      <c r="D63" s="110"/>
      <c r="E63" s="110"/>
      <c r="F63" s="110"/>
      <c r="G63" s="110"/>
      <c r="H63" s="110"/>
      <c r="I63" s="110"/>
      <c r="J63" s="110"/>
      <c r="K63" s="110"/>
      <c r="L63" s="110"/>
      <c r="M63" s="110"/>
      <c r="N63" s="110"/>
      <c r="O63" s="110"/>
      <c r="P63" s="110"/>
      <c r="Q63" s="110"/>
      <c r="R63" s="110"/>
      <c r="S63" s="110"/>
      <c r="T63" s="110"/>
      <c r="U63" s="111"/>
      <c r="V63" s="111"/>
      <c r="W63" s="111"/>
      <c r="X63" s="112"/>
      <c r="Y63" s="112"/>
      <c r="Z63" s="112"/>
      <c r="AA63" s="112"/>
      <c r="AB63" s="112"/>
      <c r="AC63" s="111"/>
      <c r="AD63" s="111"/>
      <c r="AE63" s="111"/>
      <c r="AF63" s="111"/>
      <c r="AG63" s="111"/>
      <c r="AH63" s="111"/>
      <c r="AI63" s="110"/>
      <c r="AJ63" s="110"/>
      <c r="AK63" s="110"/>
      <c r="AL63" s="110"/>
      <c r="AM63" s="110"/>
      <c r="AN63" s="110"/>
      <c r="AO63" s="110"/>
      <c r="AP63" s="110"/>
      <c r="AQ63" s="110"/>
      <c r="AR63" s="110"/>
      <c r="AS63" s="110"/>
      <c r="AT63" s="110"/>
      <c r="AU63" s="110"/>
      <c r="AV63" s="110"/>
      <c r="AW63" s="110"/>
      <c r="AX63" s="110"/>
      <c r="AY63" s="110"/>
      <c r="AZ63" s="110"/>
      <c r="BA63" s="110"/>
      <c r="BB63" s="110"/>
      <c r="BC63" s="110"/>
      <c r="BD63" s="110"/>
      <c r="BE63" s="110"/>
      <c r="BF63" s="110"/>
      <c r="BG63" s="110"/>
      <c r="BH63" s="110"/>
      <c r="BI63" s="110"/>
      <c r="BJ63" s="110"/>
      <c r="BK63" s="110"/>
      <c r="BL63" s="110"/>
      <c r="BM63" s="110"/>
      <c r="BN63" s="110"/>
      <c r="BO63" s="110"/>
      <c r="BP63" s="110"/>
      <c r="BQ63" s="110"/>
      <c r="BR63" s="110"/>
      <c r="BS63" s="110"/>
      <c r="BT63" s="110"/>
      <c r="BU63" s="110"/>
      <c r="BV63" s="110"/>
      <c r="BW63" s="110"/>
      <c r="BX63" s="110"/>
      <c r="BY63" s="110"/>
      <c r="BZ63" s="110"/>
      <c r="CA63" s="110"/>
      <c r="CB63" s="110"/>
      <c r="CC63" s="110"/>
      <c r="CD63" s="110"/>
      <c r="CE63" s="110"/>
      <c r="CF63" s="110"/>
      <c r="CG63" s="110"/>
      <c r="CH63" s="110"/>
      <c r="CI63" s="110"/>
      <c r="CJ63" s="110"/>
      <c r="CK63" s="110"/>
      <c r="CL63" s="110"/>
      <c r="CM63" s="110"/>
      <c r="CN63" s="110"/>
      <c r="CO63" s="110"/>
    </row>
    <row r="64" spans="1:93">
      <c r="A64" s="110"/>
      <c r="B64" s="110"/>
      <c r="C64" s="110"/>
      <c r="D64" s="110"/>
      <c r="E64" s="110"/>
      <c r="F64" s="110"/>
      <c r="G64" s="110"/>
      <c r="H64" s="110"/>
      <c r="I64" s="110"/>
      <c r="J64" s="110"/>
      <c r="K64" s="110"/>
      <c r="L64" s="110"/>
      <c r="M64" s="110"/>
      <c r="N64" s="110"/>
      <c r="O64" s="110"/>
      <c r="P64" s="110"/>
      <c r="Q64" s="110"/>
      <c r="R64" s="110"/>
      <c r="S64" s="110"/>
      <c r="T64" s="110"/>
      <c r="U64" s="111"/>
      <c r="V64" s="111"/>
      <c r="W64" s="111"/>
      <c r="X64" s="112"/>
      <c r="Y64" s="112"/>
      <c r="Z64" s="112"/>
      <c r="AA64" s="112"/>
      <c r="AB64" s="112"/>
      <c r="AC64" s="111"/>
      <c r="AD64" s="111"/>
      <c r="AE64" s="111"/>
      <c r="AF64" s="111"/>
      <c r="AG64" s="111"/>
      <c r="AH64" s="111"/>
      <c r="AI64" s="110"/>
      <c r="AJ64" s="110"/>
      <c r="AK64" s="110"/>
      <c r="AL64" s="110"/>
      <c r="AM64" s="110"/>
      <c r="AN64" s="110"/>
      <c r="AO64" s="110"/>
      <c r="AP64" s="110"/>
      <c r="AQ64" s="110"/>
      <c r="AR64" s="110"/>
      <c r="AS64" s="110"/>
      <c r="AT64" s="110"/>
      <c r="AU64" s="110"/>
      <c r="AV64" s="110"/>
      <c r="AW64" s="110"/>
      <c r="AX64" s="110"/>
      <c r="AY64" s="110"/>
      <c r="AZ64" s="110"/>
      <c r="BA64" s="110"/>
      <c r="BB64" s="110"/>
      <c r="BC64" s="110"/>
      <c r="BD64" s="110"/>
      <c r="BE64" s="110"/>
      <c r="BF64" s="110"/>
      <c r="BG64" s="110"/>
      <c r="BH64" s="110"/>
      <c r="BI64" s="110"/>
      <c r="BJ64" s="110"/>
      <c r="BK64" s="110"/>
      <c r="BL64" s="110"/>
      <c r="BM64" s="110"/>
      <c r="BN64" s="110"/>
      <c r="BO64" s="110"/>
      <c r="BP64" s="110"/>
      <c r="BQ64" s="110"/>
      <c r="BR64" s="110"/>
      <c r="BS64" s="110"/>
      <c r="BT64" s="110"/>
      <c r="BU64" s="110"/>
      <c r="BV64" s="110"/>
      <c r="BW64" s="110"/>
      <c r="BX64" s="110"/>
      <c r="BY64" s="110"/>
      <c r="BZ64" s="110"/>
      <c r="CA64" s="110"/>
      <c r="CB64" s="110"/>
      <c r="CC64" s="110"/>
      <c r="CD64" s="110"/>
      <c r="CE64" s="110"/>
      <c r="CF64" s="110"/>
      <c r="CG64" s="110"/>
      <c r="CH64" s="110"/>
      <c r="CI64" s="110"/>
      <c r="CJ64" s="110"/>
      <c r="CK64" s="110"/>
      <c r="CL64" s="110"/>
      <c r="CM64" s="110"/>
      <c r="CN64" s="110"/>
      <c r="CO64" s="110"/>
    </row>
    <row r="65" spans="1:93">
      <c r="A65" s="110"/>
      <c r="B65" s="110"/>
      <c r="C65" s="110"/>
      <c r="D65" s="110"/>
      <c r="E65" s="110"/>
      <c r="F65" s="110"/>
      <c r="G65" s="110"/>
      <c r="H65" s="110"/>
      <c r="I65" s="110"/>
      <c r="J65" s="110"/>
      <c r="K65" s="110"/>
      <c r="L65" s="110"/>
      <c r="M65" s="110"/>
      <c r="N65" s="110"/>
      <c r="O65" s="110"/>
      <c r="P65" s="110"/>
      <c r="Q65" s="110"/>
      <c r="R65" s="110"/>
      <c r="S65" s="110"/>
      <c r="T65" s="110"/>
      <c r="U65" s="111"/>
      <c r="V65" s="111"/>
      <c r="W65" s="111"/>
      <c r="X65" s="112"/>
      <c r="Y65" s="112"/>
      <c r="Z65" s="112"/>
      <c r="AA65" s="112"/>
      <c r="AB65" s="112"/>
      <c r="AC65" s="111"/>
      <c r="AD65" s="111"/>
      <c r="AE65" s="111"/>
      <c r="AF65" s="111"/>
      <c r="AG65" s="111"/>
      <c r="AH65" s="111"/>
      <c r="AI65" s="110"/>
      <c r="AJ65" s="110"/>
      <c r="AK65" s="110"/>
      <c r="AL65" s="110"/>
      <c r="AM65" s="110"/>
      <c r="AN65" s="110"/>
      <c r="AO65" s="110"/>
      <c r="AP65" s="110"/>
      <c r="AQ65" s="110"/>
      <c r="AR65" s="110"/>
      <c r="AS65" s="110"/>
      <c r="AT65" s="110"/>
      <c r="AU65" s="110"/>
      <c r="AV65" s="110"/>
      <c r="AW65" s="110"/>
      <c r="AX65" s="110"/>
      <c r="AY65" s="110"/>
      <c r="AZ65" s="110"/>
      <c r="BA65" s="110"/>
      <c r="BB65" s="110"/>
      <c r="BC65" s="110"/>
      <c r="BD65" s="110"/>
      <c r="BE65" s="110"/>
      <c r="BF65" s="110"/>
      <c r="BG65" s="110"/>
      <c r="BH65" s="110"/>
      <c r="BI65" s="110"/>
      <c r="BJ65" s="110"/>
      <c r="BK65" s="110"/>
      <c r="BL65" s="110"/>
      <c r="BM65" s="110"/>
      <c r="BN65" s="110"/>
      <c r="BO65" s="110"/>
      <c r="BP65" s="110"/>
      <c r="BQ65" s="110"/>
      <c r="BR65" s="110"/>
      <c r="BS65" s="110"/>
      <c r="BT65" s="110"/>
      <c r="BU65" s="110"/>
      <c r="BV65" s="110"/>
      <c r="BW65" s="110"/>
      <c r="BX65" s="110"/>
      <c r="BY65" s="110"/>
      <c r="BZ65" s="110"/>
      <c r="CA65" s="110"/>
      <c r="CB65" s="110"/>
      <c r="CC65" s="110"/>
      <c r="CD65" s="110"/>
      <c r="CE65" s="110"/>
      <c r="CF65" s="110"/>
      <c r="CG65" s="110"/>
      <c r="CH65" s="110"/>
      <c r="CI65" s="110"/>
      <c r="CJ65" s="110"/>
      <c r="CK65" s="110"/>
      <c r="CL65" s="110"/>
      <c r="CM65" s="110"/>
      <c r="CN65" s="110"/>
      <c r="CO65" s="110"/>
    </row>
    <row r="66" spans="1:93">
      <c r="A66" s="110"/>
      <c r="B66" s="110"/>
      <c r="C66" s="110"/>
      <c r="D66" s="110"/>
      <c r="E66" s="110"/>
      <c r="F66" s="110"/>
      <c r="G66" s="110"/>
      <c r="H66" s="110"/>
      <c r="I66" s="110"/>
      <c r="J66" s="110"/>
      <c r="K66" s="110"/>
      <c r="L66" s="110"/>
      <c r="M66" s="110"/>
      <c r="N66" s="110"/>
      <c r="O66" s="110"/>
      <c r="P66" s="110"/>
      <c r="Q66" s="110"/>
      <c r="R66" s="110"/>
      <c r="S66" s="110"/>
      <c r="T66" s="110"/>
      <c r="U66" s="111"/>
      <c r="V66" s="111"/>
      <c r="W66" s="111"/>
      <c r="X66" s="112"/>
      <c r="Y66" s="112"/>
      <c r="Z66" s="112"/>
      <c r="AA66" s="112"/>
      <c r="AB66" s="112"/>
      <c r="AC66" s="111"/>
      <c r="AD66" s="111"/>
      <c r="AE66" s="111"/>
      <c r="AF66" s="111"/>
      <c r="AG66" s="111"/>
      <c r="AH66" s="111"/>
      <c r="AI66" s="110"/>
      <c r="AJ66" s="110"/>
      <c r="AK66" s="110"/>
      <c r="AL66" s="110"/>
      <c r="AM66" s="110"/>
      <c r="AN66" s="110"/>
      <c r="AO66" s="110"/>
      <c r="AP66" s="110"/>
      <c r="AQ66" s="110"/>
      <c r="AR66" s="110"/>
      <c r="AS66" s="110"/>
      <c r="AT66" s="110"/>
      <c r="AU66" s="110"/>
      <c r="AV66" s="110"/>
      <c r="AW66" s="110"/>
      <c r="AX66" s="110"/>
      <c r="AY66" s="110"/>
      <c r="AZ66" s="110"/>
      <c r="BA66" s="110"/>
      <c r="BB66" s="110"/>
      <c r="BC66" s="110"/>
      <c r="BD66" s="110"/>
      <c r="BE66" s="110"/>
      <c r="BF66" s="110"/>
      <c r="BG66" s="110"/>
      <c r="BH66" s="110"/>
      <c r="BI66" s="110"/>
      <c r="BJ66" s="110"/>
      <c r="BK66" s="110"/>
      <c r="BL66" s="110"/>
      <c r="BM66" s="110"/>
      <c r="BN66" s="110"/>
      <c r="BO66" s="110"/>
      <c r="BP66" s="110"/>
      <c r="BQ66" s="110"/>
      <c r="BR66" s="110"/>
      <c r="BS66" s="110"/>
      <c r="BT66" s="110"/>
      <c r="BU66" s="110"/>
      <c r="BV66" s="110"/>
      <c r="BW66" s="110"/>
      <c r="BX66" s="110"/>
      <c r="BY66" s="110"/>
      <c r="BZ66" s="110"/>
      <c r="CA66" s="110"/>
      <c r="CB66" s="110"/>
      <c r="CC66" s="110"/>
      <c r="CD66" s="110"/>
      <c r="CE66" s="110"/>
      <c r="CF66" s="110"/>
      <c r="CG66" s="110"/>
      <c r="CH66" s="110"/>
      <c r="CI66" s="110"/>
      <c r="CJ66" s="110"/>
      <c r="CK66" s="110"/>
      <c r="CL66" s="110"/>
      <c r="CM66" s="110"/>
      <c r="CN66" s="110"/>
      <c r="CO66" s="110"/>
    </row>
    <row r="67" spans="1:93">
      <c r="A67" s="110"/>
      <c r="B67" s="110"/>
      <c r="C67" s="110"/>
      <c r="D67" s="110"/>
      <c r="E67" s="110"/>
      <c r="F67" s="110"/>
      <c r="G67" s="110"/>
      <c r="H67" s="110"/>
      <c r="I67" s="110"/>
      <c r="J67" s="110"/>
      <c r="K67" s="110"/>
      <c r="L67" s="110"/>
      <c r="M67" s="110"/>
      <c r="N67" s="110"/>
      <c r="O67" s="110"/>
      <c r="P67" s="110"/>
      <c r="Q67" s="110"/>
      <c r="R67" s="110"/>
      <c r="S67" s="110"/>
      <c r="T67" s="110"/>
      <c r="U67" s="111"/>
      <c r="V67" s="111"/>
      <c r="W67" s="111"/>
      <c r="X67" s="112"/>
      <c r="Y67" s="112"/>
      <c r="Z67" s="112"/>
      <c r="AA67" s="112"/>
      <c r="AB67" s="112"/>
      <c r="AC67" s="111"/>
      <c r="AD67" s="111"/>
      <c r="AE67" s="111"/>
      <c r="AF67" s="111"/>
      <c r="AG67" s="111"/>
      <c r="AH67" s="111"/>
      <c r="AI67" s="110"/>
      <c r="AJ67" s="110"/>
      <c r="AK67" s="110"/>
      <c r="AL67" s="110"/>
      <c r="AM67" s="110"/>
      <c r="AN67" s="110"/>
      <c r="AO67" s="110"/>
      <c r="AP67" s="110"/>
      <c r="AQ67" s="110"/>
      <c r="AR67" s="110"/>
      <c r="AS67" s="110"/>
      <c r="AT67" s="110"/>
      <c r="AU67" s="110"/>
      <c r="AV67" s="110"/>
      <c r="AW67" s="110"/>
      <c r="AX67" s="110"/>
      <c r="AY67" s="110"/>
      <c r="AZ67" s="110"/>
      <c r="BA67" s="110"/>
      <c r="BB67" s="110"/>
      <c r="BC67" s="110"/>
      <c r="BD67" s="110"/>
      <c r="BE67" s="110"/>
      <c r="BF67" s="110"/>
      <c r="BG67" s="110"/>
      <c r="BH67" s="110"/>
      <c r="BI67" s="110"/>
      <c r="BJ67" s="110"/>
      <c r="BK67" s="110"/>
      <c r="BL67" s="110"/>
      <c r="BM67" s="110"/>
      <c r="BN67" s="110"/>
      <c r="BO67" s="110"/>
      <c r="BP67" s="110"/>
      <c r="BQ67" s="110"/>
      <c r="BR67" s="110"/>
      <c r="BS67" s="110"/>
      <c r="BT67" s="110"/>
      <c r="BU67" s="110"/>
      <c r="BV67" s="110"/>
      <c r="BW67" s="110"/>
      <c r="BX67" s="110"/>
      <c r="BY67" s="110"/>
      <c r="BZ67" s="110"/>
      <c r="CA67" s="110"/>
      <c r="CB67" s="110"/>
      <c r="CC67" s="110"/>
      <c r="CD67" s="110"/>
      <c r="CE67" s="110"/>
      <c r="CF67" s="110"/>
      <c r="CG67" s="110"/>
      <c r="CH67" s="110"/>
      <c r="CI67" s="110"/>
      <c r="CJ67" s="110"/>
      <c r="CK67" s="110"/>
      <c r="CL67" s="110"/>
      <c r="CM67" s="110"/>
      <c r="CN67" s="110"/>
      <c r="CO67" s="110"/>
    </row>
    <row r="68" spans="1:93">
      <c r="A68" s="110"/>
      <c r="B68" s="110"/>
      <c r="C68" s="110"/>
      <c r="D68" s="110"/>
      <c r="E68" s="110"/>
      <c r="F68" s="110"/>
      <c r="G68" s="110"/>
      <c r="H68" s="110"/>
      <c r="I68" s="110"/>
      <c r="J68" s="110"/>
      <c r="K68" s="110"/>
      <c r="L68" s="110"/>
      <c r="M68" s="110"/>
      <c r="N68" s="110"/>
      <c r="O68" s="110"/>
      <c r="P68" s="110"/>
      <c r="Q68" s="110"/>
      <c r="R68" s="110"/>
      <c r="S68" s="110"/>
      <c r="T68" s="110"/>
      <c r="U68" s="111"/>
      <c r="V68" s="111"/>
      <c r="W68" s="111"/>
      <c r="X68" s="112"/>
      <c r="Y68" s="112"/>
      <c r="Z68" s="112"/>
      <c r="AA68" s="112"/>
      <c r="AB68" s="112"/>
      <c r="AC68" s="111"/>
      <c r="AD68" s="111"/>
      <c r="AE68" s="111"/>
      <c r="AF68" s="111"/>
      <c r="AG68" s="111"/>
      <c r="AH68" s="111"/>
      <c r="AI68" s="110"/>
      <c r="AJ68" s="110"/>
      <c r="AK68" s="110"/>
      <c r="AL68" s="110"/>
      <c r="AM68" s="110"/>
      <c r="AN68" s="110"/>
      <c r="AO68" s="110"/>
      <c r="AP68" s="110"/>
      <c r="AQ68" s="110"/>
      <c r="AR68" s="110"/>
      <c r="AS68" s="110"/>
      <c r="AT68" s="110"/>
      <c r="AU68" s="110"/>
      <c r="AV68" s="110"/>
      <c r="AW68" s="110"/>
      <c r="AX68" s="110"/>
      <c r="AY68" s="110"/>
      <c r="AZ68" s="110"/>
      <c r="BA68" s="110"/>
      <c r="BB68" s="110"/>
      <c r="BC68" s="110"/>
      <c r="BD68" s="110"/>
      <c r="BE68" s="110"/>
      <c r="BF68" s="110"/>
      <c r="BG68" s="110"/>
      <c r="BH68" s="110"/>
      <c r="BI68" s="110"/>
      <c r="BJ68" s="110"/>
      <c r="BK68" s="110"/>
      <c r="BL68" s="110"/>
      <c r="BM68" s="110"/>
      <c r="BN68" s="110"/>
      <c r="BO68" s="110"/>
      <c r="BP68" s="110"/>
      <c r="BQ68" s="110"/>
      <c r="BR68" s="110"/>
      <c r="BS68" s="110"/>
      <c r="BT68" s="110"/>
      <c r="BU68" s="110"/>
      <c r="BV68" s="110"/>
      <c r="BW68" s="110"/>
      <c r="BX68" s="110"/>
      <c r="BY68" s="110"/>
      <c r="BZ68" s="110"/>
      <c r="CA68" s="110"/>
      <c r="CB68" s="110"/>
      <c r="CC68" s="110"/>
      <c r="CD68" s="110"/>
      <c r="CE68" s="110"/>
      <c r="CF68" s="110"/>
      <c r="CG68" s="110"/>
      <c r="CH68" s="110"/>
      <c r="CI68" s="110"/>
      <c r="CJ68" s="110"/>
      <c r="CK68" s="110"/>
      <c r="CL68" s="110"/>
      <c r="CM68" s="110"/>
      <c r="CN68" s="110"/>
      <c r="CO68" s="110"/>
    </row>
    <row r="69" spans="1:93">
      <c r="A69" s="110"/>
      <c r="B69" s="110"/>
      <c r="C69" s="110"/>
      <c r="D69" s="110"/>
      <c r="E69" s="110"/>
      <c r="F69" s="110"/>
      <c r="G69" s="110"/>
      <c r="H69" s="110"/>
      <c r="I69" s="110"/>
      <c r="J69" s="110"/>
      <c r="K69" s="110"/>
      <c r="L69" s="110"/>
      <c r="M69" s="110"/>
      <c r="N69" s="110"/>
      <c r="O69" s="110"/>
      <c r="P69" s="110"/>
      <c r="Q69" s="110"/>
      <c r="R69" s="110"/>
      <c r="S69" s="110"/>
      <c r="T69" s="110"/>
      <c r="U69" s="111"/>
      <c r="V69" s="111"/>
      <c r="W69" s="111"/>
      <c r="X69" s="112"/>
      <c r="Y69" s="112"/>
      <c r="Z69" s="112"/>
      <c r="AA69" s="112"/>
      <c r="AB69" s="112"/>
      <c r="AC69" s="111"/>
      <c r="AD69" s="111"/>
      <c r="AE69" s="111"/>
      <c r="AF69" s="111"/>
      <c r="AG69" s="111"/>
      <c r="AH69" s="111"/>
      <c r="AI69" s="110"/>
      <c r="AJ69" s="110"/>
      <c r="AK69" s="110"/>
      <c r="AL69" s="110"/>
      <c r="AM69" s="110"/>
      <c r="AN69" s="110"/>
      <c r="AO69" s="110"/>
      <c r="AP69" s="110"/>
      <c r="AQ69" s="110"/>
      <c r="AR69" s="110"/>
      <c r="AS69" s="110"/>
      <c r="AT69" s="110"/>
      <c r="AU69" s="110"/>
      <c r="AV69" s="110"/>
      <c r="AW69" s="110"/>
      <c r="AX69" s="110"/>
      <c r="AY69" s="110"/>
      <c r="AZ69" s="110"/>
      <c r="BA69" s="110"/>
      <c r="BB69" s="110"/>
      <c r="BC69" s="110"/>
      <c r="BD69" s="110"/>
      <c r="BE69" s="110"/>
      <c r="BF69" s="110"/>
      <c r="BG69" s="110"/>
      <c r="BH69" s="110"/>
      <c r="BI69" s="110"/>
      <c r="BJ69" s="110"/>
      <c r="BK69" s="110"/>
      <c r="BL69" s="110"/>
      <c r="BM69" s="110"/>
      <c r="BN69" s="110"/>
      <c r="BO69" s="110"/>
      <c r="BP69" s="110"/>
      <c r="BQ69" s="110"/>
      <c r="BR69" s="110"/>
      <c r="BS69" s="110"/>
      <c r="BT69" s="110"/>
      <c r="BU69" s="110"/>
      <c r="BV69" s="110"/>
      <c r="BW69" s="110"/>
      <c r="BX69" s="110"/>
      <c r="BY69" s="110"/>
      <c r="BZ69" s="110"/>
      <c r="CA69" s="110"/>
      <c r="CB69" s="110"/>
      <c r="CC69" s="110"/>
      <c r="CD69" s="110"/>
      <c r="CE69" s="110"/>
      <c r="CF69" s="110"/>
      <c r="CG69" s="110"/>
      <c r="CH69" s="110"/>
      <c r="CI69" s="110"/>
      <c r="CJ69" s="110"/>
      <c r="CK69" s="110"/>
      <c r="CL69" s="110"/>
      <c r="CM69" s="110"/>
      <c r="CN69" s="110"/>
      <c r="CO69" s="110"/>
    </row>
    <row r="70" spans="1:93">
      <c r="A70" s="110"/>
      <c r="B70" s="110"/>
      <c r="C70" s="110"/>
      <c r="D70" s="110"/>
      <c r="E70" s="110"/>
      <c r="F70" s="110"/>
      <c r="G70" s="110"/>
      <c r="H70" s="110"/>
      <c r="I70" s="110"/>
      <c r="J70" s="110"/>
      <c r="K70" s="110"/>
      <c r="L70" s="110"/>
      <c r="M70" s="110"/>
      <c r="N70" s="110"/>
      <c r="O70" s="110"/>
      <c r="P70" s="110"/>
      <c r="Q70" s="110"/>
      <c r="R70" s="110"/>
      <c r="S70" s="110"/>
      <c r="T70" s="110"/>
      <c r="U70" s="111"/>
      <c r="V70" s="111"/>
      <c r="W70" s="111"/>
      <c r="X70" s="112"/>
      <c r="Y70" s="112"/>
      <c r="Z70" s="112"/>
      <c r="AA70" s="112"/>
      <c r="AB70" s="112"/>
      <c r="AC70" s="111"/>
      <c r="AD70" s="111"/>
      <c r="AE70" s="111"/>
      <c r="AF70" s="111"/>
      <c r="AG70" s="111"/>
      <c r="AH70" s="111"/>
      <c r="AI70" s="110"/>
      <c r="AJ70" s="110"/>
      <c r="AK70" s="110"/>
      <c r="AL70" s="110"/>
      <c r="AM70" s="110"/>
      <c r="AN70" s="110"/>
      <c r="AO70" s="110"/>
      <c r="AP70" s="110"/>
      <c r="AQ70" s="110"/>
      <c r="AR70" s="110"/>
      <c r="AS70" s="110"/>
      <c r="AT70" s="110"/>
      <c r="AU70" s="110"/>
      <c r="AV70" s="110"/>
      <c r="AW70" s="110"/>
      <c r="AX70" s="110"/>
      <c r="AY70" s="110"/>
      <c r="AZ70" s="110"/>
      <c r="BA70" s="110"/>
      <c r="BB70" s="110"/>
      <c r="BC70" s="110"/>
      <c r="BD70" s="110"/>
      <c r="BE70" s="110"/>
      <c r="BF70" s="110"/>
      <c r="BG70" s="110"/>
      <c r="BH70" s="110"/>
      <c r="BI70" s="110"/>
      <c r="BJ70" s="110"/>
      <c r="BK70" s="110"/>
      <c r="BL70" s="110"/>
      <c r="BM70" s="110"/>
      <c r="BN70" s="110"/>
      <c r="BO70" s="110"/>
      <c r="BP70" s="110"/>
      <c r="BQ70" s="110"/>
      <c r="BR70" s="110"/>
      <c r="BS70" s="110"/>
      <c r="BT70" s="110"/>
      <c r="BU70" s="110"/>
      <c r="BV70" s="110"/>
      <c r="BW70" s="110"/>
      <c r="BX70" s="110"/>
      <c r="BY70" s="110"/>
      <c r="BZ70" s="110"/>
      <c r="CA70" s="110"/>
      <c r="CB70" s="110"/>
      <c r="CC70" s="110"/>
      <c r="CD70" s="110"/>
      <c r="CE70" s="110"/>
      <c r="CF70" s="110"/>
      <c r="CG70" s="110"/>
      <c r="CH70" s="110"/>
      <c r="CI70" s="110"/>
      <c r="CJ70" s="110"/>
      <c r="CK70" s="110"/>
      <c r="CL70" s="110"/>
      <c r="CM70" s="110"/>
      <c r="CN70" s="110"/>
      <c r="CO70" s="110"/>
    </row>
    <row r="71" spans="1:93">
      <c r="A71" s="110"/>
      <c r="B71" s="110"/>
      <c r="C71" s="110"/>
      <c r="D71" s="110"/>
      <c r="E71" s="110"/>
      <c r="F71" s="110"/>
      <c r="G71" s="110"/>
      <c r="H71" s="110"/>
      <c r="I71" s="110"/>
      <c r="J71" s="110"/>
      <c r="K71" s="110"/>
      <c r="L71" s="110"/>
      <c r="M71" s="110"/>
      <c r="N71" s="110"/>
      <c r="O71" s="110"/>
      <c r="P71" s="110"/>
      <c r="Q71" s="110"/>
      <c r="R71" s="110"/>
      <c r="S71" s="110"/>
      <c r="T71" s="110"/>
      <c r="U71" s="111"/>
      <c r="V71" s="111"/>
      <c r="W71" s="111"/>
      <c r="X71" s="112"/>
      <c r="Y71" s="112"/>
      <c r="Z71" s="112"/>
      <c r="AA71" s="112"/>
      <c r="AB71" s="112"/>
      <c r="AC71" s="111"/>
      <c r="AD71" s="111"/>
      <c r="AE71" s="111"/>
      <c r="AF71" s="111"/>
      <c r="AG71" s="111"/>
      <c r="AH71" s="111"/>
      <c r="AI71" s="110"/>
      <c r="AJ71" s="110"/>
      <c r="AK71" s="110"/>
      <c r="AL71" s="110"/>
      <c r="AM71" s="110"/>
      <c r="AN71" s="110"/>
      <c r="AO71" s="110"/>
      <c r="AP71" s="110"/>
      <c r="AQ71" s="110"/>
      <c r="AR71" s="110"/>
      <c r="AS71" s="110"/>
      <c r="AT71" s="110"/>
      <c r="AU71" s="110"/>
      <c r="AV71" s="110"/>
      <c r="AW71" s="110"/>
      <c r="AX71" s="110"/>
      <c r="AY71" s="110"/>
      <c r="AZ71" s="110"/>
      <c r="BA71" s="110"/>
      <c r="BB71" s="110"/>
      <c r="BC71" s="110"/>
      <c r="BD71" s="110"/>
      <c r="BE71" s="110"/>
      <c r="BF71" s="110"/>
      <c r="BG71" s="110"/>
      <c r="BH71" s="110"/>
      <c r="BI71" s="110"/>
      <c r="BJ71" s="110"/>
      <c r="BK71" s="110"/>
      <c r="BL71" s="110"/>
      <c r="BM71" s="110"/>
      <c r="BN71" s="110"/>
      <c r="BO71" s="110"/>
      <c r="BP71" s="110"/>
      <c r="BQ71" s="110"/>
      <c r="BR71" s="110"/>
      <c r="BS71" s="110"/>
      <c r="BT71" s="110"/>
      <c r="BU71" s="110"/>
      <c r="BV71" s="110"/>
      <c r="BW71" s="110"/>
      <c r="BX71" s="110"/>
      <c r="BY71" s="110"/>
      <c r="BZ71" s="110"/>
      <c r="CA71" s="110"/>
      <c r="CB71" s="110"/>
      <c r="CC71" s="110"/>
      <c r="CD71" s="110"/>
      <c r="CE71" s="110"/>
      <c r="CF71" s="110"/>
      <c r="CG71" s="110"/>
      <c r="CH71" s="110"/>
      <c r="CI71" s="110"/>
      <c r="CJ71" s="110"/>
      <c r="CK71" s="110"/>
      <c r="CL71" s="110"/>
      <c r="CM71" s="110"/>
      <c r="CN71" s="110"/>
      <c r="CO71" s="110"/>
    </row>
    <row r="72" spans="1:93">
      <c r="A72" s="110"/>
      <c r="B72" s="110"/>
      <c r="C72" s="110"/>
      <c r="D72" s="110"/>
      <c r="E72" s="110"/>
      <c r="F72" s="110"/>
      <c r="G72" s="110"/>
      <c r="H72" s="110"/>
      <c r="I72" s="110"/>
      <c r="J72" s="110"/>
      <c r="K72" s="110"/>
      <c r="L72" s="110"/>
      <c r="M72" s="110"/>
      <c r="N72" s="110"/>
      <c r="O72" s="110"/>
      <c r="P72" s="110"/>
      <c r="Q72" s="110"/>
      <c r="R72" s="110"/>
      <c r="S72" s="110"/>
      <c r="T72" s="110"/>
      <c r="U72" s="111"/>
      <c r="V72" s="111"/>
      <c r="W72" s="111"/>
      <c r="X72" s="112"/>
      <c r="Y72" s="112"/>
      <c r="Z72" s="112"/>
      <c r="AA72" s="112"/>
      <c r="AB72" s="112"/>
      <c r="AC72" s="111"/>
      <c r="AD72" s="111"/>
      <c r="AE72" s="111"/>
      <c r="AF72" s="111"/>
      <c r="AG72" s="111"/>
      <c r="AH72" s="111"/>
      <c r="AI72" s="110"/>
      <c r="AJ72" s="110"/>
      <c r="AK72" s="110"/>
      <c r="AL72" s="110"/>
      <c r="AM72" s="110"/>
      <c r="AN72" s="110"/>
      <c r="AO72" s="110"/>
      <c r="AP72" s="110"/>
      <c r="AQ72" s="110"/>
      <c r="AR72" s="110"/>
      <c r="AS72" s="110"/>
      <c r="AT72" s="110"/>
      <c r="AU72" s="110"/>
      <c r="AV72" s="110"/>
      <c r="AW72" s="110"/>
      <c r="AX72" s="110"/>
      <c r="AY72" s="110"/>
      <c r="AZ72" s="110"/>
      <c r="BA72" s="110"/>
      <c r="BB72" s="110"/>
      <c r="BC72" s="110"/>
      <c r="BD72" s="110"/>
      <c r="BE72" s="110"/>
      <c r="BF72" s="110"/>
      <c r="BG72" s="110"/>
      <c r="BH72" s="110"/>
      <c r="BI72" s="110"/>
      <c r="BJ72" s="110"/>
      <c r="BK72" s="110"/>
      <c r="BL72" s="110"/>
      <c r="BM72" s="110"/>
      <c r="BN72" s="110"/>
      <c r="BO72" s="110"/>
      <c r="BP72" s="110"/>
      <c r="BQ72" s="110"/>
      <c r="BR72" s="110"/>
      <c r="BS72" s="110"/>
      <c r="BT72" s="110"/>
      <c r="BU72" s="110"/>
      <c r="BV72" s="110"/>
      <c r="BW72" s="110"/>
      <c r="BX72" s="110"/>
      <c r="BY72" s="110"/>
      <c r="BZ72" s="110"/>
      <c r="CA72" s="110"/>
      <c r="CB72" s="110"/>
      <c r="CC72" s="110"/>
      <c r="CD72" s="110"/>
      <c r="CE72" s="110"/>
      <c r="CF72" s="110"/>
      <c r="CG72" s="110"/>
      <c r="CH72" s="110"/>
      <c r="CI72" s="110"/>
      <c r="CJ72" s="110"/>
      <c r="CK72" s="110"/>
      <c r="CL72" s="110"/>
      <c r="CM72" s="110"/>
      <c r="CN72" s="110"/>
      <c r="CO72" s="110"/>
    </row>
    <row r="73" spans="1:93">
      <c r="A73" s="110"/>
      <c r="B73" s="110"/>
      <c r="C73" s="110"/>
      <c r="D73" s="110"/>
      <c r="E73" s="110"/>
      <c r="F73" s="110"/>
      <c r="G73" s="110"/>
      <c r="H73" s="110"/>
      <c r="I73" s="110"/>
      <c r="J73" s="110"/>
      <c r="K73" s="110"/>
      <c r="L73" s="110"/>
      <c r="M73" s="110"/>
      <c r="N73" s="110"/>
      <c r="O73" s="110"/>
      <c r="P73" s="110"/>
      <c r="Q73" s="110"/>
      <c r="R73" s="110"/>
      <c r="S73" s="110"/>
      <c r="T73" s="110"/>
      <c r="U73" s="111"/>
      <c r="V73" s="111"/>
      <c r="W73" s="111"/>
      <c r="X73" s="112"/>
      <c r="Y73" s="112"/>
      <c r="Z73" s="112"/>
      <c r="AA73" s="112"/>
      <c r="AB73" s="112"/>
      <c r="AC73" s="111"/>
      <c r="AD73" s="111"/>
      <c r="AE73" s="111"/>
      <c r="AF73" s="111"/>
      <c r="AG73" s="111"/>
      <c r="AH73" s="111"/>
      <c r="AI73" s="110"/>
      <c r="AJ73" s="110"/>
      <c r="AK73" s="110"/>
      <c r="AL73" s="110"/>
      <c r="AM73" s="110"/>
      <c r="AN73" s="110"/>
      <c r="AO73" s="110"/>
      <c r="AP73" s="110"/>
      <c r="AQ73" s="110"/>
      <c r="AR73" s="110"/>
      <c r="AS73" s="110"/>
      <c r="AT73" s="110"/>
      <c r="AU73" s="110"/>
      <c r="AV73" s="110"/>
      <c r="AW73" s="110"/>
      <c r="AX73" s="110"/>
      <c r="AY73" s="110"/>
      <c r="AZ73" s="110"/>
      <c r="BA73" s="110"/>
      <c r="BB73" s="110"/>
      <c r="BC73" s="110"/>
      <c r="BD73" s="110"/>
      <c r="BE73" s="110"/>
      <c r="BF73" s="110"/>
      <c r="BG73" s="110"/>
      <c r="BH73" s="110"/>
      <c r="BI73" s="110"/>
      <c r="BJ73" s="110"/>
      <c r="BK73" s="110"/>
      <c r="BL73" s="110"/>
      <c r="BM73" s="110"/>
      <c r="BN73" s="110"/>
      <c r="BO73" s="110"/>
      <c r="BP73" s="110"/>
      <c r="BQ73" s="110"/>
      <c r="BR73" s="110"/>
      <c r="BS73" s="110"/>
      <c r="BT73" s="110"/>
      <c r="BU73" s="110"/>
      <c r="BV73" s="110"/>
      <c r="BW73" s="110"/>
      <c r="BX73" s="110"/>
      <c r="BY73" s="110"/>
      <c r="BZ73" s="110"/>
      <c r="CA73" s="110"/>
      <c r="CB73" s="110"/>
      <c r="CC73" s="110"/>
      <c r="CD73" s="110"/>
      <c r="CE73" s="110"/>
      <c r="CF73" s="110"/>
      <c r="CG73" s="110"/>
      <c r="CH73" s="110"/>
      <c r="CI73" s="110"/>
      <c r="CJ73" s="110"/>
      <c r="CK73" s="110"/>
      <c r="CL73" s="110"/>
      <c r="CM73" s="110"/>
      <c r="CN73" s="110"/>
      <c r="CO73" s="110"/>
    </row>
    <row r="74" spans="1:93">
      <c r="A74" s="110"/>
      <c r="B74" s="110"/>
      <c r="C74" s="110"/>
      <c r="D74" s="110"/>
      <c r="E74" s="110"/>
      <c r="F74" s="110"/>
      <c r="G74" s="110"/>
      <c r="H74" s="110"/>
      <c r="I74" s="110"/>
      <c r="J74" s="110"/>
      <c r="K74" s="110"/>
      <c r="L74" s="110"/>
      <c r="M74" s="110"/>
      <c r="N74" s="110"/>
      <c r="O74" s="110"/>
      <c r="P74" s="110"/>
      <c r="Q74" s="110"/>
      <c r="R74" s="110"/>
      <c r="S74" s="110"/>
      <c r="T74" s="110"/>
      <c r="U74" s="111"/>
      <c r="V74" s="111"/>
      <c r="W74" s="111"/>
      <c r="X74" s="112"/>
      <c r="Y74" s="112"/>
      <c r="Z74" s="112"/>
      <c r="AA74" s="112"/>
      <c r="AB74" s="112"/>
      <c r="AC74" s="111"/>
      <c r="AD74" s="111"/>
      <c r="AE74" s="111"/>
      <c r="AF74" s="111"/>
      <c r="AG74" s="111"/>
      <c r="AH74" s="111"/>
      <c r="AI74" s="110"/>
      <c r="AJ74" s="110"/>
      <c r="AK74" s="110"/>
      <c r="AL74" s="110"/>
      <c r="AM74" s="110"/>
      <c r="AN74" s="110"/>
      <c r="AO74" s="110"/>
      <c r="AP74" s="110"/>
      <c r="AQ74" s="110"/>
      <c r="AR74" s="110"/>
      <c r="AS74" s="110"/>
      <c r="AT74" s="110"/>
      <c r="AU74" s="110"/>
      <c r="AV74" s="110"/>
      <c r="AW74" s="110"/>
      <c r="AX74" s="110"/>
      <c r="AY74" s="110"/>
      <c r="AZ74" s="110"/>
      <c r="BA74" s="110"/>
      <c r="BB74" s="110"/>
      <c r="BC74" s="110"/>
      <c r="BD74" s="110"/>
      <c r="BE74" s="110"/>
      <c r="BF74" s="110"/>
      <c r="BG74" s="110"/>
      <c r="BH74" s="110"/>
      <c r="BI74" s="110"/>
      <c r="BJ74" s="110"/>
      <c r="BK74" s="110"/>
      <c r="BL74" s="110"/>
      <c r="BM74" s="110"/>
      <c r="BN74" s="110"/>
      <c r="BO74" s="110"/>
      <c r="BP74" s="110"/>
      <c r="BQ74" s="110"/>
      <c r="BR74" s="110"/>
      <c r="BS74" s="110"/>
      <c r="BT74" s="110"/>
      <c r="BU74" s="110"/>
      <c r="BV74" s="110"/>
      <c r="BW74" s="110"/>
      <c r="BX74" s="110"/>
      <c r="BY74" s="110"/>
      <c r="BZ74" s="110"/>
      <c r="CA74" s="110"/>
      <c r="CB74" s="110"/>
      <c r="CC74" s="110"/>
      <c r="CD74" s="110"/>
      <c r="CE74" s="110"/>
      <c r="CF74" s="110"/>
      <c r="CG74" s="110"/>
      <c r="CH74" s="110"/>
      <c r="CI74" s="110"/>
      <c r="CJ74" s="110"/>
      <c r="CK74" s="110"/>
      <c r="CL74" s="110"/>
      <c r="CM74" s="110"/>
      <c r="CN74" s="110"/>
      <c r="CO74" s="110"/>
    </row>
    <row r="75" spans="1:93">
      <c r="A75" s="110"/>
      <c r="B75" s="110"/>
      <c r="C75" s="110"/>
      <c r="D75" s="110"/>
      <c r="E75" s="110"/>
      <c r="F75" s="110"/>
      <c r="G75" s="110"/>
      <c r="H75" s="110"/>
      <c r="I75" s="110"/>
      <c r="J75" s="110"/>
      <c r="K75" s="110"/>
      <c r="L75" s="110"/>
      <c r="M75" s="110"/>
      <c r="N75" s="110"/>
      <c r="O75" s="110"/>
      <c r="P75" s="110"/>
      <c r="Q75" s="110"/>
      <c r="R75" s="110"/>
      <c r="S75" s="110"/>
      <c r="T75" s="110"/>
      <c r="U75" s="111"/>
      <c r="V75" s="111"/>
      <c r="W75" s="111"/>
      <c r="X75" s="112"/>
      <c r="Y75" s="112"/>
      <c r="Z75" s="112"/>
      <c r="AA75" s="112"/>
      <c r="AB75" s="112"/>
      <c r="AC75" s="111"/>
      <c r="AD75" s="111"/>
      <c r="AE75" s="111"/>
      <c r="AF75" s="111"/>
      <c r="AG75" s="111"/>
      <c r="AH75" s="111"/>
      <c r="AI75" s="110"/>
      <c r="AJ75" s="110"/>
      <c r="AK75" s="110"/>
      <c r="AL75" s="110"/>
      <c r="AM75" s="110"/>
      <c r="AN75" s="110"/>
      <c r="AO75" s="110"/>
      <c r="AP75" s="110"/>
      <c r="AQ75" s="110"/>
      <c r="AR75" s="110"/>
      <c r="AS75" s="110"/>
      <c r="AT75" s="110"/>
      <c r="AU75" s="110"/>
      <c r="AV75" s="110"/>
      <c r="AW75" s="110"/>
      <c r="AX75" s="110"/>
      <c r="AY75" s="110"/>
      <c r="AZ75" s="110"/>
      <c r="BA75" s="110"/>
      <c r="BB75" s="110"/>
      <c r="BC75" s="110"/>
      <c r="BD75" s="110"/>
      <c r="BE75" s="110"/>
      <c r="BF75" s="110"/>
      <c r="BG75" s="110"/>
      <c r="BH75" s="110"/>
      <c r="BI75" s="110"/>
      <c r="BJ75" s="110"/>
      <c r="BK75" s="110"/>
      <c r="BL75" s="110"/>
      <c r="BM75" s="110"/>
      <c r="BN75" s="110"/>
      <c r="BO75" s="110"/>
      <c r="BP75" s="110"/>
      <c r="BQ75" s="110"/>
      <c r="BR75" s="110"/>
      <c r="BS75" s="110"/>
      <c r="BT75" s="110"/>
      <c r="BU75" s="110"/>
      <c r="BV75" s="110"/>
      <c r="BW75" s="110"/>
      <c r="BX75" s="110"/>
      <c r="BY75" s="110"/>
      <c r="BZ75" s="110"/>
      <c r="CA75" s="110"/>
      <c r="CB75" s="110"/>
      <c r="CC75" s="110"/>
      <c r="CD75" s="110"/>
      <c r="CE75" s="110"/>
      <c r="CF75" s="110"/>
      <c r="CG75" s="110"/>
      <c r="CH75" s="110"/>
      <c r="CI75" s="110"/>
      <c r="CJ75" s="110"/>
      <c r="CK75" s="110"/>
      <c r="CL75" s="110"/>
      <c r="CM75" s="110"/>
      <c r="CN75" s="110"/>
      <c r="CO75" s="110"/>
    </row>
    <row r="76" spans="1:93">
      <c r="A76" s="110"/>
      <c r="B76" s="110"/>
      <c r="C76" s="110"/>
      <c r="D76" s="110"/>
      <c r="E76" s="110"/>
      <c r="F76" s="110"/>
      <c r="G76" s="110"/>
      <c r="H76" s="110"/>
      <c r="I76" s="110"/>
      <c r="J76" s="110"/>
      <c r="K76" s="110"/>
      <c r="L76" s="110"/>
      <c r="M76" s="110"/>
      <c r="N76" s="110"/>
      <c r="O76" s="110"/>
      <c r="P76" s="110"/>
      <c r="Q76" s="110"/>
      <c r="R76" s="110"/>
      <c r="S76" s="110"/>
      <c r="T76" s="110"/>
      <c r="U76" s="111"/>
      <c r="V76" s="111"/>
      <c r="W76" s="111"/>
      <c r="X76" s="112"/>
      <c r="Y76" s="112"/>
      <c r="Z76" s="112"/>
      <c r="AA76" s="112"/>
      <c r="AB76" s="112"/>
      <c r="AC76" s="111"/>
      <c r="AD76" s="111"/>
      <c r="AE76" s="111"/>
      <c r="AF76" s="111"/>
      <c r="AG76" s="111"/>
      <c r="AH76" s="111"/>
      <c r="AI76" s="110"/>
      <c r="AJ76" s="110"/>
      <c r="AK76" s="110"/>
      <c r="AL76" s="110"/>
      <c r="AM76" s="110"/>
      <c r="AN76" s="110"/>
      <c r="AO76" s="110"/>
      <c r="AP76" s="110"/>
      <c r="AQ76" s="110"/>
      <c r="AR76" s="110"/>
      <c r="AS76" s="110"/>
      <c r="AT76" s="110"/>
      <c r="AU76" s="110"/>
      <c r="AV76" s="110"/>
      <c r="AW76" s="110"/>
      <c r="AX76" s="110"/>
      <c r="AY76" s="110"/>
      <c r="AZ76" s="110"/>
      <c r="BA76" s="110"/>
      <c r="BB76" s="110"/>
      <c r="BC76" s="110"/>
      <c r="BD76" s="110"/>
      <c r="BE76" s="110"/>
      <c r="BF76" s="110"/>
      <c r="BG76" s="110"/>
      <c r="BH76" s="110"/>
      <c r="BI76" s="110"/>
      <c r="BJ76" s="110"/>
      <c r="BK76" s="110"/>
      <c r="BL76" s="110"/>
      <c r="BM76" s="110"/>
      <c r="BN76" s="110"/>
      <c r="BO76" s="110"/>
      <c r="BP76" s="110"/>
      <c r="BQ76" s="110"/>
      <c r="BR76" s="110"/>
      <c r="BS76" s="110"/>
      <c r="BT76" s="110"/>
      <c r="BU76" s="110"/>
      <c r="BV76" s="110"/>
      <c r="BW76" s="110"/>
      <c r="BX76" s="110"/>
      <c r="BY76" s="110"/>
      <c r="BZ76" s="110"/>
      <c r="CA76" s="110"/>
      <c r="CB76" s="110"/>
      <c r="CC76" s="110"/>
      <c r="CD76" s="110"/>
      <c r="CE76" s="110"/>
      <c r="CF76" s="110"/>
      <c r="CG76" s="110"/>
      <c r="CH76" s="110"/>
      <c r="CI76" s="110"/>
      <c r="CJ76" s="110"/>
      <c r="CK76" s="110"/>
      <c r="CL76" s="110"/>
      <c r="CM76" s="110"/>
      <c r="CN76" s="110"/>
      <c r="CO76" s="110"/>
    </row>
    <row r="77" spans="1:93">
      <c r="A77" s="110"/>
      <c r="B77" s="110"/>
      <c r="C77" s="110"/>
      <c r="D77" s="110"/>
      <c r="E77" s="110"/>
      <c r="F77" s="110"/>
      <c r="G77" s="110"/>
      <c r="H77" s="110"/>
      <c r="I77" s="110"/>
      <c r="J77" s="110"/>
      <c r="K77" s="110"/>
      <c r="L77" s="110"/>
      <c r="M77" s="110"/>
      <c r="N77" s="110"/>
      <c r="O77" s="110"/>
      <c r="P77" s="110"/>
      <c r="Q77" s="110"/>
      <c r="R77" s="110"/>
      <c r="S77" s="110"/>
      <c r="T77" s="110"/>
      <c r="U77" s="111"/>
      <c r="V77" s="111"/>
      <c r="W77" s="111"/>
      <c r="X77" s="112"/>
      <c r="Y77" s="112"/>
      <c r="Z77" s="112"/>
      <c r="AA77" s="112"/>
      <c r="AB77" s="112"/>
      <c r="AC77" s="111"/>
      <c r="AD77" s="111"/>
      <c r="AE77" s="111"/>
      <c r="AF77" s="111"/>
      <c r="AG77" s="111"/>
      <c r="AH77" s="111"/>
      <c r="AI77" s="110"/>
      <c r="AJ77" s="110"/>
      <c r="AK77" s="110"/>
      <c r="AL77" s="110"/>
      <c r="AM77" s="110"/>
      <c r="AN77" s="110"/>
      <c r="AO77" s="110"/>
      <c r="AP77" s="110"/>
      <c r="AQ77" s="110"/>
      <c r="AR77" s="110"/>
      <c r="AS77" s="110"/>
      <c r="AT77" s="110"/>
      <c r="AU77" s="110"/>
      <c r="AV77" s="110"/>
      <c r="AW77" s="110"/>
      <c r="AX77" s="110"/>
      <c r="AY77" s="110"/>
      <c r="AZ77" s="110"/>
      <c r="BA77" s="110"/>
      <c r="BB77" s="110"/>
      <c r="BC77" s="110"/>
      <c r="BD77" s="110"/>
      <c r="BE77" s="110"/>
      <c r="BF77" s="110"/>
      <c r="BG77" s="110"/>
      <c r="BH77" s="110"/>
      <c r="BI77" s="110"/>
      <c r="BJ77" s="110"/>
      <c r="BK77" s="110"/>
      <c r="BL77" s="110"/>
      <c r="BM77" s="110"/>
      <c r="BN77" s="110"/>
      <c r="BO77" s="110"/>
      <c r="BP77" s="110"/>
      <c r="BQ77" s="110"/>
      <c r="BR77" s="110"/>
      <c r="BS77" s="110"/>
      <c r="BT77" s="110"/>
      <c r="BU77" s="110"/>
      <c r="BV77" s="110"/>
      <c r="BW77" s="110"/>
      <c r="BX77" s="110"/>
      <c r="BY77" s="110"/>
      <c r="BZ77" s="110"/>
      <c r="CA77" s="110"/>
      <c r="CB77" s="110"/>
      <c r="CC77" s="110"/>
      <c r="CD77" s="110"/>
      <c r="CE77" s="110"/>
      <c r="CF77" s="110"/>
      <c r="CG77" s="110"/>
      <c r="CH77" s="110"/>
      <c r="CI77" s="110"/>
      <c r="CJ77" s="110"/>
      <c r="CK77" s="110"/>
      <c r="CL77" s="110"/>
      <c r="CM77" s="110"/>
      <c r="CN77" s="110"/>
      <c r="CO77" s="110"/>
    </row>
    <row r="78" spans="1:93">
      <c r="A78" s="110"/>
      <c r="B78" s="110"/>
      <c r="C78" s="110"/>
      <c r="D78" s="110"/>
      <c r="E78" s="110"/>
      <c r="F78" s="110"/>
      <c r="G78" s="110"/>
      <c r="H78" s="110"/>
      <c r="I78" s="110"/>
      <c r="J78" s="110"/>
      <c r="K78" s="110"/>
      <c r="L78" s="110"/>
      <c r="M78" s="110"/>
      <c r="N78" s="110"/>
      <c r="O78" s="110"/>
      <c r="P78" s="110"/>
      <c r="Q78" s="110"/>
      <c r="R78" s="110"/>
      <c r="S78" s="110"/>
      <c r="T78" s="110"/>
      <c r="U78" s="111"/>
      <c r="V78" s="111"/>
      <c r="W78" s="111"/>
      <c r="X78" s="112"/>
      <c r="Y78" s="112"/>
      <c r="Z78" s="112"/>
      <c r="AA78" s="112"/>
      <c r="AB78" s="112"/>
      <c r="AC78" s="111"/>
      <c r="AD78" s="111"/>
      <c r="AE78" s="111"/>
      <c r="AF78" s="111"/>
      <c r="AG78" s="111"/>
      <c r="AH78" s="111"/>
      <c r="AI78" s="110"/>
      <c r="AJ78" s="110"/>
      <c r="AK78" s="110"/>
      <c r="AL78" s="110"/>
      <c r="AM78" s="110"/>
      <c r="AN78" s="110"/>
      <c r="AO78" s="110"/>
      <c r="AP78" s="110"/>
      <c r="AQ78" s="110"/>
      <c r="AR78" s="110"/>
      <c r="AS78" s="110"/>
      <c r="AT78" s="110"/>
      <c r="AU78" s="110"/>
      <c r="AV78" s="110"/>
      <c r="AW78" s="110"/>
      <c r="AX78" s="110"/>
      <c r="AY78" s="110"/>
      <c r="AZ78" s="110"/>
      <c r="BA78" s="110"/>
      <c r="BB78" s="110"/>
      <c r="BC78" s="110"/>
      <c r="BD78" s="110"/>
      <c r="BE78" s="110"/>
      <c r="BF78" s="110"/>
      <c r="BG78" s="110"/>
      <c r="BH78" s="110"/>
      <c r="BI78" s="110"/>
      <c r="BJ78" s="110"/>
      <c r="BK78" s="110"/>
      <c r="BL78" s="110"/>
      <c r="BM78" s="110"/>
      <c r="BN78" s="110"/>
      <c r="BO78" s="110"/>
      <c r="BP78" s="110"/>
      <c r="BQ78" s="110"/>
      <c r="BR78" s="110"/>
      <c r="BS78" s="110"/>
      <c r="BT78" s="110"/>
      <c r="BU78" s="110"/>
      <c r="BV78" s="110"/>
      <c r="BW78" s="110"/>
      <c r="BX78" s="110"/>
      <c r="BY78" s="110"/>
      <c r="BZ78" s="110"/>
      <c r="CA78" s="110"/>
      <c r="CB78" s="110"/>
      <c r="CC78" s="110"/>
      <c r="CD78" s="110"/>
      <c r="CE78" s="110"/>
      <c r="CF78" s="110"/>
      <c r="CG78" s="110"/>
      <c r="CH78" s="110"/>
      <c r="CI78" s="110"/>
      <c r="CJ78" s="110"/>
      <c r="CK78" s="110"/>
      <c r="CL78" s="110"/>
      <c r="CM78" s="110"/>
      <c r="CN78" s="110"/>
      <c r="CO78" s="110"/>
    </row>
    <row r="79" spans="1:93">
      <c r="A79" s="110"/>
      <c r="B79" s="110"/>
      <c r="C79" s="110"/>
      <c r="D79" s="110"/>
      <c r="E79" s="110"/>
      <c r="F79" s="110"/>
      <c r="G79" s="110"/>
      <c r="H79" s="110"/>
      <c r="I79" s="110"/>
      <c r="J79" s="110"/>
      <c r="K79" s="110"/>
      <c r="L79" s="110"/>
      <c r="M79" s="110"/>
      <c r="N79" s="110"/>
      <c r="O79" s="110"/>
      <c r="P79" s="110"/>
      <c r="Q79" s="110"/>
      <c r="R79" s="110"/>
      <c r="S79" s="110"/>
      <c r="T79" s="110"/>
      <c r="U79" s="111"/>
      <c r="V79" s="111"/>
      <c r="W79" s="111"/>
      <c r="X79" s="112"/>
      <c r="Y79" s="112"/>
      <c r="Z79" s="112"/>
      <c r="AA79" s="112"/>
      <c r="AB79" s="112"/>
      <c r="AC79" s="111"/>
      <c r="AD79" s="111"/>
      <c r="AE79" s="111"/>
      <c r="AF79" s="111"/>
      <c r="AG79" s="111"/>
      <c r="AH79" s="111"/>
      <c r="AI79" s="110"/>
      <c r="AJ79" s="110"/>
      <c r="AK79" s="110"/>
      <c r="AL79" s="110"/>
      <c r="AM79" s="110"/>
      <c r="AN79" s="110"/>
      <c r="AO79" s="110"/>
      <c r="AP79" s="110"/>
      <c r="AQ79" s="110"/>
      <c r="AR79" s="110"/>
      <c r="AS79" s="110"/>
      <c r="AT79" s="110"/>
      <c r="AU79" s="110"/>
      <c r="AV79" s="110"/>
      <c r="AW79" s="110"/>
      <c r="AX79" s="110"/>
      <c r="AY79" s="110"/>
      <c r="AZ79" s="110"/>
      <c r="BA79" s="110"/>
      <c r="BB79" s="110"/>
      <c r="BC79" s="110"/>
      <c r="BD79" s="110"/>
      <c r="BE79" s="110"/>
      <c r="BF79" s="110"/>
      <c r="BG79" s="110"/>
      <c r="BH79" s="110"/>
      <c r="BI79" s="110"/>
      <c r="BJ79" s="110"/>
      <c r="BK79" s="110"/>
      <c r="BL79" s="110"/>
      <c r="BM79" s="110"/>
      <c r="BN79" s="110"/>
      <c r="BO79" s="110"/>
      <c r="BP79" s="110"/>
      <c r="BQ79" s="110"/>
      <c r="BR79" s="110"/>
      <c r="BS79" s="110"/>
      <c r="BT79" s="110"/>
      <c r="BU79" s="110"/>
      <c r="BV79" s="110"/>
      <c r="BW79" s="110"/>
      <c r="BX79" s="110"/>
      <c r="BY79" s="110"/>
      <c r="BZ79" s="110"/>
      <c r="CA79" s="110"/>
      <c r="CB79" s="110"/>
      <c r="CC79" s="110"/>
      <c r="CD79" s="110"/>
      <c r="CE79" s="110"/>
      <c r="CF79" s="110"/>
      <c r="CG79" s="110"/>
      <c r="CH79" s="110"/>
      <c r="CI79" s="110"/>
      <c r="CJ79" s="110"/>
      <c r="CK79" s="110"/>
      <c r="CL79" s="110"/>
      <c r="CM79" s="110"/>
      <c r="CN79" s="110"/>
      <c r="CO79" s="110"/>
    </row>
    <row r="80" spans="1:93">
      <c r="A80" s="110"/>
      <c r="B80" s="110"/>
      <c r="C80" s="110"/>
      <c r="D80" s="110"/>
      <c r="E80" s="110"/>
      <c r="F80" s="110"/>
      <c r="G80" s="110"/>
      <c r="H80" s="110"/>
      <c r="I80" s="110"/>
      <c r="J80" s="110"/>
      <c r="K80" s="110"/>
      <c r="L80" s="110"/>
      <c r="M80" s="110"/>
      <c r="N80" s="110"/>
      <c r="O80" s="110"/>
      <c r="P80" s="110"/>
      <c r="Q80" s="110"/>
      <c r="R80" s="110"/>
      <c r="S80" s="110"/>
      <c r="T80" s="110"/>
      <c r="U80" s="111"/>
      <c r="V80" s="111"/>
      <c r="W80" s="111"/>
      <c r="X80" s="112"/>
      <c r="Y80" s="112"/>
      <c r="Z80" s="112"/>
      <c r="AA80" s="112"/>
      <c r="AB80" s="112"/>
      <c r="AC80" s="111"/>
      <c r="AD80" s="111"/>
      <c r="AE80" s="111"/>
      <c r="AF80" s="111"/>
      <c r="AG80" s="111"/>
      <c r="AH80" s="111"/>
      <c r="AI80" s="110"/>
      <c r="AJ80" s="110"/>
      <c r="AK80" s="110"/>
      <c r="AL80" s="110"/>
      <c r="AM80" s="110"/>
      <c r="AN80" s="110"/>
      <c r="AO80" s="110"/>
      <c r="AP80" s="110"/>
      <c r="AQ80" s="110"/>
      <c r="AR80" s="110"/>
      <c r="AS80" s="110"/>
      <c r="AT80" s="110"/>
      <c r="AU80" s="110"/>
      <c r="AV80" s="110"/>
      <c r="AW80" s="110"/>
      <c r="AX80" s="110"/>
      <c r="AY80" s="110"/>
      <c r="AZ80" s="110"/>
      <c r="BA80" s="110"/>
      <c r="BB80" s="110"/>
      <c r="BC80" s="110"/>
      <c r="BD80" s="110"/>
      <c r="BE80" s="110"/>
      <c r="BF80" s="110"/>
      <c r="BG80" s="110"/>
      <c r="BH80" s="110"/>
      <c r="BI80" s="110"/>
      <c r="BJ80" s="110"/>
      <c r="BK80" s="110"/>
      <c r="BL80" s="110"/>
      <c r="BM80" s="110"/>
      <c r="BN80" s="110"/>
      <c r="BO80" s="110"/>
      <c r="BP80" s="110"/>
      <c r="BQ80" s="110"/>
      <c r="BR80" s="110"/>
      <c r="BS80" s="110"/>
      <c r="BT80" s="110"/>
      <c r="BU80" s="110"/>
      <c r="BV80" s="110"/>
      <c r="BW80" s="110"/>
      <c r="BX80" s="110"/>
      <c r="BY80" s="110"/>
      <c r="BZ80" s="110"/>
      <c r="CA80" s="110"/>
      <c r="CB80" s="110"/>
      <c r="CC80" s="110"/>
      <c r="CD80" s="110"/>
      <c r="CE80" s="110"/>
      <c r="CF80" s="110"/>
      <c r="CG80" s="110"/>
      <c r="CH80" s="110"/>
      <c r="CI80" s="110"/>
      <c r="CJ80" s="110"/>
      <c r="CK80" s="110"/>
      <c r="CL80" s="110"/>
      <c r="CM80" s="110"/>
      <c r="CN80" s="110"/>
      <c r="CO80" s="110"/>
    </row>
    <row r="81" spans="1:93">
      <c r="A81" s="110"/>
      <c r="B81" s="110"/>
      <c r="C81" s="110"/>
      <c r="D81" s="110"/>
      <c r="E81" s="110"/>
      <c r="F81" s="110"/>
      <c r="G81" s="110"/>
      <c r="H81" s="110"/>
      <c r="I81" s="110"/>
      <c r="J81" s="110"/>
      <c r="K81" s="110"/>
      <c r="L81" s="110"/>
      <c r="M81" s="110"/>
      <c r="N81" s="110"/>
      <c r="O81" s="110"/>
      <c r="P81" s="110"/>
      <c r="Q81" s="110"/>
      <c r="R81" s="110"/>
      <c r="S81" s="110"/>
      <c r="T81" s="110"/>
      <c r="U81" s="111"/>
      <c r="V81" s="111"/>
      <c r="W81" s="111"/>
      <c r="X81" s="112"/>
      <c r="Y81" s="112"/>
      <c r="Z81" s="112"/>
      <c r="AA81" s="112"/>
      <c r="AB81" s="112"/>
      <c r="AC81" s="111"/>
      <c r="AD81" s="111"/>
      <c r="AE81" s="111"/>
      <c r="AF81" s="111"/>
      <c r="AG81" s="111"/>
      <c r="AH81" s="111"/>
      <c r="AI81" s="110"/>
      <c r="AJ81" s="110"/>
      <c r="AK81" s="110"/>
      <c r="AL81" s="110"/>
      <c r="AM81" s="110"/>
      <c r="AN81" s="110"/>
      <c r="AO81" s="110"/>
      <c r="AP81" s="110"/>
      <c r="AQ81" s="110"/>
      <c r="AR81" s="110"/>
      <c r="AS81" s="110"/>
      <c r="AT81" s="110"/>
      <c r="AU81" s="110"/>
      <c r="AV81" s="110"/>
      <c r="AW81" s="110"/>
      <c r="AX81" s="110"/>
      <c r="AY81" s="110"/>
      <c r="AZ81" s="110"/>
      <c r="BA81" s="110"/>
      <c r="BB81" s="110"/>
      <c r="BC81" s="110"/>
      <c r="BD81" s="110"/>
      <c r="BE81" s="110"/>
      <c r="BF81" s="110"/>
      <c r="BG81" s="110"/>
      <c r="BH81" s="110"/>
      <c r="BI81" s="110"/>
      <c r="BJ81" s="110"/>
      <c r="BK81" s="110"/>
      <c r="BL81" s="110"/>
      <c r="BM81" s="110"/>
      <c r="BN81" s="110"/>
      <c r="BO81" s="110"/>
      <c r="BP81" s="110"/>
      <c r="BQ81" s="110"/>
      <c r="BR81" s="110"/>
      <c r="BS81" s="110"/>
      <c r="BT81" s="110"/>
      <c r="BU81" s="110"/>
      <c r="BV81" s="110"/>
      <c r="BW81" s="110"/>
      <c r="BX81" s="110"/>
      <c r="BY81" s="110"/>
      <c r="BZ81" s="110"/>
      <c r="CA81" s="110"/>
      <c r="CB81" s="110"/>
      <c r="CC81" s="110"/>
      <c r="CD81" s="110"/>
      <c r="CE81" s="110"/>
      <c r="CF81" s="110"/>
      <c r="CG81" s="110"/>
      <c r="CH81" s="110"/>
      <c r="CI81" s="110"/>
      <c r="CJ81" s="110"/>
      <c r="CK81" s="110"/>
      <c r="CL81" s="110"/>
      <c r="CM81" s="110"/>
      <c r="CN81" s="110"/>
      <c r="CO81" s="110"/>
    </row>
    <row r="82" spans="1:93">
      <c r="A82" s="110"/>
      <c r="B82" s="110"/>
      <c r="C82" s="110"/>
      <c r="D82" s="110"/>
      <c r="E82" s="110"/>
      <c r="F82" s="110"/>
      <c r="G82" s="110"/>
      <c r="H82" s="110"/>
      <c r="I82" s="110"/>
      <c r="J82" s="110"/>
      <c r="K82" s="110"/>
      <c r="L82" s="110"/>
      <c r="M82" s="110"/>
      <c r="N82" s="110"/>
      <c r="O82" s="110"/>
      <c r="P82" s="110"/>
      <c r="Q82" s="110"/>
      <c r="R82" s="110"/>
      <c r="S82" s="110"/>
      <c r="T82" s="110"/>
      <c r="U82" s="111"/>
      <c r="V82" s="111"/>
      <c r="W82" s="111"/>
      <c r="X82" s="112"/>
      <c r="Y82" s="112"/>
      <c r="Z82" s="112"/>
      <c r="AA82" s="112"/>
      <c r="AB82" s="112"/>
      <c r="AC82" s="111"/>
      <c r="AD82" s="111"/>
      <c r="AE82" s="111"/>
      <c r="AF82" s="111"/>
      <c r="AG82" s="111"/>
      <c r="AH82" s="111"/>
      <c r="AI82" s="110"/>
      <c r="AJ82" s="110"/>
      <c r="AK82" s="110"/>
      <c r="AL82" s="110"/>
      <c r="AM82" s="110"/>
      <c r="AN82" s="110"/>
      <c r="AO82" s="110"/>
      <c r="AP82" s="110"/>
      <c r="AQ82" s="110"/>
      <c r="AR82" s="110"/>
      <c r="AS82" s="110"/>
      <c r="AT82" s="110"/>
      <c r="AU82" s="110"/>
      <c r="AV82" s="110"/>
      <c r="AW82" s="110"/>
      <c r="AX82" s="110"/>
      <c r="AY82" s="110"/>
      <c r="AZ82" s="110"/>
      <c r="BA82" s="110"/>
      <c r="BB82" s="110"/>
      <c r="BC82" s="110"/>
      <c r="BD82" s="110"/>
      <c r="BE82" s="110"/>
      <c r="BF82" s="110"/>
      <c r="BG82" s="110"/>
      <c r="BH82" s="110"/>
      <c r="BI82" s="110"/>
      <c r="BJ82" s="110"/>
      <c r="BK82" s="110"/>
      <c r="BL82" s="110"/>
      <c r="BM82" s="110"/>
      <c r="BN82" s="110"/>
      <c r="BO82" s="110"/>
      <c r="BP82" s="110"/>
      <c r="BQ82" s="110"/>
      <c r="BR82" s="110"/>
      <c r="BS82" s="110"/>
      <c r="BT82" s="110"/>
      <c r="BU82" s="110"/>
      <c r="BV82" s="110"/>
      <c r="BW82" s="110"/>
      <c r="BX82" s="110"/>
      <c r="BY82" s="110"/>
      <c r="BZ82" s="110"/>
      <c r="CA82" s="110"/>
      <c r="CB82" s="110"/>
      <c r="CC82" s="110"/>
      <c r="CD82" s="110"/>
      <c r="CE82" s="110"/>
      <c r="CF82" s="110"/>
      <c r="CG82" s="110"/>
      <c r="CH82" s="110"/>
      <c r="CI82" s="110"/>
      <c r="CJ82" s="110"/>
      <c r="CK82" s="110"/>
      <c r="CL82" s="110"/>
      <c r="CM82" s="110"/>
      <c r="CN82" s="110"/>
      <c r="CO82" s="110"/>
    </row>
    <row r="83" spans="1:93">
      <c r="A83" s="110"/>
      <c r="B83" s="110"/>
      <c r="C83" s="110"/>
      <c r="D83" s="110"/>
      <c r="E83" s="110"/>
      <c r="F83" s="110"/>
      <c r="G83" s="110"/>
      <c r="H83" s="110"/>
      <c r="I83" s="110"/>
      <c r="J83" s="110"/>
      <c r="K83" s="110"/>
      <c r="L83" s="110"/>
      <c r="M83" s="110"/>
      <c r="N83" s="110"/>
      <c r="O83" s="110"/>
      <c r="P83" s="110"/>
      <c r="Q83" s="110"/>
      <c r="R83" s="110"/>
      <c r="S83" s="110"/>
      <c r="T83" s="110"/>
      <c r="U83" s="111"/>
      <c r="V83" s="111"/>
      <c r="W83" s="111"/>
      <c r="X83" s="112"/>
      <c r="Y83" s="112"/>
      <c r="Z83" s="112"/>
      <c r="AA83" s="112"/>
      <c r="AB83" s="112"/>
      <c r="AC83" s="111"/>
      <c r="AD83" s="111"/>
      <c r="AE83" s="111"/>
      <c r="AF83" s="111"/>
      <c r="AG83" s="111"/>
      <c r="AH83" s="111"/>
      <c r="AI83" s="110"/>
      <c r="AJ83" s="110"/>
      <c r="AK83" s="110"/>
      <c r="AL83" s="110"/>
      <c r="AM83" s="110"/>
      <c r="AN83" s="110"/>
      <c r="AO83" s="110"/>
      <c r="AP83" s="110"/>
      <c r="AQ83" s="110"/>
      <c r="AR83" s="110"/>
      <c r="AS83" s="110"/>
      <c r="AT83" s="110"/>
      <c r="AU83" s="110"/>
      <c r="AV83" s="110"/>
      <c r="AW83" s="110"/>
      <c r="AX83" s="110"/>
      <c r="AY83" s="110"/>
      <c r="AZ83" s="110"/>
      <c r="BA83" s="110"/>
      <c r="BB83" s="110"/>
      <c r="BC83" s="110"/>
      <c r="BD83" s="110"/>
      <c r="BE83" s="110"/>
      <c r="BF83" s="110"/>
      <c r="BG83" s="110"/>
      <c r="BH83" s="110"/>
      <c r="BI83" s="110"/>
      <c r="BJ83" s="110"/>
      <c r="BK83" s="110"/>
      <c r="BL83" s="110"/>
      <c r="BM83" s="110"/>
      <c r="BN83" s="110"/>
      <c r="BO83" s="110"/>
      <c r="BP83" s="110"/>
      <c r="BQ83" s="110"/>
      <c r="BR83" s="110"/>
      <c r="BS83" s="110"/>
      <c r="BT83" s="110"/>
      <c r="BU83" s="110"/>
      <c r="BV83" s="110"/>
      <c r="BW83" s="110"/>
      <c r="BX83" s="110"/>
      <c r="BY83" s="110"/>
      <c r="BZ83" s="110"/>
      <c r="CA83" s="110"/>
      <c r="CB83" s="110"/>
      <c r="CC83" s="110"/>
      <c r="CD83" s="110"/>
      <c r="CE83" s="110"/>
      <c r="CF83" s="110"/>
      <c r="CG83" s="110"/>
      <c r="CH83" s="110"/>
      <c r="CI83" s="110"/>
      <c r="CJ83" s="110"/>
      <c r="CK83" s="110"/>
      <c r="CL83" s="110"/>
      <c r="CM83" s="110"/>
      <c r="CN83" s="110"/>
      <c r="CO83" s="110"/>
    </row>
    <row r="84" spans="1:93">
      <c r="A84" s="110"/>
      <c r="B84" s="110"/>
      <c r="C84" s="110"/>
      <c r="D84" s="110"/>
      <c r="E84" s="110"/>
      <c r="F84" s="110"/>
      <c r="G84" s="110"/>
      <c r="H84" s="110"/>
      <c r="I84" s="110"/>
      <c r="J84" s="110"/>
      <c r="K84" s="110"/>
      <c r="L84" s="110"/>
      <c r="M84" s="110"/>
      <c r="N84" s="110"/>
      <c r="O84" s="110"/>
      <c r="P84" s="110"/>
      <c r="Q84" s="110"/>
      <c r="R84" s="110"/>
      <c r="S84" s="110"/>
      <c r="T84" s="110"/>
      <c r="U84" s="111"/>
      <c r="V84" s="111"/>
      <c r="W84" s="111"/>
      <c r="X84" s="112"/>
      <c r="Y84" s="112"/>
      <c r="Z84" s="112"/>
      <c r="AA84" s="112"/>
      <c r="AB84" s="112"/>
      <c r="AC84" s="111"/>
      <c r="AD84" s="111"/>
      <c r="AE84" s="111"/>
      <c r="AF84" s="111"/>
      <c r="AG84" s="111"/>
      <c r="AH84" s="111"/>
      <c r="AI84" s="110"/>
      <c r="AJ84" s="110"/>
      <c r="AK84" s="110"/>
      <c r="AL84" s="110"/>
      <c r="AM84" s="110"/>
      <c r="AN84" s="110"/>
      <c r="AO84" s="110"/>
      <c r="AP84" s="110"/>
      <c r="AQ84" s="110"/>
      <c r="AR84" s="110"/>
      <c r="AS84" s="110"/>
      <c r="AT84" s="110"/>
      <c r="AU84" s="110"/>
      <c r="AV84" s="110"/>
      <c r="AW84" s="110"/>
      <c r="AX84" s="110"/>
      <c r="AY84" s="110"/>
      <c r="AZ84" s="110"/>
      <c r="BA84" s="110"/>
      <c r="BB84" s="110"/>
      <c r="BC84" s="110"/>
      <c r="BD84" s="110"/>
      <c r="BE84" s="110"/>
      <c r="BF84" s="110"/>
      <c r="BG84" s="110"/>
      <c r="BH84" s="110"/>
      <c r="BI84" s="110"/>
      <c r="BJ84" s="110"/>
      <c r="BK84" s="110"/>
      <c r="BL84" s="110"/>
      <c r="BM84" s="110"/>
      <c r="BN84" s="110"/>
      <c r="BO84" s="110"/>
      <c r="BP84" s="110"/>
      <c r="BQ84" s="110"/>
      <c r="BR84" s="110"/>
      <c r="BS84" s="110"/>
      <c r="BT84" s="110"/>
      <c r="BU84" s="110"/>
      <c r="BV84" s="110"/>
      <c r="BW84" s="110"/>
      <c r="BX84" s="110"/>
      <c r="BY84" s="110"/>
      <c r="BZ84" s="110"/>
      <c r="CA84" s="110"/>
      <c r="CB84" s="110"/>
      <c r="CC84" s="110"/>
      <c r="CD84" s="110"/>
      <c r="CE84" s="110"/>
      <c r="CF84" s="110"/>
      <c r="CG84" s="110"/>
      <c r="CH84" s="110"/>
      <c r="CI84" s="110"/>
      <c r="CJ84" s="110"/>
      <c r="CK84" s="110"/>
      <c r="CL84" s="110"/>
      <c r="CM84" s="110"/>
      <c r="CN84" s="110"/>
      <c r="CO84" s="110"/>
    </row>
    <row r="85" spans="1:93">
      <c r="A85" s="110"/>
      <c r="B85" s="110"/>
      <c r="C85" s="110"/>
      <c r="D85" s="110"/>
      <c r="E85" s="110"/>
      <c r="F85" s="110"/>
      <c r="G85" s="110"/>
      <c r="H85" s="110"/>
      <c r="I85" s="110"/>
      <c r="J85" s="110"/>
      <c r="K85" s="110"/>
      <c r="L85" s="110"/>
      <c r="M85" s="110"/>
      <c r="N85" s="110"/>
      <c r="O85" s="110"/>
      <c r="P85" s="110"/>
      <c r="Q85" s="110"/>
      <c r="R85" s="110"/>
      <c r="S85" s="110"/>
      <c r="T85" s="110"/>
      <c r="U85" s="111"/>
      <c r="V85" s="111"/>
      <c r="W85" s="111"/>
      <c r="X85" s="112"/>
      <c r="Y85" s="112"/>
      <c r="Z85" s="112"/>
      <c r="AA85" s="112"/>
      <c r="AB85" s="112"/>
      <c r="AC85" s="111"/>
      <c r="AD85" s="111"/>
      <c r="AE85" s="111"/>
      <c r="AF85" s="111"/>
      <c r="AG85" s="111"/>
      <c r="AH85" s="111"/>
      <c r="AI85" s="110"/>
      <c r="AJ85" s="110"/>
      <c r="AK85" s="110"/>
      <c r="AL85" s="110"/>
      <c r="AM85" s="110"/>
      <c r="AN85" s="110"/>
      <c r="AO85" s="110"/>
      <c r="AP85" s="110"/>
      <c r="AQ85" s="110"/>
      <c r="AR85" s="110"/>
      <c r="AS85" s="110"/>
      <c r="AT85" s="110"/>
      <c r="AU85" s="110"/>
      <c r="AV85" s="110"/>
      <c r="AW85" s="110"/>
      <c r="AX85" s="110"/>
      <c r="AY85" s="110"/>
      <c r="AZ85" s="110"/>
      <c r="BA85" s="110"/>
      <c r="BB85" s="110"/>
      <c r="BC85" s="110"/>
      <c r="BD85" s="110"/>
      <c r="BE85" s="110"/>
      <c r="BF85" s="110"/>
      <c r="BG85" s="110"/>
      <c r="BH85" s="110"/>
      <c r="BI85" s="110"/>
      <c r="BJ85" s="110"/>
      <c r="BK85" s="110"/>
      <c r="BL85" s="110"/>
      <c r="BM85" s="110"/>
      <c r="BN85" s="110"/>
      <c r="BO85" s="110"/>
      <c r="BP85" s="110"/>
      <c r="BQ85" s="110"/>
      <c r="BR85" s="110"/>
      <c r="BS85" s="110"/>
      <c r="BT85" s="110"/>
      <c r="BU85" s="110"/>
      <c r="BV85" s="110"/>
      <c r="BW85" s="110"/>
      <c r="BX85" s="110"/>
      <c r="BY85" s="110"/>
      <c r="BZ85" s="110"/>
      <c r="CA85" s="110"/>
      <c r="CB85" s="110"/>
      <c r="CC85" s="110"/>
      <c r="CD85" s="110"/>
      <c r="CE85" s="110"/>
      <c r="CF85" s="110"/>
      <c r="CG85" s="110"/>
      <c r="CH85" s="110"/>
      <c r="CI85" s="110"/>
      <c r="CJ85" s="110"/>
      <c r="CK85" s="110"/>
      <c r="CL85" s="110"/>
      <c r="CM85" s="110"/>
      <c r="CN85" s="110"/>
      <c r="CO85" s="110"/>
    </row>
    <row r="86" spans="1:93">
      <c r="A86" s="110"/>
      <c r="B86" s="110"/>
      <c r="C86" s="110"/>
      <c r="D86" s="110"/>
      <c r="E86" s="110"/>
      <c r="F86" s="110"/>
      <c r="G86" s="110"/>
      <c r="H86" s="110"/>
      <c r="I86" s="110"/>
      <c r="J86" s="110"/>
      <c r="K86" s="110"/>
      <c r="L86" s="110"/>
      <c r="M86" s="110"/>
      <c r="N86" s="110"/>
      <c r="O86" s="110"/>
      <c r="P86" s="110"/>
      <c r="Q86" s="110"/>
      <c r="R86" s="110"/>
      <c r="S86" s="110"/>
      <c r="T86" s="110"/>
      <c r="U86" s="111"/>
      <c r="V86" s="111"/>
      <c r="W86" s="111"/>
      <c r="X86" s="112"/>
      <c r="Y86" s="112"/>
      <c r="Z86" s="112"/>
      <c r="AA86" s="112"/>
      <c r="AB86" s="112"/>
      <c r="AC86" s="111"/>
      <c r="AD86" s="111"/>
      <c r="AE86" s="111"/>
      <c r="AF86" s="111"/>
      <c r="AG86" s="111"/>
      <c r="AH86" s="111"/>
      <c r="AI86" s="110"/>
      <c r="AJ86" s="110"/>
      <c r="AK86" s="110"/>
      <c r="AL86" s="110"/>
      <c r="AM86" s="110"/>
      <c r="AN86" s="110"/>
      <c r="AO86" s="110"/>
      <c r="AP86" s="110"/>
      <c r="AQ86" s="110"/>
      <c r="AR86" s="110"/>
      <c r="AS86" s="110"/>
      <c r="AT86" s="110"/>
      <c r="AU86" s="110"/>
      <c r="AV86" s="110"/>
      <c r="AW86" s="110"/>
      <c r="AX86" s="110"/>
      <c r="AY86" s="110"/>
      <c r="AZ86" s="110"/>
      <c r="BA86" s="110"/>
      <c r="BB86" s="110"/>
      <c r="BC86" s="110"/>
      <c r="BD86" s="110"/>
      <c r="BE86" s="110"/>
      <c r="BF86" s="110"/>
      <c r="BG86" s="110"/>
      <c r="BH86" s="110"/>
      <c r="BI86" s="110"/>
      <c r="BJ86" s="110"/>
      <c r="BK86" s="110"/>
      <c r="BL86" s="110"/>
      <c r="BM86" s="110"/>
      <c r="BN86" s="110"/>
      <c r="BO86" s="110"/>
      <c r="BP86" s="110"/>
      <c r="BQ86" s="110"/>
      <c r="BR86" s="110"/>
      <c r="BS86" s="110"/>
      <c r="BT86" s="110"/>
      <c r="BU86" s="110"/>
      <c r="BV86" s="110"/>
      <c r="BW86" s="110"/>
      <c r="BX86" s="110"/>
      <c r="BY86" s="110"/>
      <c r="BZ86" s="110"/>
      <c r="CA86" s="110"/>
      <c r="CB86" s="110"/>
      <c r="CC86" s="110"/>
      <c r="CD86" s="110"/>
      <c r="CE86" s="110"/>
      <c r="CF86" s="110"/>
      <c r="CG86" s="110"/>
      <c r="CH86" s="110"/>
      <c r="CI86" s="110"/>
      <c r="CJ86" s="110"/>
      <c r="CK86" s="110"/>
      <c r="CL86" s="110"/>
      <c r="CM86" s="110"/>
      <c r="CN86" s="110"/>
      <c r="CO86" s="110"/>
    </row>
    <row r="87" spans="1:93">
      <c r="A87" s="110"/>
      <c r="B87" s="110"/>
      <c r="C87" s="110"/>
      <c r="D87" s="110"/>
      <c r="E87" s="110"/>
      <c r="F87" s="110"/>
      <c r="G87" s="110"/>
      <c r="H87" s="110"/>
      <c r="I87" s="110"/>
      <c r="J87" s="110"/>
      <c r="K87" s="110"/>
      <c r="L87" s="110"/>
      <c r="M87" s="110"/>
      <c r="N87" s="110"/>
      <c r="O87" s="110"/>
      <c r="P87" s="110"/>
      <c r="Q87" s="110"/>
      <c r="R87" s="110"/>
      <c r="S87" s="110"/>
      <c r="T87" s="110"/>
      <c r="U87" s="111"/>
      <c r="V87" s="111"/>
      <c r="W87" s="111"/>
      <c r="X87" s="112"/>
      <c r="Y87" s="112"/>
      <c r="Z87" s="112"/>
      <c r="AA87" s="112"/>
      <c r="AB87" s="112"/>
      <c r="AC87" s="111"/>
      <c r="AD87" s="111"/>
      <c r="AE87" s="111"/>
      <c r="AF87" s="111"/>
      <c r="AG87" s="111"/>
      <c r="AH87" s="111"/>
      <c r="AI87" s="110"/>
      <c r="AJ87" s="110"/>
      <c r="AK87" s="110"/>
      <c r="AL87" s="110"/>
      <c r="AM87" s="110"/>
      <c r="AN87" s="110"/>
      <c r="AO87" s="110"/>
      <c r="AP87" s="110"/>
      <c r="AQ87" s="110"/>
      <c r="AR87" s="110"/>
      <c r="AS87" s="110"/>
      <c r="AT87" s="110"/>
      <c r="AU87" s="110"/>
      <c r="AV87" s="110"/>
      <c r="AW87" s="110"/>
      <c r="AX87" s="110"/>
      <c r="AY87" s="110"/>
      <c r="AZ87" s="110"/>
      <c r="BA87" s="110"/>
      <c r="BB87" s="110"/>
      <c r="BC87" s="110"/>
      <c r="BD87" s="110"/>
      <c r="BE87" s="110"/>
      <c r="BF87" s="110"/>
      <c r="BG87" s="110"/>
      <c r="BH87" s="110"/>
      <c r="BI87" s="110"/>
      <c r="BJ87" s="110"/>
      <c r="BK87" s="110"/>
      <c r="BL87" s="110"/>
      <c r="BM87" s="110"/>
      <c r="BN87" s="110"/>
      <c r="BO87" s="110"/>
      <c r="BP87" s="110"/>
      <c r="BQ87" s="110"/>
      <c r="BR87" s="110"/>
      <c r="BS87" s="110"/>
      <c r="BT87" s="110"/>
      <c r="BU87" s="110"/>
      <c r="BV87" s="110"/>
      <c r="BW87" s="110"/>
      <c r="BX87" s="110"/>
      <c r="BY87" s="110"/>
      <c r="BZ87" s="110"/>
      <c r="CA87" s="110"/>
      <c r="CB87" s="110"/>
      <c r="CC87" s="110"/>
      <c r="CD87" s="110"/>
      <c r="CE87" s="110"/>
      <c r="CF87" s="110"/>
      <c r="CG87" s="110"/>
      <c r="CH87" s="110"/>
      <c r="CI87" s="110"/>
      <c r="CJ87" s="110"/>
      <c r="CK87" s="110"/>
      <c r="CL87" s="110"/>
      <c r="CM87" s="110"/>
      <c r="CN87" s="110"/>
      <c r="CO87" s="110"/>
    </row>
    <row r="88" spans="1:93">
      <c r="A88" s="110"/>
      <c r="B88" s="110"/>
      <c r="C88" s="110"/>
      <c r="D88" s="110"/>
      <c r="E88" s="110"/>
      <c r="F88" s="110"/>
      <c r="G88" s="110"/>
      <c r="H88" s="110"/>
      <c r="I88" s="110"/>
      <c r="J88" s="110"/>
      <c r="K88" s="110"/>
      <c r="L88" s="110"/>
      <c r="M88" s="110"/>
      <c r="N88" s="110"/>
      <c r="O88" s="110"/>
      <c r="P88" s="110"/>
      <c r="Q88" s="110"/>
      <c r="R88" s="110"/>
      <c r="S88" s="110"/>
      <c r="T88" s="110"/>
      <c r="U88" s="111"/>
      <c r="V88" s="111"/>
      <c r="W88" s="111"/>
      <c r="X88" s="112"/>
      <c r="Y88" s="112"/>
      <c r="Z88" s="112"/>
      <c r="AA88" s="112"/>
      <c r="AB88" s="112"/>
      <c r="AC88" s="111"/>
      <c r="AD88" s="111"/>
      <c r="AE88" s="111"/>
      <c r="AF88" s="111"/>
      <c r="AG88" s="111"/>
      <c r="AH88" s="111"/>
      <c r="AI88" s="110"/>
      <c r="AJ88" s="110"/>
      <c r="AK88" s="110"/>
      <c r="AL88" s="110"/>
      <c r="AM88" s="110"/>
      <c r="AN88" s="110"/>
      <c r="AO88" s="110"/>
      <c r="AP88" s="110"/>
      <c r="AQ88" s="110"/>
      <c r="AR88" s="110"/>
      <c r="AS88" s="110"/>
      <c r="AT88" s="110"/>
      <c r="AU88" s="110"/>
      <c r="AV88" s="110"/>
      <c r="AW88" s="110"/>
      <c r="AX88" s="110"/>
      <c r="AY88" s="110"/>
      <c r="AZ88" s="110"/>
      <c r="BA88" s="110"/>
      <c r="BB88" s="110"/>
      <c r="BC88" s="110"/>
      <c r="BD88" s="110"/>
      <c r="BE88" s="110"/>
      <c r="BF88" s="110"/>
      <c r="BG88" s="110"/>
      <c r="BH88" s="110"/>
      <c r="BI88" s="110"/>
      <c r="BJ88" s="110"/>
      <c r="BK88" s="110"/>
      <c r="BL88" s="110"/>
      <c r="BM88" s="110"/>
      <c r="BN88" s="110"/>
      <c r="BO88" s="110"/>
      <c r="BP88" s="110"/>
      <c r="BQ88" s="110"/>
      <c r="BR88" s="110"/>
      <c r="BS88" s="110"/>
      <c r="BT88" s="110"/>
      <c r="BU88" s="110"/>
      <c r="BV88" s="110"/>
      <c r="BW88" s="110"/>
      <c r="BX88" s="110"/>
      <c r="BY88" s="110"/>
      <c r="BZ88" s="110"/>
      <c r="CA88" s="110"/>
      <c r="CB88" s="110"/>
      <c r="CC88" s="110"/>
      <c r="CD88" s="110"/>
      <c r="CE88" s="110"/>
      <c r="CF88" s="110"/>
      <c r="CG88" s="110"/>
      <c r="CH88" s="110"/>
      <c r="CI88" s="110"/>
      <c r="CJ88" s="110"/>
      <c r="CK88" s="110"/>
      <c r="CL88" s="110"/>
      <c r="CM88" s="110"/>
      <c r="CN88" s="110"/>
      <c r="CO88" s="110"/>
    </row>
    <row r="89" spans="1:93">
      <c r="A89" s="110"/>
      <c r="B89" s="110"/>
      <c r="C89" s="110"/>
      <c r="D89" s="110"/>
      <c r="E89" s="110"/>
      <c r="F89" s="110"/>
      <c r="G89" s="110"/>
      <c r="H89" s="110"/>
      <c r="I89" s="110"/>
      <c r="J89" s="110"/>
      <c r="K89" s="110"/>
      <c r="L89" s="110"/>
      <c r="M89" s="110"/>
      <c r="N89" s="110"/>
      <c r="O89" s="110"/>
      <c r="P89" s="110"/>
      <c r="Q89" s="110"/>
      <c r="R89" s="110"/>
      <c r="S89" s="110"/>
      <c r="T89" s="110"/>
      <c r="U89" s="111"/>
      <c r="V89" s="111"/>
      <c r="W89" s="111"/>
      <c r="X89" s="112"/>
      <c r="Y89" s="112"/>
      <c r="Z89" s="112"/>
      <c r="AA89" s="112"/>
      <c r="AB89" s="112"/>
      <c r="AC89" s="111"/>
      <c r="AD89" s="111"/>
      <c r="AE89" s="111"/>
      <c r="AF89" s="111"/>
      <c r="AG89" s="111"/>
      <c r="AH89" s="111"/>
      <c r="AI89" s="110"/>
      <c r="AJ89" s="110"/>
      <c r="AK89" s="110"/>
      <c r="AL89" s="110"/>
      <c r="AM89" s="110"/>
      <c r="AN89" s="110"/>
      <c r="AO89" s="110"/>
      <c r="AP89" s="110"/>
      <c r="AQ89" s="110"/>
      <c r="AR89" s="110"/>
      <c r="AS89" s="110"/>
      <c r="AT89" s="110"/>
      <c r="AU89" s="110"/>
      <c r="AV89" s="110"/>
      <c r="AW89" s="110"/>
      <c r="AX89" s="110"/>
      <c r="AY89" s="110"/>
      <c r="AZ89" s="110"/>
      <c r="BA89" s="110"/>
      <c r="BB89" s="110"/>
      <c r="BC89" s="110"/>
      <c r="BD89" s="110"/>
      <c r="BE89" s="110"/>
      <c r="BF89" s="110"/>
      <c r="BG89" s="110"/>
      <c r="BH89" s="110"/>
      <c r="BI89" s="110"/>
      <c r="BJ89" s="110"/>
      <c r="BK89" s="110"/>
      <c r="BL89" s="110"/>
      <c r="BM89" s="110"/>
      <c r="BN89" s="110"/>
      <c r="BO89" s="110"/>
      <c r="BP89" s="110"/>
      <c r="BQ89" s="110"/>
      <c r="BR89" s="110"/>
      <c r="BS89" s="110"/>
      <c r="BT89" s="110"/>
      <c r="BU89" s="110"/>
      <c r="BV89" s="110"/>
      <c r="BW89" s="110"/>
      <c r="BX89" s="110"/>
      <c r="BY89" s="110"/>
      <c r="BZ89" s="110"/>
      <c r="CA89" s="110"/>
      <c r="CB89" s="110"/>
      <c r="CC89" s="110"/>
      <c r="CD89" s="110"/>
      <c r="CE89" s="110"/>
      <c r="CF89" s="110"/>
      <c r="CG89" s="110"/>
      <c r="CH89" s="110"/>
      <c r="CI89" s="110"/>
      <c r="CJ89" s="110"/>
      <c r="CK89" s="110"/>
      <c r="CL89" s="110"/>
      <c r="CM89" s="110"/>
      <c r="CN89" s="110"/>
      <c r="CO89" s="110"/>
    </row>
    <row r="90" spans="1:93">
      <c r="A90" s="110"/>
      <c r="B90" s="110"/>
      <c r="C90" s="110"/>
      <c r="D90" s="110"/>
      <c r="E90" s="110"/>
      <c r="F90" s="110"/>
      <c r="G90" s="110"/>
      <c r="H90" s="110"/>
      <c r="I90" s="110"/>
      <c r="J90" s="110"/>
      <c r="K90" s="110"/>
      <c r="L90" s="110"/>
      <c r="M90" s="110"/>
      <c r="N90" s="110"/>
      <c r="O90" s="110"/>
      <c r="P90" s="110"/>
      <c r="Q90" s="110"/>
      <c r="R90" s="110"/>
      <c r="S90" s="110"/>
      <c r="T90" s="110"/>
      <c r="U90" s="111"/>
      <c r="V90" s="111"/>
      <c r="W90" s="111"/>
      <c r="X90" s="112"/>
      <c r="Y90" s="112"/>
      <c r="Z90" s="112"/>
      <c r="AA90" s="112"/>
      <c r="AB90" s="112"/>
      <c r="AC90" s="111"/>
      <c r="AD90" s="111"/>
      <c r="AE90" s="111"/>
      <c r="AF90" s="111"/>
      <c r="AG90" s="111"/>
      <c r="AH90" s="111"/>
      <c r="AI90" s="110"/>
      <c r="AJ90" s="110"/>
      <c r="AK90" s="110"/>
      <c r="AL90" s="110"/>
      <c r="AM90" s="110"/>
      <c r="AN90" s="110"/>
      <c r="AO90" s="110"/>
      <c r="AP90" s="110"/>
      <c r="AQ90" s="110"/>
      <c r="AR90" s="110"/>
      <c r="AS90" s="110"/>
      <c r="AT90" s="110"/>
      <c r="AU90" s="110"/>
      <c r="AV90" s="110"/>
      <c r="AW90" s="110"/>
      <c r="AX90" s="110"/>
      <c r="AY90" s="110"/>
      <c r="AZ90" s="110"/>
      <c r="BA90" s="110"/>
      <c r="BB90" s="110"/>
      <c r="BC90" s="110"/>
      <c r="BD90" s="110"/>
      <c r="BE90" s="110"/>
      <c r="BF90" s="110"/>
      <c r="BG90" s="110"/>
      <c r="BH90" s="110"/>
      <c r="BI90" s="110"/>
      <c r="BJ90" s="110"/>
      <c r="BK90" s="110"/>
      <c r="BL90" s="110"/>
      <c r="BM90" s="110"/>
      <c r="BN90" s="110"/>
      <c r="BO90" s="110"/>
      <c r="BP90" s="110"/>
      <c r="BQ90" s="110"/>
      <c r="BR90" s="110"/>
      <c r="BS90" s="110"/>
      <c r="BT90" s="110"/>
      <c r="BU90" s="110"/>
      <c r="BV90" s="110"/>
      <c r="BW90" s="110"/>
      <c r="BX90" s="110"/>
      <c r="BY90" s="110"/>
      <c r="BZ90" s="110"/>
      <c r="CA90" s="110"/>
      <c r="CB90" s="110"/>
      <c r="CC90" s="110"/>
      <c r="CD90" s="110"/>
      <c r="CE90" s="110"/>
      <c r="CF90" s="110"/>
      <c r="CG90" s="110"/>
      <c r="CH90" s="110"/>
      <c r="CI90" s="110"/>
      <c r="CJ90" s="110"/>
      <c r="CK90" s="110"/>
      <c r="CL90" s="110"/>
      <c r="CM90" s="110"/>
      <c r="CN90" s="110"/>
      <c r="CO90" s="110"/>
    </row>
    <row r="91" spans="1:93">
      <c r="A91" s="110"/>
      <c r="B91" s="110"/>
      <c r="C91" s="110"/>
      <c r="D91" s="110"/>
      <c r="E91" s="110"/>
      <c r="F91" s="110"/>
      <c r="G91" s="110"/>
      <c r="H91" s="110"/>
      <c r="I91" s="110"/>
      <c r="J91" s="110"/>
      <c r="K91" s="110"/>
      <c r="L91" s="110"/>
      <c r="M91" s="110"/>
      <c r="N91" s="110"/>
      <c r="O91" s="110"/>
      <c r="P91" s="110"/>
      <c r="Q91" s="110"/>
      <c r="R91" s="110"/>
      <c r="S91" s="110"/>
      <c r="T91" s="110"/>
      <c r="U91" s="111"/>
      <c r="V91" s="111"/>
      <c r="W91" s="111"/>
      <c r="X91" s="112"/>
      <c r="Y91" s="112"/>
      <c r="Z91" s="112"/>
      <c r="AA91" s="112"/>
      <c r="AB91" s="112"/>
      <c r="AC91" s="111"/>
      <c r="AD91" s="111"/>
      <c r="AE91" s="111"/>
      <c r="AF91" s="111"/>
      <c r="AG91" s="111"/>
      <c r="AH91" s="111"/>
      <c r="AI91" s="110"/>
      <c r="AJ91" s="110"/>
      <c r="AK91" s="110"/>
      <c r="AL91" s="110"/>
      <c r="AM91" s="110"/>
      <c r="AN91" s="110"/>
      <c r="AO91" s="110"/>
      <c r="AP91" s="110"/>
      <c r="AQ91" s="110"/>
      <c r="AR91" s="110"/>
      <c r="AS91" s="110"/>
      <c r="AT91" s="110"/>
      <c r="AU91" s="110"/>
      <c r="AV91" s="110"/>
      <c r="AW91" s="110"/>
      <c r="AX91" s="110"/>
      <c r="AY91" s="110"/>
      <c r="AZ91" s="110"/>
      <c r="BA91" s="110"/>
      <c r="BB91" s="110"/>
      <c r="BC91" s="110"/>
      <c r="BD91" s="110"/>
      <c r="BE91" s="110"/>
      <c r="BF91" s="110"/>
      <c r="BG91" s="110"/>
      <c r="BH91" s="110"/>
      <c r="BI91" s="110"/>
      <c r="BJ91" s="110"/>
      <c r="BK91" s="110"/>
      <c r="BL91" s="110"/>
      <c r="BM91" s="110"/>
      <c r="BN91" s="110"/>
      <c r="BO91" s="110"/>
      <c r="BP91" s="110"/>
      <c r="BQ91" s="110"/>
      <c r="BR91" s="110"/>
      <c r="BS91" s="110"/>
      <c r="BT91" s="110"/>
      <c r="BU91" s="110"/>
      <c r="BV91" s="110"/>
      <c r="BW91" s="110"/>
      <c r="BX91" s="110"/>
      <c r="BY91" s="110"/>
      <c r="BZ91" s="110"/>
      <c r="CA91" s="110"/>
      <c r="CB91" s="110"/>
      <c r="CC91" s="110"/>
      <c r="CD91" s="110"/>
      <c r="CE91" s="110"/>
      <c r="CF91" s="110"/>
      <c r="CG91" s="110"/>
      <c r="CH91" s="110"/>
      <c r="CI91" s="110"/>
      <c r="CJ91" s="110"/>
      <c r="CK91" s="110"/>
      <c r="CL91" s="110"/>
      <c r="CM91" s="110"/>
      <c r="CN91" s="110"/>
      <c r="CO91" s="110"/>
    </row>
    <row r="92" spans="1:93">
      <c r="A92" s="110"/>
      <c r="B92" s="110"/>
      <c r="C92" s="110"/>
      <c r="D92" s="110"/>
      <c r="E92" s="110"/>
      <c r="F92" s="110"/>
      <c r="G92" s="110"/>
      <c r="H92" s="110"/>
      <c r="I92" s="110"/>
      <c r="J92" s="110"/>
      <c r="K92" s="110"/>
      <c r="L92" s="110"/>
      <c r="M92" s="110"/>
      <c r="N92" s="110"/>
      <c r="O92" s="110"/>
      <c r="P92" s="110"/>
      <c r="Q92" s="110"/>
      <c r="R92" s="110"/>
      <c r="S92" s="110"/>
      <c r="T92" s="110"/>
      <c r="U92" s="111"/>
      <c r="V92" s="111"/>
      <c r="W92" s="111"/>
      <c r="X92" s="112"/>
      <c r="Y92" s="112"/>
      <c r="Z92" s="112"/>
      <c r="AA92" s="112"/>
      <c r="AB92" s="112"/>
      <c r="AC92" s="111"/>
      <c r="AD92" s="111"/>
      <c r="AE92" s="111"/>
      <c r="AF92" s="111"/>
      <c r="AG92" s="111"/>
      <c r="AH92" s="111"/>
      <c r="AI92" s="110"/>
      <c r="AJ92" s="110"/>
      <c r="AK92" s="110"/>
      <c r="AL92" s="110"/>
      <c r="AM92" s="110"/>
      <c r="AN92" s="110"/>
      <c r="AO92" s="110"/>
      <c r="AP92" s="110"/>
      <c r="AQ92" s="110"/>
      <c r="AR92" s="110"/>
      <c r="AS92" s="110"/>
      <c r="AT92" s="110"/>
      <c r="AU92" s="110"/>
      <c r="AV92" s="110"/>
      <c r="AW92" s="110"/>
      <c r="AX92" s="110"/>
      <c r="AY92" s="110"/>
      <c r="AZ92" s="110"/>
      <c r="BA92" s="110"/>
      <c r="BB92" s="110"/>
      <c r="BC92" s="110"/>
      <c r="BD92" s="110"/>
      <c r="BE92" s="110"/>
      <c r="BF92" s="110"/>
      <c r="BG92" s="110"/>
      <c r="BH92" s="110"/>
      <c r="BI92" s="110"/>
      <c r="BJ92" s="110"/>
      <c r="BK92" s="110"/>
      <c r="BL92" s="110"/>
      <c r="BM92" s="110"/>
      <c r="BN92" s="110"/>
      <c r="BO92" s="110"/>
      <c r="BP92" s="110"/>
      <c r="BQ92" s="110"/>
      <c r="BR92" s="110"/>
      <c r="BS92" s="110"/>
      <c r="BT92" s="110"/>
      <c r="BU92" s="110"/>
      <c r="BV92" s="110"/>
      <c r="BW92" s="110"/>
      <c r="BX92" s="110"/>
      <c r="BY92" s="110"/>
      <c r="BZ92" s="110"/>
      <c r="CA92" s="110"/>
      <c r="CB92" s="110"/>
      <c r="CC92" s="110"/>
      <c r="CD92" s="110"/>
      <c r="CE92" s="110"/>
      <c r="CF92" s="110"/>
      <c r="CG92" s="110"/>
      <c r="CH92" s="110"/>
      <c r="CI92" s="110"/>
      <c r="CJ92" s="110"/>
      <c r="CK92" s="110"/>
      <c r="CL92" s="110"/>
      <c r="CM92" s="110"/>
      <c r="CN92" s="110"/>
      <c r="CO92" s="110"/>
    </row>
    <row r="93" spans="1:93">
      <c r="A93" s="110"/>
      <c r="B93" s="110"/>
      <c r="C93" s="110"/>
      <c r="D93" s="110"/>
      <c r="E93" s="110"/>
      <c r="F93" s="110"/>
      <c r="G93" s="110"/>
      <c r="H93" s="110"/>
      <c r="I93" s="110"/>
      <c r="J93" s="110"/>
      <c r="K93" s="110"/>
      <c r="L93" s="110"/>
      <c r="M93" s="110"/>
      <c r="N93" s="110"/>
      <c r="O93" s="110"/>
      <c r="P93" s="110"/>
      <c r="Q93" s="110"/>
      <c r="R93" s="110"/>
      <c r="S93" s="110"/>
      <c r="T93" s="110"/>
      <c r="U93" s="111"/>
      <c r="V93" s="111"/>
      <c r="W93" s="111"/>
      <c r="X93" s="112"/>
      <c r="Y93" s="112"/>
      <c r="Z93" s="112"/>
      <c r="AA93" s="112"/>
      <c r="AB93" s="112"/>
      <c r="AC93" s="111"/>
      <c r="AD93" s="111"/>
      <c r="AE93" s="111"/>
      <c r="AF93" s="111"/>
      <c r="AG93" s="111"/>
      <c r="AH93" s="111"/>
      <c r="AI93" s="110"/>
      <c r="AJ93" s="110"/>
      <c r="AK93" s="110"/>
      <c r="AL93" s="110"/>
      <c r="AM93" s="110"/>
      <c r="AN93" s="110"/>
      <c r="AO93" s="110"/>
      <c r="AP93" s="110"/>
      <c r="AQ93" s="110"/>
      <c r="AR93" s="110"/>
      <c r="AS93" s="110"/>
      <c r="AT93" s="110"/>
      <c r="AU93" s="110"/>
      <c r="AV93" s="110"/>
      <c r="AW93" s="110"/>
      <c r="AX93" s="110"/>
      <c r="AY93" s="110"/>
      <c r="AZ93" s="110"/>
      <c r="BA93" s="110"/>
      <c r="BB93" s="110"/>
      <c r="BC93" s="110"/>
      <c r="BD93" s="110"/>
      <c r="BE93" s="110"/>
      <c r="BF93" s="110"/>
      <c r="BG93" s="110"/>
      <c r="BH93" s="110"/>
      <c r="BI93" s="110"/>
      <c r="BJ93" s="110"/>
      <c r="BK93" s="110"/>
      <c r="BL93" s="110"/>
      <c r="BM93" s="110"/>
      <c r="BN93" s="110"/>
      <c r="BO93" s="110"/>
      <c r="BP93" s="110"/>
      <c r="BQ93" s="110"/>
      <c r="BR93" s="110"/>
      <c r="BS93" s="110"/>
      <c r="BT93" s="110"/>
      <c r="BU93" s="110"/>
      <c r="BV93" s="110"/>
      <c r="BW93" s="110"/>
      <c r="BX93" s="110"/>
      <c r="BY93" s="110"/>
      <c r="BZ93" s="110"/>
      <c r="CA93" s="110"/>
      <c r="CB93" s="110"/>
      <c r="CC93" s="110"/>
      <c r="CD93" s="110"/>
      <c r="CE93" s="110"/>
      <c r="CF93" s="110"/>
      <c r="CG93" s="110"/>
      <c r="CH93" s="110"/>
      <c r="CI93" s="110"/>
      <c r="CJ93" s="110"/>
      <c r="CK93" s="110"/>
      <c r="CL93" s="110"/>
      <c r="CM93" s="110"/>
      <c r="CN93" s="110"/>
      <c r="CO93" s="110"/>
    </row>
    <row r="94" spans="1:93">
      <c r="A94" s="110"/>
      <c r="B94" s="110"/>
      <c r="C94" s="110"/>
      <c r="D94" s="110"/>
      <c r="E94" s="110"/>
      <c r="F94" s="110"/>
      <c r="G94" s="110"/>
      <c r="H94" s="110"/>
      <c r="I94" s="110"/>
      <c r="J94" s="110"/>
      <c r="K94" s="110"/>
      <c r="L94" s="110"/>
      <c r="M94" s="110"/>
      <c r="N94" s="110"/>
      <c r="O94" s="110"/>
      <c r="P94" s="110"/>
      <c r="Q94" s="110"/>
      <c r="R94" s="110"/>
      <c r="S94" s="110"/>
      <c r="T94" s="110"/>
      <c r="U94" s="111"/>
      <c r="V94" s="111"/>
      <c r="W94" s="111"/>
      <c r="X94" s="112"/>
      <c r="Y94" s="112"/>
      <c r="Z94" s="112"/>
      <c r="AA94" s="112"/>
      <c r="AB94" s="112"/>
      <c r="AC94" s="111"/>
      <c r="AD94" s="111"/>
      <c r="AE94" s="111"/>
      <c r="AF94" s="111"/>
      <c r="AG94" s="111"/>
      <c r="AH94" s="111"/>
      <c r="AI94" s="110"/>
      <c r="AJ94" s="110"/>
      <c r="AK94" s="110"/>
      <c r="AL94" s="110"/>
      <c r="AM94" s="110"/>
      <c r="AN94" s="110"/>
      <c r="AO94" s="110"/>
      <c r="AP94" s="110"/>
      <c r="AQ94" s="110"/>
      <c r="AR94" s="110"/>
      <c r="AS94" s="110"/>
      <c r="AT94" s="110"/>
      <c r="AU94" s="110"/>
      <c r="AV94" s="110"/>
      <c r="AW94" s="110"/>
      <c r="AX94" s="110"/>
      <c r="AY94" s="110"/>
      <c r="AZ94" s="110"/>
      <c r="BA94" s="110"/>
      <c r="BB94" s="110"/>
      <c r="BC94" s="110"/>
      <c r="BD94" s="110"/>
      <c r="BE94" s="110"/>
      <c r="BF94" s="110"/>
      <c r="BG94" s="110"/>
      <c r="BH94" s="110"/>
      <c r="BI94" s="110"/>
      <c r="BJ94" s="110"/>
      <c r="BK94" s="110"/>
      <c r="BL94" s="110"/>
      <c r="BM94" s="110"/>
      <c r="BN94" s="110"/>
      <c r="BO94" s="110"/>
      <c r="BP94" s="110"/>
      <c r="BQ94" s="110"/>
      <c r="BR94" s="110"/>
      <c r="BS94" s="110"/>
      <c r="BT94" s="110"/>
      <c r="BU94" s="110"/>
      <c r="BV94" s="110"/>
      <c r="BW94" s="110"/>
      <c r="BX94" s="110"/>
      <c r="BY94" s="110"/>
      <c r="BZ94" s="110"/>
      <c r="CA94" s="110"/>
      <c r="CB94" s="110"/>
      <c r="CC94" s="110"/>
      <c r="CD94" s="110"/>
      <c r="CE94" s="110"/>
      <c r="CF94" s="110"/>
      <c r="CG94" s="110"/>
      <c r="CH94" s="110"/>
      <c r="CI94" s="110"/>
      <c r="CJ94" s="110"/>
      <c r="CK94" s="110"/>
      <c r="CL94" s="110"/>
      <c r="CM94" s="110"/>
      <c r="CN94" s="110"/>
      <c r="CO94" s="110"/>
    </row>
    <row r="95" spans="1:93">
      <c r="A95" s="110"/>
      <c r="B95" s="110"/>
      <c r="C95" s="110"/>
      <c r="D95" s="110"/>
      <c r="E95" s="110"/>
      <c r="F95" s="110"/>
      <c r="G95" s="110"/>
      <c r="H95" s="110"/>
      <c r="I95" s="110"/>
      <c r="J95" s="110"/>
      <c r="K95" s="110"/>
      <c r="L95" s="110"/>
      <c r="M95" s="110"/>
      <c r="N95" s="110"/>
      <c r="O95" s="110"/>
      <c r="P95" s="110"/>
      <c r="Q95" s="110"/>
      <c r="R95" s="110"/>
      <c r="S95" s="110"/>
      <c r="T95" s="110"/>
      <c r="U95" s="111"/>
      <c r="V95" s="111"/>
      <c r="W95" s="111"/>
      <c r="X95" s="112"/>
      <c r="Y95" s="112"/>
      <c r="Z95" s="112"/>
      <c r="AA95" s="112"/>
      <c r="AB95" s="112"/>
      <c r="AC95" s="111"/>
      <c r="AD95" s="111"/>
      <c r="AE95" s="111"/>
      <c r="AF95" s="111"/>
      <c r="AG95" s="111"/>
      <c r="AH95" s="111"/>
      <c r="AI95" s="110"/>
      <c r="AJ95" s="110"/>
      <c r="AK95" s="110"/>
      <c r="AL95" s="110"/>
      <c r="AM95" s="110"/>
      <c r="AN95" s="110"/>
      <c r="AO95" s="110"/>
      <c r="AP95" s="110"/>
      <c r="AQ95" s="110"/>
      <c r="AR95" s="110"/>
      <c r="AS95" s="110"/>
      <c r="AT95" s="110"/>
      <c r="AU95" s="110"/>
      <c r="AV95" s="110"/>
      <c r="AW95" s="110"/>
      <c r="AX95" s="110"/>
      <c r="AY95" s="110"/>
      <c r="AZ95" s="110"/>
      <c r="BA95" s="110"/>
      <c r="BB95" s="110"/>
      <c r="BC95" s="110"/>
      <c r="BD95" s="110"/>
      <c r="BE95" s="110"/>
      <c r="BF95" s="110"/>
      <c r="BG95" s="110"/>
      <c r="BH95" s="110"/>
      <c r="BI95" s="110"/>
      <c r="BJ95" s="110"/>
      <c r="BK95" s="110"/>
      <c r="BL95" s="110"/>
      <c r="BM95" s="110"/>
      <c r="BN95" s="110"/>
      <c r="BO95" s="110"/>
      <c r="BP95" s="110"/>
      <c r="BQ95" s="110"/>
      <c r="BR95" s="110"/>
      <c r="BS95" s="110"/>
      <c r="BT95" s="110"/>
      <c r="BU95" s="110"/>
      <c r="BV95" s="110"/>
      <c r="BW95" s="110"/>
      <c r="BX95" s="110"/>
      <c r="BY95" s="110"/>
      <c r="BZ95" s="110"/>
      <c r="CA95" s="110"/>
      <c r="CB95" s="110"/>
      <c r="CC95" s="110"/>
      <c r="CD95" s="110"/>
      <c r="CE95" s="110"/>
      <c r="CF95" s="110"/>
      <c r="CG95" s="110"/>
      <c r="CH95" s="110"/>
      <c r="CI95" s="110"/>
      <c r="CJ95" s="110"/>
      <c r="CK95" s="110"/>
      <c r="CL95" s="110"/>
      <c r="CM95" s="110"/>
      <c r="CN95" s="110"/>
      <c r="CO95" s="110"/>
    </row>
    <row r="96" spans="1:93">
      <c r="A96" s="110"/>
      <c r="B96" s="110"/>
      <c r="C96" s="110"/>
      <c r="D96" s="110"/>
      <c r="E96" s="110"/>
      <c r="F96" s="110"/>
      <c r="G96" s="110"/>
      <c r="H96" s="110"/>
      <c r="I96" s="110"/>
      <c r="J96" s="110"/>
      <c r="K96" s="110"/>
      <c r="L96" s="110"/>
      <c r="M96" s="110"/>
      <c r="N96" s="110"/>
      <c r="O96" s="110"/>
      <c r="P96" s="110"/>
      <c r="Q96" s="110"/>
      <c r="R96" s="110"/>
      <c r="S96" s="110"/>
      <c r="T96" s="110"/>
      <c r="U96" s="111"/>
      <c r="V96" s="111"/>
      <c r="W96" s="111"/>
      <c r="X96" s="112"/>
      <c r="Y96" s="112"/>
      <c r="Z96" s="112"/>
      <c r="AA96" s="112"/>
      <c r="AB96" s="112"/>
      <c r="AC96" s="111"/>
      <c r="AD96" s="111"/>
      <c r="AE96" s="111"/>
      <c r="AF96" s="111"/>
      <c r="AG96" s="111"/>
      <c r="AH96" s="111"/>
      <c r="AI96" s="110"/>
      <c r="AJ96" s="110"/>
      <c r="AK96" s="110"/>
      <c r="AL96" s="110"/>
      <c r="AM96" s="110"/>
      <c r="AN96" s="110"/>
      <c r="AO96" s="110"/>
      <c r="AP96" s="110"/>
      <c r="AQ96" s="110"/>
      <c r="AR96" s="110"/>
      <c r="AS96" s="110"/>
      <c r="AT96" s="110"/>
      <c r="AU96" s="110"/>
      <c r="AV96" s="110"/>
      <c r="AW96" s="110"/>
      <c r="AX96" s="110"/>
      <c r="AY96" s="110"/>
      <c r="AZ96" s="110"/>
      <c r="BA96" s="110"/>
      <c r="BB96" s="110"/>
      <c r="BC96" s="110"/>
      <c r="BD96" s="110"/>
      <c r="BE96" s="110"/>
      <c r="BF96" s="110"/>
      <c r="BG96" s="110"/>
      <c r="BH96" s="110"/>
      <c r="BI96" s="110"/>
      <c r="BJ96" s="110"/>
      <c r="BK96" s="110"/>
      <c r="BL96" s="110"/>
      <c r="BM96" s="110"/>
      <c r="BN96" s="110"/>
      <c r="BO96" s="110"/>
      <c r="BP96" s="110"/>
      <c r="BQ96" s="110"/>
      <c r="BR96" s="110"/>
      <c r="BS96" s="110"/>
      <c r="BT96" s="110"/>
      <c r="BU96" s="110"/>
      <c r="BV96" s="110"/>
      <c r="BW96" s="110"/>
      <c r="BX96" s="110"/>
      <c r="BY96" s="110"/>
      <c r="BZ96" s="110"/>
      <c r="CA96" s="110"/>
      <c r="CB96" s="110"/>
      <c r="CC96" s="110"/>
      <c r="CD96" s="110"/>
      <c r="CE96" s="110"/>
      <c r="CF96" s="110"/>
      <c r="CG96" s="110"/>
      <c r="CH96" s="110"/>
      <c r="CI96" s="110"/>
      <c r="CJ96" s="110"/>
      <c r="CK96" s="110"/>
      <c r="CL96" s="110"/>
      <c r="CM96" s="110"/>
      <c r="CN96" s="110"/>
      <c r="CO96" s="110"/>
    </row>
    <row r="97" spans="1:93">
      <c r="A97" s="110"/>
      <c r="B97" s="110"/>
      <c r="C97" s="110"/>
      <c r="D97" s="110"/>
      <c r="E97" s="110"/>
      <c r="F97" s="110"/>
      <c r="G97" s="110"/>
      <c r="H97" s="110"/>
      <c r="I97" s="110"/>
      <c r="J97" s="110"/>
      <c r="K97" s="110"/>
      <c r="L97" s="110"/>
      <c r="M97" s="110"/>
      <c r="N97" s="110"/>
      <c r="O97" s="110"/>
      <c r="P97" s="110"/>
      <c r="Q97" s="110"/>
      <c r="R97" s="110"/>
      <c r="S97" s="110"/>
      <c r="T97" s="110"/>
      <c r="U97" s="111"/>
      <c r="V97" s="111"/>
      <c r="W97" s="111"/>
      <c r="X97" s="112"/>
      <c r="Y97" s="112"/>
      <c r="Z97" s="112"/>
      <c r="AA97" s="112"/>
      <c r="AB97" s="112"/>
      <c r="AC97" s="111"/>
      <c r="AD97" s="111"/>
      <c r="AE97" s="111"/>
      <c r="AF97" s="111"/>
      <c r="AG97" s="111"/>
      <c r="AH97" s="111"/>
      <c r="AI97" s="110"/>
      <c r="AJ97" s="110"/>
      <c r="AK97" s="110"/>
      <c r="AL97" s="110"/>
      <c r="AM97" s="110"/>
      <c r="AN97" s="110"/>
      <c r="AO97" s="110"/>
      <c r="AP97" s="110"/>
      <c r="AQ97" s="110"/>
      <c r="AR97" s="110"/>
      <c r="AS97" s="110"/>
      <c r="AT97" s="110"/>
      <c r="AU97" s="110"/>
      <c r="AV97" s="110"/>
      <c r="AW97" s="110"/>
      <c r="AX97" s="110"/>
      <c r="AY97" s="110"/>
      <c r="AZ97" s="110"/>
      <c r="BA97" s="110"/>
      <c r="BB97" s="110"/>
      <c r="BC97" s="110"/>
      <c r="BD97" s="110"/>
      <c r="BE97" s="110"/>
      <c r="BF97" s="110"/>
      <c r="BG97" s="110"/>
      <c r="BH97" s="110"/>
      <c r="BI97" s="110"/>
      <c r="BJ97" s="110"/>
      <c r="BK97" s="110"/>
      <c r="BL97" s="110"/>
      <c r="BM97" s="110"/>
      <c r="BN97" s="110"/>
      <c r="BO97" s="110"/>
      <c r="BP97" s="110"/>
      <c r="BQ97" s="110"/>
      <c r="BR97" s="110"/>
      <c r="BS97" s="110"/>
      <c r="BT97" s="110"/>
      <c r="BU97" s="110"/>
      <c r="BV97" s="110"/>
      <c r="BW97" s="110"/>
      <c r="BX97" s="110"/>
      <c r="BY97" s="110"/>
      <c r="BZ97" s="110"/>
      <c r="CA97" s="110"/>
      <c r="CB97" s="110"/>
      <c r="CC97" s="110"/>
      <c r="CD97" s="110"/>
      <c r="CE97" s="110"/>
      <c r="CF97" s="110"/>
      <c r="CG97" s="110"/>
      <c r="CH97" s="110"/>
      <c r="CI97" s="110"/>
      <c r="CJ97" s="110"/>
      <c r="CK97" s="110"/>
      <c r="CL97" s="110"/>
      <c r="CM97" s="110"/>
      <c r="CN97" s="110"/>
      <c r="CO97" s="110"/>
    </row>
    <row r="98" spans="1:93">
      <c r="A98" s="110"/>
      <c r="B98" s="110"/>
      <c r="C98" s="110"/>
      <c r="D98" s="110"/>
      <c r="E98" s="110"/>
      <c r="F98" s="110"/>
      <c r="G98" s="110"/>
      <c r="H98" s="110"/>
      <c r="I98" s="110"/>
      <c r="J98" s="110"/>
      <c r="K98" s="110"/>
      <c r="L98" s="110"/>
      <c r="M98" s="110"/>
      <c r="N98" s="110"/>
      <c r="O98" s="110"/>
      <c r="P98" s="110"/>
      <c r="Q98" s="110"/>
      <c r="R98" s="110"/>
      <c r="S98" s="110"/>
      <c r="T98" s="110"/>
      <c r="U98" s="111"/>
      <c r="V98" s="111"/>
      <c r="W98" s="111"/>
      <c r="X98" s="112"/>
      <c r="Y98" s="112"/>
      <c r="Z98" s="112"/>
      <c r="AA98" s="112"/>
      <c r="AB98" s="112"/>
      <c r="AC98" s="111"/>
      <c r="AD98" s="111"/>
      <c r="AE98" s="111"/>
      <c r="AF98" s="111"/>
      <c r="AG98" s="111"/>
      <c r="AH98" s="111"/>
      <c r="AI98" s="110"/>
      <c r="AJ98" s="110"/>
      <c r="AK98" s="110"/>
      <c r="AL98" s="110"/>
      <c r="AM98" s="110"/>
      <c r="AN98" s="110"/>
      <c r="AO98" s="110"/>
      <c r="AP98" s="110"/>
      <c r="AQ98" s="110"/>
      <c r="AR98" s="110"/>
      <c r="AS98" s="110"/>
      <c r="AT98" s="110"/>
      <c r="AU98" s="110"/>
      <c r="AV98" s="110"/>
      <c r="AW98" s="110"/>
      <c r="AX98" s="110"/>
      <c r="AY98" s="110"/>
      <c r="AZ98" s="110"/>
      <c r="BA98" s="110"/>
      <c r="BB98" s="110"/>
      <c r="BC98" s="110"/>
      <c r="BD98" s="110"/>
      <c r="BE98" s="110"/>
      <c r="BF98" s="110"/>
      <c r="BG98" s="110"/>
      <c r="BH98" s="110"/>
      <c r="BI98" s="110"/>
      <c r="BJ98" s="110"/>
      <c r="BK98" s="110"/>
      <c r="BL98" s="110"/>
      <c r="BM98" s="110"/>
      <c r="BN98" s="110"/>
      <c r="BO98" s="110"/>
      <c r="BP98" s="110"/>
      <c r="BQ98" s="110"/>
      <c r="BR98" s="110"/>
      <c r="BS98" s="110"/>
      <c r="BT98" s="110"/>
      <c r="BU98" s="110"/>
      <c r="BV98" s="110"/>
      <c r="BW98" s="110"/>
      <c r="BX98" s="110"/>
      <c r="BY98" s="110"/>
      <c r="BZ98" s="110"/>
      <c r="CA98" s="110"/>
      <c r="CB98" s="110"/>
      <c r="CC98" s="110"/>
      <c r="CD98" s="110"/>
      <c r="CE98" s="110"/>
      <c r="CF98" s="110"/>
      <c r="CG98" s="110"/>
      <c r="CH98" s="110"/>
      <c r="CI98" s="110"/>
      <c r="CJ98" s="110"/>
      <c r="CK98" s="110"/>
      <c r="CL98" s="110"/>
      <c r="CM98" s="110"/>
      <c r="CN98" s="110"/>
      <c r="CO98" s="110"/>
    </row>
    <row r="99" spans="1:93">
      <c r="A99" s="110"/>
      <c r="B99" s="110"/>
      <c r="C99" s="110"/>
      <c r="D99" s="110"/>
      <c r="E99" s="110"/>
      <c r="F99" s="110"/>
      <c r="G99" s="110"/>
      <c r="H99" s="110"/>
      <c r="I99" s="110"/>
      <c r="J99" s="110"/>
      <c r="K99" s="110"/>
      <c r="L99" s="110"/>
      <c r="M99" s="110"/>
      <c r="N99" s="110"/>
      <c r="O99" s="110"/>
      <c r="P99" s="110"/>
      <c r="Q99" s="110"/>
      <c r="R99" s="110"/>
      <c r="S99" s="110"/>
      <c r="T99" s="110"/>
      <c r="U99" s="111"/>
      <c r="V99" s="111"/>
      <c r="W99" s="111"/>
      <c r="X99" s="112"/>
      <c r="Y99" s="112"/>
      <c r="Z99" s="112"/>
      <c r="AA99" s="112"/>
      <c r="AB99" s="112"/>
      <c r="AC99" s="111"/>
      <c r="AD99" s="111"/>
      <c r="AE99" s="111"/>
      <c r="AF99" s="111"/>
      <c r="AG99" s="111"/>
      <c r="AH99" s="111"/>
      <c r="AI99" s="110"/>
      <c r="AJ99" s="110"/>
      <c r="AK99" s="110"/>
      <c r="AL99" s="110"/>
      <c r="AM99" s="110"/>
      <c r="AN99" s="110"/>
      <c r="AO99" s="110"/>
      <c r="AP99" s="110"/>
      <c r="AQ99" s="110"/>
      <c r="AR99" s="110"/>
      <c r="AS99" s="110"/>
      <c r="AT99" s="110"/>
      <c r="AU99" s="110"/>
      <c r="AV99" s="110"/>
      <c r="AW99" s="110"/>
      <c r="AX99" s="110"/>
      <c r="AY99" s="110"/>
      <c r="AZ99" s="110"/>
      <c r="BA99" s="110"/>
      <c r="BB99" s="110"/>
      <c r="BC99" s="110"/>
      <c r="BD99" s="110"/>
      <c r="BE99" s="110"/>
      <c r="BF99" s="110"/>
      <c r="BG99" s="110"/>
      <c r="BH99" s="110"/>
      <c r="BI99" s="110"/>
      <c r="BJ99" s="110"/>
      <c r="BK99" s="110"/>
      <c r="BL99" s="110"/>
      <c r="BM99" s="110"/>
      <c r="BN99" s="110"/>
      <c r="BO99" s="110"/>
      <c r="BP99" s="110"/>
      <c r="BQ99" s="110"/>
      <c r="BR99" s="110"/>
      <c r="BS99" s="110"/>
      <c r="BT99" s="110"/>
      <c r="BU99" s="110"/>
      <c r="BV99" s="110"/>
      <c r="BW99" s="110"/>
      <c r="BX99" s="110"/>
      <c r="BY99" s="110"/>
      <c r="BZ99" s="110"/>
      <c r="CA99" s="110"/>
      <c r="CB99" s="110"/>
      <c r="CC99" s="110"/>
      <c r="CD99" s="110"/>
      <c r="CE99" s="110"/>
      <c r="CF99" s="110"/>
      <c r="CG99" s="110"/>
      <c r="CH99" s="110"/>
      <c r="CI99" s="110"/>
      <c r="CJ99" s="110"/>
      <c r="CK99" s="110"/>
      <c r="CL99" s="110"/>
      <c r="CM99" s="110"/>
      <c r="CN99" s="110"/>
      <c r="CO99" s="110"/>
    </row>
    <row r="100" spans="1:93">
      <c r="A100" s="110"/>
      <c r="B100" s="110"/>
      <c r="C100" s="110"/>
      <c r="D100" s="110"/>
      <c r="E100" s="110"/>
      <c r="F100" s="110"/>
      <c r="G100" s="110"/>
      <c r="H100" s="110"/>
      <c r="I100" s="110"/>
      <c r="J100" s="110"/>
      <c r="K100" s="110"/>
      <c r="L100" s="110"/>
      <c r="M100" s="110"/>
      <c r="N100" s="110"/>
      <c r="O100" s="110"/>
      <c r="P100" s="110"/>
      <c r="Q100" s="110"/>
      <c r="R100" s="110"/>
      <c r="S100" s="110"/>
      <c r="T100" s="110"/>
      <c r="U100" s="111"/>
      <c r="V100" s="111"/>
      <c r="W100" s="111"/>
      <c r="X100" s="112"/>
      <c r="Y100" s="112"/>
      <c r="Z100" s="112"/>
      <c r="AA100" s="112"/>
      <c r="AB100" s="112"/>
      <c r="AC100" s="111"/>
      <c r="AD100" s="111"/>
      <c r="AE100" s="111"/>
      <c r="AF100" s="111"/>
      <c r="AG100" s="111"/>
      <c r="AH100" s="111"/>
      <c r="AI100" s="110"/>
      <c r="AJ100" s="110"/>
      <c r="AK100" s="110"/>
      <c r="AL100" s="110"/>
      <c r="AM100" s="110"/>
      <c r="AN100" s="110"/>
      <c r="AO100" s="110"/>
      <c r="AP100" s="110"/>
      <c r="AQ100" s="110"/>
      <c r="AR100" s="110"/>
      <c r="AS100" s="110"/>
      <c r="AT100" s="110"/>
      <c r="AU100" s="110"/>
      <c r="AV100" s="110"/>
      <c r="AW100" s="110"/>
      <c r="AX100" s="110"/>
      <c r="AY100" s="110"/>
      <c r="AZ100" s="110"/>
      <c r="BA100" s="110"/>
      <c r="BB100" s="110"/>
      <c r="BC100" s="110"/>
      <c r="BD100" s="110"/>
      <c r="BE100" s="110"/>
      <c r="BF100" s="110"/>
      <c r="BG100" s="110"/>
      <c r="BH100" s="110"/>
      <c r="BI100" s="110"/>
      <c r="BJ100" s="110"/>
      <c r="BK100" s="110"/>
      <c r="BL100" s="110"/>
      <c r="BM100" s="110"/>
      <c r="BN100" s="110"/>
      <c r="BO100" s="110"/>
      <c r="BP100" s="110"/>
      <c r="BQ100" s="110"/>
      <c r="BR100" s="110"/>
      <c r="BS100" s="110"/>
      <c r="BT100" s="110"/>
      <c r="BU100" s="110"/>
      <c r="BV100" s="110"/>
      <c r="BW100" s="110"/>
      <c r="BX100" s="110"/>
      <c r="BY100" s="110"/>
      <c r="BZ100" s="110"/>
      <c r="CA100" s="110"/>
      <c r="CB100" s="110"/>
      <c r="CC100" s="110"/>
      <c r="CD100" s="110"/>
      <c r="CE100" s="110"/>
      <c r="CF100" s="110"/>
      <c r="CG100" s="110"/>
      <c r="CH100" s="110"/>
      <c r="CI100" s="110"/>
      <c r="CJ100" s="110"/>
      <c r="CK100" s="110"/>
      <c r="CL100" s="110"/>
      <c r="CM100" s="110"/>
      <c r="CN100" s="110"/>
      <c r="CO100" s="110"/>
    </row>
    <row r="101" spans="1:93">
      <c r="A101" s="110"/>
      <c r="B101" s="110"/>
      <c r="C101" s="110"/>
      <c r="D101" s="110"/>
      <c r="E101" s="110"/>
      <c r="F101" s="110"/>
      <c r="G101" s="110"/>
      <c r="H101" s="110"/>
      <c r="I101" s="110"/>
      <c r="J101" s="110"/>
      <c r="K101" s="110"/>
      <c r="L101" s="110"/>
      <c r="M101" s="110"/>
      <c r="N101" s="110"/>
      <c r="O101" s="110"/>
      <c r="P101" s="110"/>
      <c r="Q101" s="110"/>
      <c r="R101" s="110"/>
      <c r="S101" s="110"/>
      <c r="T101" s="110"/>
      <c r="U101" s="111"/>
      <c r="V101" s="111"/>
      <c r="W101" s="111"/>
      <c r="X101" s="112"/>
      <c r="Y101" s="112"/>
      <c r="Z101" s="112"/>
      <c r="AA101" s="112"/>
      <c r="AB101" s="112"/>
      <c r="AC101" s="111"/>
      <c r="AD101" s="111"/>
      <c r="AE101" s="111"/>
      <c r="AF101" s="111"/>
      <c r="AG101" s="111"/>
      <c r="AH101" s="111"/>
      <c r="AI101" s="110"/>
      <c r="AJ101" s="110"/>
      <c r="AK101" s="110"/>
      <c r="AL101" s="110"/>
      <c r="AM101" s="110"/>
      <c r="AN101" s="110"/>
      <c r="AO101" s="110"/>
      <c r="AP101" s="110"/>
      <c r="AQ101" s="110"/>
      <c r="AR101" s="110"/>
      <c r="AS101" s="110"/>
      <c r="AT101" s="110"/>
      <c r="AU101" s="110"/>
      <c r="AV101" s="110"/>
      <c r="AW101" s="110"/>
      <c r="AX101" s="110"/>
      <c r="AY101" s="110"/>
      <c r="AZ101" s="110"/>
      <c r="BA101" s="110"/>
      <c r="BB101" s="110"/>
      <c r="BC101" s="110"/>
      <c r="BD101" s="110"/>
      <c r="BE101" s="110"/>
      <c r="BF101" s="110"/>
      <c r="BG101" s="110"/>
      <c r="BH101" s="110"/>
      <c r="BI101" s="110"/>
      <c r="BJ101" s="110"/>
      <c r="BK101" s="110"/>
      <c r="BL101" s="110"/>
      <c r="BM101" s="110"/>
      <c r="BN101" s="110"/>
      <c r="BO101" s="110"/>
      <c r="BP101" s="110"/>
      <c r="BQ101" s="110"/>
      <c r="BR101" s="110"/>
      <c r="BS101" s="110"/>
      <c r="BT101" s="110"/>
      <c r="BU101" s="110"/>
      <c r="BV101" s="110"/>
      <c r="BW101" s="110"/>
      <c r="BX101" s="110"/>
      <c r="BY101" s="110"/>
      <c r="BZ101" s="110"/>
      <c r="CA101" s="110"/>
      <c r="CB101" s="110"/>
      <c r="CC101" s="110"/>
      <c r="CD101" s="110"/>
      <c r="CE101" s="110"/>
      <c r="CF101" s="110"/>
      <c r="CG101" s="110"/>
      <c r="CH101" s="110"/>
      <c r="CI101" s="110"/>
      <c r="CJ101" s="110"/>
      <c r="CK101" s="110"/>
      <c r="CL101" s="110"/>
      <c r="CM101" s="110"/>
      <c r="CN101" s="110"/>
      <c r="CO101" s="110"/>
    </row>
    <row r="102" spans="1:93">
      <c r="A102" s="110"/>
      <c r="B102" s="110"/>
      <c r="C102" s="110"/>
      <c r="D102" s="110"/>
      <c r="E102" s="110"/>
      <c r="F102" s="110"/>
      <c r="G102" s="110"/>
      <c r="H102" s="110"/>
      <c r="I102" s="110"/>
      <c r="J102" s="110"/>
      <c r="K102" s="110"/>
      <c r="L102" s="110"/>
      <c r="M102" s="110"/>
      <c r="N102" s="110"/>
      <c r="O102" s="110"/>
      <c r="P102" s="110"/>
      <c r="Q102" s="110"/>
      <c r="R102" s="110"/>
      <c r="S102" s="110"/>
      <c r="T102" s="110"/>
      <c r="U102" s="111"/>
      <c r="V102" s="111"/>
      <c r="W102" s="111"/>
      <c r="X102" s="112"/>
      <c r="Y102" s="112"/>
      <c r="Z102" s="112"/>
      <c r="AA102" s="112"/>
      <c r="AB102" s="112"/>
      <c r="AC102" s="111"/>
      <c r="AD102" s="111"/>
      <c r="AE102" s="111"/>
      <c r="AF102" s="111"/>
      <c r="AG102" s="111"/>
      <c r="AH102" s="111"/>
      <c r="AI102" s="110"/>
      <c r="AJ102" s="110"/>
      <c r="AK102" s="110"/>
      <c r="AL102" s="110"/>
      <c r="AM102" s="110"/>
      <c r="AN102" s="110"/>
      <c r="AO102" s="110"/>
      <c r="AP102" s="110"/>
      <c r="AQ102" s="110"/>
      <c r="AR102" s="110"/>
      <c r="AS102" s="110"/>
      <c r="AT102" s="110"/>
      <c r="AU102" s="110"/>
      <c r="AV102" s="110"/>
      <c r="AW102" s="110"/>
      <c r="AX102" s="110"/>
      <c r="AY102" s="110"/>
      <c r="AZ102" s="110"/>
      <c r="BA102" s="110"/>
      <c r="BB102" s="110"/>
      <c r="BC102" s="110"/>
      <c r="BD102" s="110"/>
      <c r="BE102" s="110"/>
      <c r="BF102" s="110"/>
      <c r="BG102" s="110"/>
      <c r="BH102" s="110"/>
      <c r="BI102" s="110"/>
      <c r="BJ102" s="110"/>
      <c r="BK102" s="110"/>
      <c r="BL102" s="110"/>
      <c r="BM102" s="110"/>
      <c r="BN102" s="110"/>
      <c r="BO102" s="110"/>
      <c r="BP102" s="110"/>
      <c r="BQ102" s="110"/>
      <c r="BR102" s="110"/>
      <c r="BS102" s="110"/>
      <c r="BT102" s="110"/>
      <c r="BU102" s="110"/>
      <c r="BV102" s="110"/>
      <c r="BW102" s="110"/>
      <c r="BX102" s="110"/>
      <c r="BY102" s="110"/>
      <c r="BZ102" s="110"/>
      <c r="CA102" s="110"/>
      <c r="CB102" s="110"/>
      <c r="CC102" s="110"/>
      <c r="CD102" s="110"/>
      <c r="CE102" s="110"/>
      <c r="CF102" s="110"/>
      <c r="CG102" s="110"/>
      <c r="CH102" s="110"/>
      <c r="CI102" s="110"/>
      <c r="CJ102" s="110"/>
      <c r="CK102" s="110"/>
      <c r="CL102" s="110"/>
      <c r="CM102" s="110"/>
      <c r="CN102" s="110"/>
      <c r="CO102" s="110"/>
    </row>
    <row r="103" spans="1:93">
      <c r="A103" s="110"/>
      <c r="B103" s="110"/>
      <c r="C103" s="110"/>
      <c r="D103" s="110"/>
      <c r="E103" s="110"/>
      <c r="F103" s="110"/>
      <c r="G103" s="110"/>
      <c r="H103" s="110"/>
      <c r="I103" s="110"/>
      <c r="J103" s="110"/>
      <c r="K103" s="110"/>
      <c r="L103" s="110"/>
      <c r="M103" s="110"/>
      <c r="N103" s="110"/>
      <c r="O103" s="110"/>
      <c r="P103" s="110"/>
      <c r="Q103" s="110"/>
      <c r="R103" s="110"/>
      <c r="S103" s="110"/>
      <c r="T103" s="110"/>
      <c r="U103" s="111"/>
      <c r="V103" s="111"/>
      <c r="W103" s="111"/>
      <c r="X103" s="112"/>
      <c r="Y103" s="112"/>
      <c r="Z103" s="112"/>
      <c r="AA103" s="112"/>
      <c r="AB103" s="112"/>
      <c r="AC103" s="111"/>
      <c r="AD103" s="111"/>
      <c r="AE103" s="111"/>
      <c r="AF103" s="111"/>
      <c r="AG103" s="111"/>
      <c r="AH103" s="111"/>
      <c r="AI103" s="110"/>
      <c r="AJ103" s="110"/>
      <c r="AK103" s="110"/>
      <c r="AL103" s="110"/>
      <c r="AM103" s="110"/>
      <c r="AN103" s="110"/>
      <c r="AO103" s="110"/>
      <c r="AP103" s="110"/>
      <c r="AQ103" s="110"/>
      <c r="AR103" s="110"/>
      <c r="AS103" s="110"/>
      <c r="AT103" s="110"/>
      <c r="AU103" s="110"/>
      <c r="AV103" s="110"/>
      <c r="AW103" s="110"/>
      <c r="AX103" s="110"/>
      <c r="AY103" s="110"/>
      <c r="AZ103" s="110"/>
      <c r="BA103" s="110"/>
      <c r="BB103" s="110"/>
      <c r="BC103" s="110"/>
      <c r="BD103" s="110"/>
      <c r="BE103" s="110"/>
      <c r="BF103" s="110"/>
      <c r="BG103" s="110"/>
      <c r="BH103" s="110"/>
      <c r="BI103" s="110"/>
      <c r="BJ103" s="110"/>
      <c r="BK103" s="110"/>
      <c r="BL103" s="110"/>
      <c r="BM103" s="110"/>
      <c r="BN103" s="110"/>
      <c r="BO103" s="110"/>
      <c r="BP103" s="110"/>
      <c r="BQ103" s="110"/>
      <c r="BR103" s="110"/>
      <c r="BS103" s="110"/>
      <c r="BT103" s="110"/>
      <c r="BU103" s="110"/>
      <c r="BV103" s="110"/>
      <c r="BW103" s="110"/>
      <c r="BX103" s="110"/>
      <c r="BY103" s="110"/>
      <c r="BZ103" s="110"/>
      <c r="CA103" s="110"/>
      <c r="CB103" s="110"/>
      <c r="CC103" s="110"/>
      <c r="CD103" s="110"/>
      <c r="CE103" s="110"/>
      <c r="CF103" s="110"/>
      <c r="CG103" s="110"/>
      <c r="CH103" s="110"/>
      <c r="CI103" s="110"/>
      <c r="CJ103" s="110"/>
      <c r="CK103" s="110"/>
      <c r="CL103" s="110"/>
      <c r="CM103" s="110"/>
      <c r="CN103" s="110"/>
      <c r="CO103" s="110"/>
    </row>
    <row r="104" spans="1:93">
      <c r="A104" s="110"/>
      <c r="B104" s="110"/>
      <c r="C104" s="110"/>
      <c r="D104" s="110"/>
      <c r="E104" s="110"/>
      <c r="F104" s="110"/>
      <c r="G104" s="110"/>
      <c r="H104" s="110"/>
      <c r="I104" s="110"/>
      <c r="J104" s="110"/>
      <c r="K104" s="110"/>
      <c r="L104" s="110"/>
      <c r="M104" s="110"/>
      <c r="N104" s="110"/>
      <c r="O104" s="110"/>
      <c r="P104" s="110"/>
      <c r="Q104" s="110"/>
      <c r="R104" s="110"/>
      <c r="S104" s="110"/>
      <c r="T104" s="110"/>
      <c r="U104" s="111"/>
      <c r="V104" s="111"/>
      <c r="W104" s="111"/>
      <c r="X104" s="112"/>
      <c r="Y104" s="112"/>
      <c r="Z104" s="112"/>
      <c r="AA104" s="112"/>
      <c r="AB104" s="112"/>
      <c r="AC104" s="111"/>
      <c r="AD104" s="111"/>
      <c r="AE104" s="111"/>
      <c r="AF104" s="111"/>
      <c r="AG104" s="111"/>
      <c r="AH104" s="111"/>
      <c r="AI104" s="110"/>
      <c r="AJ104" s="110"/>
      <c r="AK104" s="110"/>
      <c r="AL104" s="110"/>
      <c r="AM104" s="110"/>
      <c r="AN104" s="110"/>
      <c r="AO104" s="110"/>
      <c r="AP104" s="110"/>
      <c r="AQ104" s="110"/>
      <c r="AR104" s="110"/>
      <c r="AS104" s="110"/>
      <c r="AT104" s="110"/>
      <c r="AU104" s="110"/>
      <c r="AV104" s="110"/>
      <c r="AW104" s="110"/>
      <c r="AX104" s="110"/>
      <c r="AY104" s="110"/>
      <c r="AZ104" s="110"/>
      <c r="BA104" s="110"/>
      <c r="BB104" s="110"/>
      <c r="BC104" s="110"/>
      <c r="BD104" s="110"/>
      <c r="BE104" s="110"/>
      <c r="BF104" s="110"/>
      <c r="BG104" s="110"/>
      <c r="BH104" s="110"/>
      <c r="BI104" s="110"/>
      <c r="BJ104" s="110"/>
      <c r="BK104" s="110"/>
      <c r="BL104" s="110"/>
      <c r="BM104" s="110"/>
      <c r="BN104" s="110"/>
      <c r="BO104" s="110"/>
      <c r="BP104" s="110"/>
      <c r="BQ104" s="110"/>
      <c r="BR104" s="110"/>
      <c r="BS104" s="110"/>
      <c r="BT104" s="110"/>
      <c r="BU104" s="110"/>
      <c r="BV104" s="110"/>
      <c r="BW104" s="110"/>
      <c r="BX104" s="110"/>
      <c r="BY104" s="110"/>
      <c r="BZ104" s="110"/>
      <c r="CA104" s="110"/>
      <c r="CB104" s="110"/>
      <c r="CC104" s="110"/>
      <c r="CD104" s="110"/>
      <c r="CE104" s="110"/>
      <c r="CF104" s="110"/>
      <c r="CG104" s="110"/>
      <c r="CH104" s="110"/>
      <c r="CI104" s="110"/>
      <c r="CJ104" s="110"/>
      <c r="CK104" s="110"/>
      <c r="CL104" s="110"/>
      <c r="CM104" s="110"/>
      <c r="CN104" s="110"/>
      <c r="CO104" s="110"/>
    </row>
    <row r="105" spans="1:93">
      <c r="A105" s="110"/>
      <c r="B105" s="110"/>
      <c r="C105" s="110"/>
      <c r="D105" s="110"/>
      <c r="E105" s="110"/>
      <c r="F105" s="110"/>
      <c r="G105" s="110"/>
      <c r="H105" s="110"/>
      <c r="I105" s="110"/>
      <c r="J105" s="110"/>
      <c r="K105" s="110"/>
      <c r="L105" s="110"/>
      <c r="M105" s="110"/>
      <c r="N105" s="110"/>
      <c r="O105" s="110"/>
      <c r="P105" s="110"/>
      <c r="Q105" s="110"/>
      <c r="R105" s="110"/>
      <c r="S105" s="110"/>
      <c r="T105" s="110"/>
      <c r="U105" s="111"/>
      <c r="V105" s="111"/>
      <c r="W105" s="111"/>
      <c r="X105" s="112"/>
      <c r="Y105" s="112"/>
      <c r="Z105" s="112"/>
      <c r="AA105" s="112"/>
      <c r="AB105" s="112"/>
      <c r="AC105" s="111"/>
      <c r="AD105" s="111"/>
      <c r="AE105" s="111"/>
      <c r="AF105" s="111"/>
      <c r="AG105" s="111"/>
      <c r="AH105" s="111"/>
      <c r="AI105" s="110"/>
      <c r="AJ105" s="110"/>
      <c r="AK105" s="110"/>
      <c r="AL105" s="110"/>
      <c r="AM105" s="110"/>
      <c r="AN105" s="110"/>
      <c r="AO105" s="110"/>
      <c r="AP105" s="110"/>
      <c r="AQ105" s="110"/>
      <c r="AR105" s="110"/>
      <c r="AS105" s="110"/>
      <c r="AT105" s="110"/>
      <c r="AU105" s="110"/>
      <c r="AV105" s="110"/>
      <c r="AW105" s="110"/>
      <c r="AX105" s="110"/>
      <c r="AY105" s="110"/>
      <c r="AZ105" s="110"/>
      <c r="BA105" s="110"/>
      <c r="BB105" s="110"/>
      <c r="BC105" s="110"/>
      <c r="BD105" s="110"/>
      <c r="BE105" s="110"/>
      <c r="BF105" s="110"/>
      <c r="BG105" s="110"/>
      <c r="BH105" s="110"/>
      <c r="BI105" s="110"/>
      <c r="BJ105" s="110"/>
      <c r="BK105" s="110"/>
      <c r="BL105" s="110"/>
      <c r="BM105" s="110"/>
      <c r="BN105" s="110"/>
      <c r="BO105" s="110"/>
      <c r="BP105" s="110"/>
      <c r="BQ105" s="110"/>
      <c r="BR105" s="110"/>
      <c r="BS105" s="110"/>
      <c r="BT105" s="110"/>
      <c r="BU105" s="110"/>
      <c r="BV105" s="110"/>
      <c r="BW105" s="110"/>
      <c r="BX105" s="110"/>
      <c r="BY105" s="110"/>
      <c r="BZ105" s="110"/>
      <c r="CA105" s="110"/>
      <c r="CB105" s="110"/>
      <c r="CC105" s="110"/>
      <c r="CD105" s="110"/>
      <c r="CE105" s="110"/>
      <c r="CF105" s="110"/>
      <c r="CG105" s="110"/>
      <c r="CH105" s="110"/>
      <c r="CI105" s="110"/>
      <c r="CJ105" s="110"/>
      <c r="CK105" s="110"/>
      <c r="CL105" s="110"/>
      <c r="CM105" s="110"/>
      <c r="CN105" s="110"/>
      <c r="CO105" s="110"/>
    </row>
    <row r="106" spans="1:93">
      <c r="A106" s="110"/>
      <c r="B106" s="110"/>
      <c r="C106" s="110"/>
      <c r="D106" s="110"/>
      <c r="E106" s="110"/>
      <c r="F106" s="110"/>
      <c r="G106" s="110"/>
      <c r="H106" s="110"/>
      <c r="I106" s="110"/>
      <c r="J106" s="110"/>
      <c r="K106" s="110"/>
      <c r="L106" s="110"/>
      <c r="M106" s="110"/>
      <c r="N106" s="110"/>
      <c r="O106" s="110"/>
      <c r="P106" s="110"/>
      <c r="Q106" s="110"/>
      <c r="R106" s="110"/>
      <c r="S106" s="110"/>
      <c r="T106" s="110"/>
      <c r="U106" s="111"/>
      <c r="V106" s="111"/>
      <c r="W106" s="111"/>
      <c r="X106" s="112"/>
      <c r="Y106" s="112"/>
      <c r="Z106" s="112"/>
      <c r="AA106" s="112"/>
      <c r="AB106" s="112"/>
      <c r="AC106" s="111"/>
      <c r="AD106" s="111"/>
      <c r="AE106" s="111"/>
      <c r="AF106" s="111"/>
      <c r="AG106" s="111"/>
      <c r="AH106" s="111"/>
      <c r="AI106" s="110"/>
      <c r="AJ106" s="110"/>
      <c r="AK106" s="110"/>
      <c r="AL106" s="110"/>
      <c r="AM106" s="110"/>
      <c r="AN106" s="110"/>
      <c r="AO106" s="110"/>
      <c r="AP106" s="110"/>
      <c r="AQ106" s="110"/>
      <c r="AR106" s="110"/>
      <c r="AS106" s="110"/>
      <c r="AT106" s="110"/>
      <c r="AU106" s="110"/>
      <c r="AV106" s="110"/>
      <c r="AW106" s="110"/>
      <c r="AX106" s="110"/>
      <c r="AY106" s="110"/>
      <c r="AZ106" s="110"/>
      <c r="BA106" s="110"/>
      <c r="BB106" s="110"/>
      <c r="BC106" s="110"/>
      <c r="BD106" s="110"/>
      <c r="BE106" s="110"/>
      <c r="BF106" s="110"/>
      <c r="BG106" s="110"/>
      <c r="BH106" s="110"/>
      <c r="BI106" s="110"/>
      <c r="BJ106" s="110"/>
      <c r="BK106" s="110"/>
      <c r="BL106" s="110"/>
      <c r="BM106" s="110"/>
      <c r="BN106" s="110"/>
      <c r="BO106" s="110"/>
      <c r="BP106" s="110"/>
      <c r="BQ106" s="110"/>
      <c r="BR106" s="110"/>
      <c r="BS106" s="110"/>
      <c r="BT106" s="110"/>
      <c r="BU106" s="110"/>
      <c r="BV106" s="110"/>
      <c r="BW106" s="110"/>
      <c r="BX106" s="110"/>
      <c r="BY106" s="110"/>
      <c r="BZ106" s="110"/>
      <c r="CA106" s="110"/>
      <c r="CB106" s="110"/>
      <c r="CC106" s="110"/>
      <c r="CD106" s="110"/>
      <c r="CE106" s="110"/>
      <c r="CF106" s="110"/>
      <c r="CG106" s="110"/>
      <c r="CH106" s="110"/>
      <c r="CI106" s="110"/>
      <c r="CJ106" s="110"/>
      <c r="CK106" s="110"/>
      <c r="CL106" s="110"/>
      <c r="CM106" s="110"/>
      <c r="CN106" s="110"/>
      <c r="CO106" s="110"/>
    </row>
    <row r="107" spans="1:93">
      <c r="A107" s="110"/>
      <c r="B107" s="110"/>
      <c r="C107" s="110"/>
      <c r="D107" s="110"/>
      <c r="E107" s="110"/>
      <c r="F107" s="110"/>
      <c r="G107" s="110"/>
      <c r="H107" s="110"/>
      <c r="I107" s="110"/>
      <c r="J107" s="110"/>
      <c r="K107" s="110"/>
      <c r="L107" s="110"/>
      <c r="M107" s="110"/>
      <c r="N107" s="110"/>
      <c r="O107" s="110"/>
      <c r="P107" s="110"/>
      <c r="Q107" s="110"/>
      <c r="R107" s="110"/>
      <c r="S107" s="110"/>
      <c r="T107" s="110"/>
      <c r="U107" s="111"/>
      <c r="V107" s="111"/>
      <c r="W107" s="111"/>
      <c r="X107" s="112"/>
      <c r="Y107" s="112"/>
      <c r="Z107" s="112"/>
      <c r="AA107" s="112"/>
      <c r="AB107" s="112"/>
      <c r="AC107" s="111"/>
      <c r="AD107" s="111"/>
      <c r="AE107" s="111"/>
      <c r="AF107" s="111"/>
      <c r="AG107" s="111"/>
      <c r="AH107" s="111"/>
      <c r="AI107" s="110"/>
      <c r="AJ107" s="110"/>
      <c r="AK107" s="110"/>
      <c r="AL107" s="110"/>
      <c r="AM107" s="110"/>
      <c r="AN107" s="110"/>
      <c r="AO107" s="110"/>
      <c r="AP107" s="110"/>
      <c r="AQ107" s="110"/>
      <c r="AR107" s="110"/>
      <c r="AS107" s="110"/>
      <c r="AT107" s="110"/>
      <c r="AU107" s="110"/>
      <c r="AV107" s="110"/>
      <c r="AW107" s="110"/>
      <c r="AX107" s="110"/>
      <c r="AY107" s="110"/>
      <c r="AZ107" s="110"/>
      <c r="BA107" s="110"/>
      <c r="BB107" s="110"/>
      <c r="BC107" s="110"/>
      <c r="BD107" s="110"/>
      <c r="BE107" s="110"/>
      <c r="BF107" s="110"/>
      <c r="BG107" s="110"/>
      <c r="BH107" s="110"/>
      <c r="BI107" s="110"/>
      <c r="BJ107" s="110"/>
      <c r="BK107" s="110"/>
      <c r="BL107" s="110"/>
      <c r="BM107" s="110"/>
      <c r="BN107" s="110"/>
      <c r="BO107" s="110"/>
      <c r="BP107" s="110"/>
      <c r="BQ107" s="110"/>
      <c r="BR107" s="110"/>
      <c r="BS107" s="110"/>
      <c r="BT107" s="110"/>
      <c r="BU107" s="110"/>
      <c r="BV107" s="110"/>
      <c r="BW107" s="110"/>
      <c r="BX107" s="110"/>
      <c r="BY107" s="110"/>
      <c r="BZ107" s="110"/>
      <c r="CA107" s="110"/>
      <c r="CB107" s="110"/>
      <c r="CC107" s="110"/>
      <c r="CD107" s="110"/>
      <c r="CE107" s="110"/>
      <c r="CF107" s="110"/>
      <c r="CG107" s="110"/>
      <c r="CH107" s="110"/>
      <c r="CI107" s="110"/>
      <c r="CJ107" s="110"/>
      <c r="CK107" s="110"/>
      <c r="CL107" s="110"/>
      <c r="CM107" s="110"/>
      <c r="CN107" s="110"/>
      <c r="CO107" s="110"/>
    </row>
    <row r="108" spans="1:93">
      <c r="A108" s="110"/>
      <c r="B108" s="110"/>
      <c r="C108" s="110"/>
      <c r="D108" s="110"/>
      <c r="E108" s="110"/>
      <c r="F108" s="110"/>
      <c r="G108" s="110"/>
      <c r="H108" s="110"/>
      <c r="I108" s="110"/>
      <c r="J108" s="110"/>
      <c r="K108" s="110"/>
      <c r="L108" s="110"/>
      <c r="M108" s="110"/>
      <c r="N108" s="110"/>
      <c r="O108" s="110"/>
      <c r="P108" s="110"/>
      <c r="Q108" s="110"/>
      <c r="R108" s="110"/>
      <c r="S108" s="110"/>
      <c r="T108" s="110"/>
      <c r="U108" s="111"/>
      <c r="V108" s="111"/>
      <c r="W108" s="111"/>
      <c r="X108" s="112"/>
      <c r="Y108" s="112"/>
      <c r="Z108" s="112"/>
      <c r="AA108" s="112"/>
      <c r="AB108" s="112"/>
      <c r="AC108" s="111"/>
      <c r="AD108" s="111"/>
      <c r="AE108" s="111"/>
      <c r="AF108" s="111"/>
      <c r="AG108" s="111"/>
      <c r="AH108" s="111"/>
      <c r="AI108" s="110"/>
      <c r="AJ108" s="110"/>
      <c r="AK108" s="110"/>
      <c r="AL108" s="110"/>
      <c r="AM108" s="110"/>
      <c r="AN108" s="110"/>
      <c r="AO108" s="110"/>
      <c r="AP108" s="110"/>
      <c r="AQ108" s="110"/>
      <c r="AR108" s="110"/>
      <c r="AS108" s="110"/>
      <c r="AT108" s="110"/>
      <c r="AU108" s="110"/>
      <c r="AV108" s="110"/>
      <c r="AW108" s="110"/>
      <c r="AX108" s="110"/>
      <c r="AY108" s="110"/>
      <c r="AZ108" s="110"/>
      <c r="BA108" s="110"/>
      <c r="BB108" s="110"/>
      <c r="BC108" s="110"/>
      <c r="BD108" s="110"/>
      <c r="BE108" s="110"/>
      <c r="BF108" s="110"/>
      <c r="BG108" s="110"/>
      <c r="BH108" s="110"/>
      <c r="BI108" s="110"/>
      <c r="BJ108" s="110"/>
      <c r="BK108" s="110"/>
      <c r="BL108" s="110"/>
      <c r="BM108" s="110"/>
      <c r="BN108" s="110"/>
      <c r="BO108" s="110"/>
      <c r="BP108" s="110"/>
      <c r="BQ108" s="110"/>
      <c r="BR108" s="110"/>
      <c r="BS108" s="110"/>
      <c r="BT108" s="110"/>
      <c r="BU108" s="110"/>
      <c r="BV108" s="110"/>
      <c r="BW108" s="110"/>
      <c r="BX108" s="110"/>
      <c r="BY108" s="110"/>
      <c r="BZ108" s="110"/>
      <c r="CA108" s="110"/>
      <c r="CB108" s="110"/>
      <c r="CC108" s="110"/>
      <c r="CD108" s="110"/>
      <c r="CE108" s="110"/>
      <c r="CF108" s="110"/>
      <c r="CG108" s="110"/>
      <c r="CH108" s="110"/>
      <c r="CI108" s="110"/>
      <c r="CJ108" s="110"/>
      <c r="CK108" s="110"/>
      <c r="CL108" s="110"/>
      <c r="CM108" s="110"/>
      <c r="CN108" s="110"/>
      <c r="CO108" s="110"/>
    </row>
    <row r="109" spans="1:93">
      <c r="A109" s="110"/>
      <c r="B109" s="110"/>
      <c r="C109" s="110"/>
      <c r="D109" s="110"/>
      <c r="E109" s="110"/>
      <c r="F109" s="110"/>
      <c r="G109" s="110"/>
      <c r="H109" s="110"/>
      <c r="I109" s="110"/>
      <c r="J109" s="110"/>
      <c r="K109" s="110"/>
      <c r="L109" s="110"/>
      <c r="M109" s="110"/>
      <c r="N109" s="110"/>
      <c r="O109" s="110"/>
      <c r="P109" s="110"/>
      <c r="Q109" s="110"/>
      <c r="R109" s="110"/>
      <c r="S109" s="110"/>
      <c r="T109" s="110"/>
      <c r="U109" s="111"/>
      <c r="V109" s="111"/>
      <c r="W109" s="111"/>
      <c r="X109" s="112"/>
      <c r="Y109" s="112"/>
      <c r="Z109" s="112"/>
      <c r="AA109" s="112"/>
      <c r="AB109" s="112"/>
      <c r="AC109" s="111"/>
      <c r="AD109" s="111"/>
      <c r="AE109" s="111"/>
      <c r="AF109" s="111"/>
      <c r="AG109" s="111"/>
      <c r="AH109" s="111"/>
      <c r="AI109" s="110"/>
      <c r="AJ109" s="110"/>
      <c r="AK109" s="110"/>
      <c r="AL109" s="110"/>
      <c r="AM109" s="110"/>
      <c r="AN109" s="110"/>
      <c r="AO109" s="110"/>
      <c r="AP109" s="110"/>
      <c r="AQ109" s="110"/>
      <c r="AR109" s="110"/>
      <c r="AS109" s="110"/>
      <c r="AT109" s="110"/>
      <c r="AU109" s="110"/>
      <c r="AV109" s="110"/>
      <c r="AW109" s="110"/>
      <c r="AX109" s="110"/>
      <c r="AY109" s="110"/>
      <c r="AZ109" s="110"/>
      <c r="BA109" s="110"/>
      <c r="BB109" s="110"/>
      <c r="BC109" s="110"/>
      <c r="BD109" s="110"/>
      <c r="BE109" s="110"/>
      <c r="BF109" s="110"/>
      <c r="BG109" s="110"/>
      <c r="BH109" s="110"/>
      <c r="BI109" s="110"/>
      <c r="BJ109" s="110"/>
      <c r="BK109" s="110"/>
      <c r="BL109" s="110"/>
      <c r="BM109" s="110"/>
      <c r="BN109" s="110"/>
      <c r="BO109" s="110"/>
      <c r="BP109" s="110"/>
      <c r="BQ109" s="110"/>
      <c r="BR109" s="110"/>
      <c r="BS109" s="110"/>
      <c r="BT109" s="110"/>
      <c r="BU109" s="110"/>
      <c r="BV109" s="110"/>
      <c r="BW109" s="110"/>
      <c r="BX109" s="110"/>
      <c r="BY109" s="110"/>
      <c r="BZ109" s="110"/>
      <c r="CA109" s="110"/>
      <c r="CB109" s="110"/>
      <c r="CC109" s="110"/>
      <c r="CD109" s="110"/>
      <c r="CE109" s="110"/>
      <c r="CF109" s="110"/>
      <c r="CG109" s="110"/>
      <c r="CH109" s="110"/>
      <c r="CI109" s="110"/>
      <c r="CJ109" s="110"/>
      <c r="CK109" s="110"/>
      <c r="CL109" s="110"/>
      <c r="CM109" s="110"/>
      <c r="CN109" s="110"/>
      <c r="CO109" s="110"/>
    </row>
    <row r="110" spans="1:93">
      <c r="A110" s="110"/>
      <c r="B110" s="110"/>
      <c r="C110" s="110"/>
      <c r="D110" s="110"/>
      <c r="E110" s="110"/>
      <c r="F110" s="110"/>
      <c r="G110" s="110"/>
      <c r="H110" s="110"/>
      <c r="I110" s="110"/>
      <c r="J110" s="110"/>
      <c r="K110" s="110"/>
      <c r="L110" s="110"/>
      <c r="M110" s="110"/>
      <c r="N110" s="110"/>
      <c r="O110" s="110"/>
      <c r="P110" s="110"/>
      <c r="Q110" s="110"/>
      <c r="R110" s="110"/>
      <c r="S110" s="110"/>
      <c r="T110" s="110"/>
      <c r="U110" s="111"/>
      <c r="V110" s="111"/>
      <c r="W110" s="111"/>
      <c r="X110" s="112"/>
      <c r="Y110" s="112"/>
      <c r="Z110" s="112"/>
      <c r="AA110" s="112"/>
      <c r="AB110" s="112"/>
      <c r="AC110" s="111"/>
      <c r="AD110" s="111"/>
      <c r="AE110" s="111"/>
      <c r="AF110" s="111"/>
      <c r="AG110" s="111"/>
      <c r="AH110" s="111"/>
      <c r="AI110" s="110"/>
      <c r="AJ110" s="110"/>
      <c r="AK110" s="110"/>
      <c r="AL110" s="110"/>
      <c r="AM110" s="110"/>
      <c r="AN110" s="110"/>
      <c r="AO110" s="110"/>
      <c r="AP110" s="110"/>
      <c r="AQ110" s="110"/>
      <c r="AR110" s="110"/>
      <c r="AS110" s="110"/>
      <c r="AT110" s="110"/>
      <c r="AU110" s="110"/>
      <c r="AV110" s="110"/>
      <c r="AW110" s="110"/>
      <c r="AX110" s="110"/>
      <c r="AY110" s="110"/>
      <c r="AZ110" s="110"/>
      <c r="BA110" s="110"/>
      <c r="BB110" s="110"/>
      <c r="BC110" s="110"/>
      <c r="BD110" s="110"/>
      <c r="BE110" s="110"/>
      <c r="BF110" s="110"/>
      <c r="BG110" s="110"/>
      <c r="BH110" s="110"/>
      <c r="BI110" s="110"/>
      <c r="BJ110" s="110"/>
      <c r="BK110" s="110"/>
      <c r="BL110" s="110"/>
      <c r="BM110" s="110"/>
      <c r="BN110" s="110"/>
      <c r="BO110" s="110"/>
      <c r="BP110" s="110"/>
      <c r="BQ110" s="110"/>
      <c r="BR110" s="110"/>
      <c r="BS110" s="110"/>
      <c r="BT110" s="110"/>
      <c r="BU110" s="110"/>
      <c r="BV110" s="110"/>
      <c r="BW110" s="110"/>
      <c r="BX110" s="110"/>
      <c r="BY110" s="110"/>
      <c r="BZ110" s="110"/>
      <c r="CA110" s="110"/>
      <c r="CB110" s="110"/>
      <c r="CC110" s="110"/>
      <c r="CD110" s="110"/>
      <c r="CE110" s="110"/>
      <c r="CF110" s="110"/>
      <c r="CG110" s="110"/>
      <c r="CH110" s="110"/>
      <c r="CI110" s="110"/>
      <c r="CJ110" s="110"/>
      <c r="CK110" s="110"/>
      <c r="CL110" s="110"/>
      <c r="CM110" s="110"/>
      <c r="CN110" s="110"/>
      <c r="CO110" s="110"/>
    </row>
    <row r="111" spans="1:93">
      <c r="A111" s="110"/>
      <c r="B111" s="110"/>
      <c r="C111" s="110"/>
      <c r="D111" s="110"/>
      <c r="E111" s="110"/>
      <c r="F111" s="110"/>
      <c r="G111" s="110"/>
      <c r="H111" s="110"/>
      <c r="I111" s="110"/>
      <c r="J111" s="110"/>
      <c r="K111" s="110"/>
      <c r="L111" s="110"/>
      <c r="M111" s="110"/>
      <c r="N111" s="110"/>
      <c r="O111" s="110"/>
      <c r="P111" s="110"/>
      <c r="Q111" s="110"/>
      <c r="R111" s="110"/>
      <c r="S111" s="110"/>
      <c r="T111" s="110"/>
      <c r="U111" s="111"/>
      <c r="V111" s="111"/>
      <c r="W111" s="111"/>
      <c r="X111" s="112"/>
      <c r="Y111" s="112"/>
      <c r="Z111" s="112"/>
      <c r="AA111" s="112"/>
      <c r="AB111" s="112"/>
      <c r="AC111" s="111"/>
      <c r="AD111" s="111"/>
      <c r="AE111" s="111"/>
      <c r="AF111" s="111"/>
      <c r="AG111" s="111"/>
      <c r="AH111" s="111"/>
      <c r="AI111" s="110"/>
      <c r="AJ111" s="110"/>
      <c r="AK111" s="110"/>
      <c r="AL111" s="110"/>
      <c r="AM111" s="110"/>
      <c r="AN111" s="110"/>
      <c r="AO111" s="110"/>
      <c r="AP111" s="110"/>
      <c r="AQ111" s="110"/>
      <c r="AR111" s="110"/>
      <c r="AS111" s="110"/>
      <c r="AT111" s="110"/>
      <c r="AU111" s="110"/>
      <c r="AV111" s="110"/>
      <c r="AW111" s="110"/>
      <c r="AX111" s="110"/>
      <c r="AY111" s="110"/>
      <c r="AZ111" s="110"/>
      <c r="BA111" s="110"/>
      <c r="BB111" s="110"/>
      <c r="BC111" s="110"/>
      <c r="BD111" s="110"/>
      <c r="BE111" s="110"/>
      <c r="BF111" s="110"/>
      <c r="BG111" s="110"/>
      <c r="BH111" s="110"/>
      <c r="BI111" s="110"/>
      <c r="BJ111" s="110"/>
      <c r="BK111" s="110"/>
      <c r="BL111" s="110"/>
      <c r="BM111" s="110"/>
      <c r="BN111" s="110"/>
      <c r="BO111" s="110"/>
      <c r="BP111" s="110"/>
      <c r="BQ111" s="110"/>
      <c r="BR111" s="110"/>
      <c r="BS111" s="110"/>
      <c r="BT111" s="110"/>
      <c r="BU111" s="110"/>
      <c r="BV111" s="110"/>
      <c r="BW111" s="110"/>
      <c r="BX111" s="110"/>
      <c r="BY111" s="110"/>
      <c r="BZ111" s="110"/>
      <c r="CA111" s="110"/>
      <c r="CB111" s="110"/>
      <c r="CC111" s="110"/>
      <c r="CD111" s="110"/>
      <c r="CE111" s="110"/>
      <c r="CF111" s="110"/>
      <c r="CG111" s="110"/>
      <c r="CH111" s="110"/>
      <c r="CI111" s="110"/>
      <c r="CJ111" s="110"/>
      <c r="CK111" s="110"/>
      <c r="CL111" s="110"/>
      <c r="CM111" s="110"/>
      <c r="CN111" s="110"/>
      <c r="CO111" s="110"/>
    </row>
    <row r="112" spans="1:93">
      <c r="A112" s="110"/>
      <c r="B112" s="110"/>
      <c r="C112" s="110"/>
      <c r="D112" s="110"/>
      <c r="E112" s="110"/>
      <c r="F112" s="110"/>
      <c r="G112" s="110"/>
      <c r="H112" s="110"/>
      <c r="I112" s="110"/>
      <c r="J112" s="110"/>
      <c r="K112" s="110"/>
      <c r="L112" s="110"/>
      <c r="M112" s="110"/>
      <c r="N112" s="110"/>
      <c r="O112" s="110"/>
      <c r="P112" s="110"/>
      <c r="Q112" s="110"/>
      <c r="R112" s="110"/>
      <c r="S112" s="110"/>
      <c r="T112" s="110"/>
      <c r="U112" s="111"/>
      <c r="V112" s="111"/>
      <c r="W112" s="111"/>
      <c r="X112" s="112"/>
      <c r="Y112" s="112"/>
      <c r="Z112" s="112"/>
      <c r="AA112" s="112"/>
      <c r="AB112" s="112"/>
      <c r="AC112" s="111"/>
      <c r="AD112" s="111"/>
      <c r="AE112" s="111"/>
      <c r="AF112" s="111"/>
      <c r="AG112" s="111"/>
      <c r="AH112" s="111"/>
      <c r="AI112" s="110"/>
      <c r="AJ112" s="110"/>
      <c r="AK112" s="110"/>
      <c r="AL112" s="110"/>
      <c r="AM112" s="110"/>
      <c r="AN112" s="110"/>
      <c r="AO112" s="110"/>
      <c r="AP112" s="110"/>
      <c r="AQ112" s="110"/>
      <c r="AR112" s="110"/>
      <c r="AS112" s="110"/>
      <c r="AT112" s="110"/>
      <c r="AU112" s="110"/>
      <c r="AV112" s="110"/>
      <c r="AW112" s="110"/>
      <c r="AX112" s="110"/>
      <c r="AY112" s="110"/>
      <c r="AZ112" s="110"/>
      <c r="BA112" s="110"/>
      <c r="BB112" s="110"/>
      <c r="BC112" s="110"/>
      <c r="BD112" s="110"/>
      <c r="BE112" s="110"/>
      <c r="BF112" s="110"/>
      <c r="BG112" s="110"/>
      <c r="BH112" s="110"/>
      <c r="BI112" s="110"/>
      <c r="BJ112" s="110"/>
      <c r="BK112" s="110"/>
      <c r="BL112" s="110"/>
      <c r="BM112" s="110"/>
      <c r="BN112" s="110"/>
      <c r="BO112" s="110"/>
      <c r="BP112" s="110"/>
      <c r="BQ112" s="110"/>
      <c r="BR112" s="110"/>
      <c r="BS112" s="110"/>
      <c r="BT112" s="110"/>
      <c r="BU112" s="110"/>
      <c r="BV112" s="110"/>
      <c r="BW112" s="110"/>
      <c r="BX112" s="110"/>
      <c r="BY112" s="110"/>
      <c r="BZ112" s="110"/>
      <c r="CA112" s="110"/>
      <c r="CB112" s="110"/>
      <c r="CC112" s="110"/>
      <c r="CD112" s="110"/>
      <c r="CE112" s="110"/>
      <c r="CF112" s="110"/>
      <c r="CG112" s="110"/>
      <c r="CH112" s="110"/>
      <c r="CI112" s="110"/>
      <c r="CJ112" s="110"/>
      <c r="CK112" s="110"/>
      <c r="CL112" s="110"/>
      <c r="CM112" s="110"/>
      <c r="CN112" s="110"/>
      <c r="CO112" s="110"/>
    </row>
    <row r="113" spans="1:93">
      <c r="A113" s="110"/>
      <c r="B113" s="110"/>
      <c r="C113" s="110"/>
      <c r="D113" s="110"/>
      <c r="E113" s="110"/>
      <c r="F113" s="110"/>
      <c r="G113" s="110"/>
      <c r="H113" s="110"/>
      <c r="I113" s="110"/>
      <c r="J113" s="110"/>
      <c r="K113" s="110"/>
      <c r="L113" s="110"/>
      <c r="M113" s="110"/>
      <c r="N113" s="110"/>
      <c r="O113" s="110"/>
      <c r="P113" s="110"/>
      <c r="Q113" s="110"/>
      <c r="R113" s="110"/>
      <c r="S113" s="110"/>
      <c r="T113" s="110"/>
      <c r="U113" s="111"/>
      <c r="V113" s="111"/>
      <c r="W113" s="111"/>
      <c r="X113" s="112"/>
      <c r="Y113" s="112"/>
      <c r="Z113" s="112"/>
      <c r="AA113" s="112"/>
      <c r="AB113" s="112"/>
      <c r="AC113" s="111"/>
      <c r="AD113" s="111"/>
      <c r="AE113" s="111"/>
      <c r="AF113" s="111"/>
      <c r="AG113" s="111"/>
      <c r="AH113" s="111"/>
      <c r="AI113" s="110"/>
      <c r="AJ113" s="110"/>
      <c r="AK113" s="110"/>
      <c r="AL113" s="110"/>
      <c r="AM113" s="110"/>
      <c r="AN113" s="110"/>
      <c r="AO113" s="110"/>
      <c r="AP113" s="110"/>
      <c r="AQ113" s="110"/>
      <c r="AR113" s="110"/>
      <c r="AS113" s="110"/>
      <c r="AT113" s="110"/>
      <c r="AU113" s="110"/>
      <c r="AV113" s="110"/>
      <c r="AW113" s="110"/>
      <c r="AX113" s="110"/>
      <c r="AY113" s="110"/>
      <c r="AZ113" s="110"/>
      <c r="BA113" s="110"/>
      <c r="BB113" s="110"/>
      <c r="BC113" s="110"/>
      <c r="BD113" s="110"/>
      <c r="BE113" s="110"/>
      <c r="BF113" s="110"/>
      <c r="BG113" s="110"/>
      <c r="BH113" s="110"/>
      <c r="BI113" s="110"/>
      <c r="BJ113" s="110"/>
      <c r="BK113" s="110"/>
      <c r="BL113" s="110"/>
      <c r="BM113" s="110"/>
      <c r="BN113" s="110"/>
      <c r="BO113" s="110"/>
      <c r="BP113" s="110"/>
      <c r="BQ113" s="110"/>
      <c r="BR113" s="110"/>
      <c r="BS113" s="110"/>
      <c r="BT113" s="110"/>
      <c r="BU113" s="110"/>
      <c r="BV113" s="110"/>
      <c r="BW113" s="110"/>
      <c r="BX113" s="110"/>
      <c r="BY113" s="110"/>
      <c r="BZ113" s="110"/>
      <c r="CA113" s="110"/>
      <c r="CB113" s="110"/>
      <c r="CC113" s="110"/>
      <c r="CD113" s="110"/>
      <c r="CE113" s="110"/>
      <c r="CF113" s="110"/>
      <c r="CG113" s="110"/>
      <c r="CH113" s="110"/>
      <c r="CI113" s="110"/>
      <c r="CJ113" s="110"/>
      <c r="CK113" s="110"/>
      <c r="CL113" s="110"/>
      <c r="CM113" s="110"/>
      <c r="CN113" s="110"/>
      <c r="CO113" s="110"/>
    </row>
    <row r="114" spans="1:93">
      <c r="A114" s="110"/>
      <c r="B114" s="110"/>
      <c r="C114" s="110"/>
      <c r="D114" s="110"/>
      <c r="E114" s="110"/>
      <c r="F114" s="110"/>
      <c r="G114" s="110"/>
      <c r="H114" s="110"/>
      <c r="I114" s="110"/>
      <c r="J114" s="110"/>
      <c r="K114" s="110"/>
      <c r="L114" s="110"/>
      <c r="M114" s="110"/>
      <c r="N114" s="110"/>
      <c r="O114" s="110"/>
      <c r="P114" s="110"/>
      <c r="Q114" s="110"/>
      <c r="R114" s="110"/>
      <c r="S114" s="110"/>
      <c r="T114" s="110"/>
      <c r="U114" s="111"/>
      <c r="V114" s="111"/>
      <c r="W114" s="111"/>
      <c r="X114" s="112"/>
      <c r="Y114" s="112"/>
      <c r="Z114" s="112"/>
      <c r="AA114" s="112"/>
      <c r="AB114" s="112"/>
      <c r="AC114" s="111"/>
      <c r="AD114" s="111"/>
      <c r="AE114" s="111"/>
      <c r="AF114" s="111"/>
      <c r="AG114" s="111"/>
      <c r="AH114" s="111"/>
      <c r="AI114" s="110"/>
      <c r="AJ114" s="110"/>
      <c r="AK114" s="110"/>
      <c r="AL114" s="110"/>
      <c r="AM114" s="110"/>
      <c r="AN114" s="110"/>
      <c r="AO114" s="110"/>
      <c r="AP114" s="110"/>
      <c r="AQ114" s="110"/>
      <c r="AR114" s="110"/>
      <c r="AS114" s="110"/>
      <c r="AT114" s="110"/>
      <c r="AU114" s="110"/>
      <c r="AV114" s="110"/>
      <c r="AW114" s="110"/>
      <c r="AX114" s="110"/>
      <c r="AY114" s="110"/>
      <c r="AZ114" s="110"/>
      <c r="BA114" s="110"/>
      <c r="BB114" s="110"/>
      <c r="BC114" s="110"/>
      <c r="BD114" s="110"/>
      <c r="BE114" s="110"/>
      <c r="BF114" s="110"/>
      <c r="BG114" s="110"/>
      <c r="BH114" s="110"/>
      <c r="BI114" s="110"/>
      <c r="BJ114" s="110"/>
      <c r="BK114" s="110"/>
      <c r="BL114" s="110"/>
      <c r="BM114" s="110"/>
      <c r="BN114" s="110"/>
      <c r="BO114" s="110"/>
      <c r="BP114" s="110"/>
      <c r="BQ114" s="110"/>
      <c r="BR114" s="110"/>
      <c r="BS114" s="110"/>
      <c r="BT114" s="110"/>
      <c r="BU114" s="110"/>
      <c r="BV114" s="110"/>
      <c r="BW114" s="110"/>
      <c r="BX114" s="110"/>
      <c r="BY114" s="110"/>
      <c r="BZ114" s="110"/>
      <c r="CA114" s="110"/>
      <c r="CB114" s="110"/>
      <c r="CC114" s="110"/>
      <c r="CD114" s="110"/>
      <c r="CE114" s="110"/>
      <c r="CF114" s="110"/>
      <c r="CG114" s="110"/>
      <c r="CH114" s="110"/>
      <c r="CI114" s="110"/>
      <c r="CJ114" s="110"/>
      <c r="CK114" s="110"/>
      <c r="CL114" s="110"/>
      <c r="CM114" s="110"/>
      <c r="CN114" s="110"/>
      <c r="CO114" s="110"/>
    </row>
    <row r="115" spans="1:93">
      <c r="A115" s="110"/>
      <c r="B115" s="110"/>
      <c r="C115" s="110"/>
      <c r="D115" s="110"/>
      <c r="E115" s="110"/>
      <c r="F115" s="110"/>
      <c r="G115" s="110"/>
      <c r="H115" s="110"/>
      <c r="I115" s="110"/>
      <c r="J115" s="110"/>
      <c r="K115" s="110"/>
      <c r="L115" s="110"/>
      <c r="M115" s="110"/>
      <c r="N115" s="110"/>
      <c r="O115" s="110"/>
      <c r="P115" s="110"/>
      <c r="Q115" s="110"/>
      <c r="R115" s="110"/>
      <c r="S115" s="110"/>
      <c r="T115" s="110"/>
      <c r="U115" s="111"/>
      <c r="V115" s="111"/>
      <c r="W115" s="111"/>
      <c r="X115" s="112"/>
      <c r="Y115" s="112"/>
      <c r="Z115" s="112"/>
      <c r="AA115" s="112"/>
      <c r="AB115" s="112"/>
      <c r="AC115" s="111"/>
      <c r="AD115" s="111"/>
      <c r="AE115" s="111"/>
      <c r="AF115" s="111"/>
      <c r="AG115" s="111"/>
      <c r="AH115" s="111"/>
      <c r="AI115" s="110"/>
      <c r="AJ115" s="110"/>
      <c r="AK115" s="110"/>
      <c r="AL115" s="110"/>
      <c r="AM115" s="110"/>
      <c r="AN115" s="110"/>
      <c r="AO115" s="110"/>
      <c r="AP115" s="110"/>
      <c r="AQ115" s="110"/>
      <c r="AR115" s="110"/>
      <c r="AS115" s="110"/>
      <c r="AT115" s="110"/>
      <c r="AU115" s="110"/>
      <c r="AV115" s="110"/>
      <c r="AW115" s="110"/>
      <c r="AX115" s="110"/>
      <c r="AY115" s="110"/>
      <c r="AZ115" s="110"/>
      <c r="BA115" s="110"/>
      <c r="BB115" s="110"/>
      <c r="BC115" s="110"/>
      <c r="BD115" s="110"/>
      <c r="BE115" s="110"/>
      <c r="BF115" s="110"/>
      <c r="BG115" s="110"/>
      <c r="BH115" s="110"/>
      <c r="BI115" s="110"/>
      <c r="BJ115" s="110"/>
      <c r="BK115" s="110"/>
      <c r="BL115" s="110"/>
      <c r="BM115" s="110"/>
      <c r="BN115" s="110"/>
      <c r="BO115" s="110"/>
      <c r="BP115" s="110"/>
      <c r="BQ115" s="110"/>
      <c r="BR115" s="110"/>
      <c r="BS115" s="110"/>
      <c r="BT115" s="110"/>
      <c r="BU115" s="110"/>
      <c r="BV115" s="110"/>
      <c r="BW115" s="110"/>
      <c r="BX115" s="110"/>
      <c r="BY115" s="110"/>
      <c r="BZ115" s="110"/>
      <c r="CA115" s="110"/>
      <c r="CB115" s="110"/>
      <c r="CC115" s="110"/>
      <c r="CD115" s="110"/>
      <c r="CE115" s="110"/>
      <c r="CF115" s="110"/>
      <c r="CG115" s="110"/>
      <c r="CH115" s="110"/>
      <c r="CI115" s="110"/>
      <c r="CJ115" s="110"/>
      <c r="CK115" s="110"/>
      <c r="CL115" s="110"/>
      <c r="CM115" s="110"/>
      <c r="CN115" s="110"/>
      <c r="CO115" s="110"/>
    </row>
    <row r="116" spans="1:93">
      <c r="A116" s="110"/>
      <c r="B116" s="110"/>
      <c r="C116" s="110"/>
      <c r="D116" s="110"/>
      <c r="E116" s="110"/>
      <c r="F116" s="110"/>
      <c r="G116" s="110"/>
      <c r="H116" s="110"/>
      <c r="I116" s="110"/>
      <c r="J116" s="110"/>
      <c r="K116" s="110"/>
      <c r="L116" s="110"/>
      <c r="M116" s="110"/>
      <c r="N116" s="110"/>
      <c r="O116" s="110"/>
      <c r="P116" s="110"/>
      <c r="Q116" s="110"/>
      <c r="R116" s="110"/>
      <c r="S116" s="110"/>
      <c r="T116" s="110"/>
      <c r="U116" s="111"/>
      <c r="V116" s="111"/>
      <c r="W116" s="111"/>
      <c r="X116" s="112"/>
      <c r="Y116" s="112"/>
      <c r="Z116" s="112"/>
      <c r="AA116" s="112"/>
      <c r="AB116" s="112"/>
      <c r="AC116" s="111"/>
      <c r="AD116" s="111"/>
      <c r="AE116" s="111"/>
      <c r="AF116" s="111"/>
      <c r="AG116" s="111"/>
      <c r="AH116" s="111"/>
      <c r="AI116" s="110"/>
      <c r="AJ116" s="110"/>
      <c r="AK116" s="110"/>
      <c r="AL116" s="110"/>
      <c r="AM116" s="110"/>
      <c r="AN116" s="110"/>
      <c r="AO116" s="110"/>
      <c r="AP116" s="110"/>
      <c r="AQ116" s="110"/>
      <c r="AR116" s="110"/>
      <c r="AS116" s="110"/>
      <c r="AT116" s="110"/>
      <c r="AU116" s="110"/>
      <c r="AV116" s="110"/>
      <c r="AW116" s="110"/>
      <c r="AX116" s="110"/>
      <c r="AY116" s="110"/>
      <c r="AZ116" s="110"/>
      <c r="BA116" s="110"/>
      <c r="BB116" s="110"/>
      <c r="BC116" s="110"/>
      <c r="BD116" s="110"/>
      <c r="BE116" s="110"/>
      <c r="BF116" s="110"/>
      <c r="BG116" s="110"/>
      <c r="BH116" s="110"/>
      <c r="BI116" s="110"/>
      <c r="BJ116" s="110"/>
      <c r="BK116" s="110"/>
      <c r="BL116" s="110"/>
      <c r="BM116" s="110"/>
      <c r="BN116" s="110"/>
      <c r="BO116" s="110"/>
      <c r="BP116" s="110"/>
      <c r="BQ116" s="110"/>
      <c r="BR116" s="110"/>
      <c r="BS116" s="110"/>
      <c r="BT116" s="110"/>
      <c r="BU116" s="110"/>
      <c r="BV116" s="110"/>
      <c r="BW116" s="110"/>
      <c r="BX116" s="110"/>
      <c r="BY116" s="110"/>
      <c r="BZ116" s="110"/>
      <c r="CA116" s="110"/>
      <c r="CB116" s="110"/>
      <c r="CC116" s="110"/>
      <c r="CD116" s="110"/>
      <c r="CE116" s="110"/>
      <c r="CF116" s="110"/>
      <c r="CG116" s="110"/>
      <c r="CH116" s="110"/>
      <c r="CI116" s="110"/>
      <c r="CJ116" s="110"/>
      <c r="CK116" s="110"/>
      <c r="CL116" s="110"/>
      <c r="CM116" s="110"/>
      <c r="CN116" s="110"/>
      <c r="CO116" s="110"/>
    </row>
    <row r="117" spans="1:93">
      <c r="A117" s="110"/>
      <c r="B117" s="110"/>
      <c r="C117" s="110"/>
      <c r="D117" s="110"/>
      <c r="E117" s="110"/>
      <c r="F117" s="110"/>
      <c r="G117" s="110"/>
      <c r="H117" s="110"/>
      <c r="I117" s="110"/>
      <c r="J117" s="110"/>
      <c r="K117" s="110"/>
      <c r="L117" s="110"/>
      <c r="M117" s="110"/>
      <c r="N117" s="110"/>
      <c r="O117" s="110"/>
      <c r="P117" s="110"/>
      <c r="Q117" s="110"/>
      <c r="R117" s="110"/>
      <c r="S117" s="110"/>
      <c r="T117" s="110"/>
      <c r="U117" s="111"/>
      <c r="V117" s="111"/>
      <c r="W117" s="111"/>
      <c r="X117" s="112"/>
      <c r="Y117" s="112"/>
      <c r="Z117" s="112"/>
      <c r="AA117" s="112"/>
      <c r="AB117" s="112"/>
      <c r="AC117" s="111"/>
      <c r="AD117" s="111"/>
      <c r="AE117" s="111"/>
      <c r="AF117" s="111"/>
      <c r="AG117" s="111"/>
      <c r="AH117" s="111"/>
      <c r="AI117" s="110"/>
      <c r="AJ117" s="110"/>
      <c r="AK117" s="110"/>
      <c r="AL117" s="110"/>
      <c r="AM117" s="110"/>
      <c r="AN117" s="110"/>
      <c r="AO117" s="110"/>
      <c r="AP117" s="110"/>
      <c r="AQ117" s="110"/>
      <c r="AR117" s="110"/>
      <c r="AS117" s="110"/>
      <c r="AT117" s="110"/>
      <c r="AU117" s="110"/>
      <c r="AV117" s="110"/>
      <c r="AW117" s="110"/>
      <c r="AX117" s="110"/>
      <c r="AY117" s="110"/>
      <c r="AZ117" s="110"/>
      <c r="BA117" s="110"/>
      <c r="BB117" s="110"/>
      <c r="BC117" s="110"/>
      <c r="BD117" s="110"/>
      <c r="BE117" s="110"/>
      <c r="BF117" s="110"/>
      <c r="BG117" s="110"/>
      <c r="BH117" s="110"/>
      <c r="BI117" s="110"/>
      <c r="BJ117" s="110"/>
      <c r="BK117" s="110"/>
      <c r="BL117" s="110"/>
      <c r="BM117" s="110"/>
      <c r="BN117" s="110"/>
      <c r="BO117" s="110"/>
      <c r="BP117" s="110"/>
      <c r="BQ117" s="110"/>
      <c r="BR117" s="110"/>
      <c r="BS117" s="110"/>
      <c r="BT117" s="110"/>
      <c r="BU117" s="110"/>
      <c r="BV117" s="110"/>
      <c r="BW117" s="110"/>
      <c r="BX117" s="110"/>
      <c r="BY117" s="110"/>
      <c r="BZ117" s="110"/>
      <c r="CA117" s="110"/>
      <c r="CB117" s="110"/>
      <c r="CC117" s="110"/>
      <c r="CD117" s="110"/>
      <c r="CE117" s="110"/>
      <c r="CF117" s="110"/>
      <c r="CG117" s="110"/>
      <c r="CH117" s="110"/>
      <c r="CI117" s="110"/>
      <c r="CJ117" s="110"/>
      <c r="CK117" s="110"/>
      <c r="CL117" s="110"/>
      <c r="CM117" s="110"/>
      <c r="CN117" s="110"/>
      <c r="CO117" s="110"/>
    </row>
    <row r="118" spans="1:93">
      <c r="A118" s="110"/>
      <c r="B118" s="110"/>
      <c r="C118" s="110"/>
      <c r="D118" s="110"/>
      <c r="E118" s="110"/>
      <c r="F118" s="110"/>
      <c r="G118" s="110"/>
      <c r="H118" s="110"/>
      <c r="I118" s="110"/>
      <c r="J118" s="110"/>
      <c r="K118" s="110"/>
      <c r="L118" s="110"/>
      <c r="M118" s="110"/>
      <c r="N118" s="110"/>
      <c r="O118" s="110"/>
      <c r="P118" s="110"/>
      <c r="Q118" s="110"/>
      <c r="R118" s="110"/>
      <c r="S118" s="110"/>
      <c r="T118" s="110"/>
      <c r="U118" s="111"/>
      <c r="V118" s="111"/>
      <c r="W118" s="111"/>
      <c r="X118" s="112"/>
      <c r="Y118" s="112"/>
      <c r="Z118" s="112"/>
      <c r="AA118" s="112"/>
      <c r="AB118" s="112"/>
      <c r="AC118" s="111"/>
      <c r="AD118" s="111"/>
      <c r="AE118" s="111"/>
      <c r="AF118" s="111"/>
      <c r="AG118" s="111"/>
      <c r="AH118" s="111"/>
      <c r="AI118" s="110"/>
      <c r="AJ118" s="110"/>
      <c r="AK118" s="110"/>
      <c r="AL118" s="110"/>
      <c r="AM118" s="110"/>
      <c r="AN118" s="110"/>
      <c r="AO118" s="110"/>
      <c r="AP118" s="110"/>
      <c r="AQ118" s="110"/>
      <c r="AR118" s="110"/>
      <c r="AS118" s="110"/>
      <c r="AT118" s="110"/>
      <c r="AU118" s="110"/>
      <c r="AV118" s="110"/>
      <c r="AW118" s="110"/>
      <c r="AX118" s="110"/>
      <c r="AY118" s="110"/>
      <c r="AZ118" s="110"/>
      <c r="BA118" s="110"/>
      <c r="BB118" s="110"/>
      <c r="BC118" s="110"/>
      <c r="BD118" s="110"/>
      <c r="BE118" s="110"/>
      <c r="BF118" s="110"/>
      <c r="BG118" s="110"/>
      <c r="BH118" s="110"/>
      <c r="BI118" s="110"/>
      <c r="BJ118" s="110"/>
      <c r="BK118" s="110"/>
      <c r="BL118" s="110"/>
      <c r="BM118" s="110"/>
      <c r="BN118" s="110"/>
      <c r="BO118" s="110"/>
      <c r="BP118" s="110"/>
      <c r="BQ118" s="110"/>
      <c r="BR118" s="110"/>
      <c r="BS118" s="110"/>
      <c r="BT118" s="110"/>
      <c r="BU118" s="110"/>
      <c r="BV118" s="110"/>
      <c r="BW118" s="110"/>
      <c r="BX118" s="110"/>
      <c r="BY118" s="110"/>
      <c r="BZ118" s="110"/>
      <c r="CA118" s="110"/>
      <c r="CB118" s="110"/>
      <c r="CC118" s="110"/>
      <c r="CD118" s="110"/>
      <c r="CE118" s="110"/>
      <c r="CF118" s="110"/>
      <c r="CG118" s="110"/>
      <c r="CH118" s="110"/>
      <c r="CI118" s="110"/>
      <c r="CJ118" s="110"/>
      <c r="CK118" s="110"/>
      <c r="CL118" s="110"/>
      <c r="CM118" s="110"/>
      <c r="CN118" s="110"/>
      <c r="CO118" s="110"/>
    </row>
    <row r="119" spans="1:93">
      <c r="A119" s="110"/>
      <c r="B119" s="110"/>
      <c r="C119" s="110"/>
      <c r="D119" s="110"/>
      <c r="E119" s="110"/>
      <c r="F119" s="110"/>
      <c r="G119" s="110"/>
      <c r="H119" s="110"/>
      <c r="I119" s="110"/>
      <c r="J119" s="110"/>
      <c r="K119" s="110"/>
      <c r="L119" s="110"/>
      <c r="M119" s="110"/>
      <c r="N119" s="110"/>
      <c r="O119" s="110"/>
      <c r="P119" s="110"/>
      <c r="Q119" s="110"/>
      <c r="R119" s="110"/>
      <c r="S119" s="110"/>
      <c r="T119" s="110"/>
      <c r="U119" s="111"/>
      <c r="V119" s="111"/>
      <c r="W119" s="111"/>
      <c r="X119" s="112"/>
      <c r="Y119" s="112"/>
      <c r="Z119" s="112"/>
      <c r="AA119" s="112"/>
      <c r="AB119" s="112"/>
      <c r="AC119" s="111"/>
      <c r="AD119" s="111"/>
      <c r="AE119" s="111"/>
      <c r="AF119" s="111"/>
      <c r="AG119" s="111"/>
      <c r="AH119" s="111"/>
      <c r="AI119" s="110"/>
      <c r="AJ119" s="110"/>
      <c r="AK119" s="110"/>
      <c r="AL119" s="110"/>
      <c r="AM119" s="110"/>
      <c r="AN119" s="110"/>
      <c r="AO119" s="110"/>
      <c r="AP119" s="110"/>
      <c r="AQ119" s="110"/>
      <c r="AR119" s="110"/>
      <c r="AS119" s="110"/>
      <c r="AT119" s="110"/>
      <c r="AU119" s="110"/>
      <c r="AV119" s="110"/>
      <c r="AW119" s="110"/>
      <c r="AX119" s="110"/>
      <c r="AY119" s="110"/>
      <c r="AZ119" s="110"/>
      <c r="BA119" s="110"/>
      <c r="BB119" s="110"/>
      <c r="BC119" s="110"/>
      <c r="BD119" s="110"/>
      <c r="BE119" s="110"/>
      <c r="BF119" s="110"/>
      <c r="BG119" s="110"/>
      <c r="BH119" s="110"/>
      <c r="BI119" s="110"/>
      <c r="BJ119" s="110"/>
      <c r="BK119" s="110"/>
      <c r="BL119" s="110"/>
      <c r="BM119" s="110"/>
      <c r="BN119" s="110"/>
      <c r="BO119" s="110"/>
      <c r="BP119" s="110"/>
      <c r="BQ119" s="110"/>
      <c r="BR119" s="110"/>
      <c r="BS119" s="110"/>
      <c r="BT119" s="110"/>
      <c r="BU119" s="110"/>
      <c r="BV119" s="110"/>
      <c r="BW119" s="110"/>
      <c r="BX119" s="110"/>
      <c r="BY119" s="110"/>
      <c r="BZ119" s="110"/>
      <c r="CA119" s="110"/>
      <c r="CB119" s="110"/>
      <c r="CC119" s="110"/>
      <c r="CD119" s="110"/>
      <c r="CE119" s="110"/>
      <c r="CF119" s="110"/>
      <c r="CG119" s="110"/>
      <c r="CH119" s="110"/>
      <c r="CI119" s="110"/>
      <c r="CJ119" s="110"/>
      <c r="CK119" s="110"/>
      <c r="CL119" s="110"/>
      <c r="CM119" s="110"/>
      <c r="CN119" s="110"/>
      <c r="CO119" s="110"/>
    </row>
    <row r="120" spans="1:93">
      <c r="A120" s="110"/>
      <c r="B120" s="110"/>
      <c r="C120" s="110"/>
      <c r="D120" s="110"/>
      <c r="E120" s="110"/>
      <c r="F120" s="110"/>
      <c r="G120" s="110"/>
      <c r="H120" s="110"/>
      <c r="I120" s="110"/>
      <c r="J120" s="110"/>
      <c r="K120" s="110"/>
      <c r="L120" s="110"/>
      <c r="M120" s="110"/>
      <c r="N120" s="110"/>
      <c r="O120" s="110"/>
      <c r="P120" s="110"/>
      <c r="Q120" s="110"/>
      <c r="R120" s="110"/>
      <c r="S120" s="110"/>
      <c r="T120" s="110"/>
      <c r="U120" s="111"/>
      <c r="V120" s="111"/>
      <c r="W120" s="111"/>
      <c r="X120" s="112"/>
      <c r="Y120" s="112"/>
      <c r="Z120" s="112"/>
      <c r="AA120" s="112"/>
      <c r="AB120" s="112"/>
      <c r="AC120" s="111"/>
      <c r="AD120" s="111"/>
      <c r="AE120" s="111"/>
      <c r="AF120" s="111"/>
      <c r="AG120" s="111"/>
      <c r="AH120" s="111"/>
      <c r="AI120" s="110"/>
      <c r="AJ120" s="110"/>
      <c r="AK120" s="110"/>
      <c r="AL120" s="110"/>
      <c r="AM120" s="110"/>
      <c r="AN120" s="110"/>
      <c r="AO120" s="110"/>
      <c r="AP120" s="110"/>
      <c r="AQ120" s="110"/>
      <c r="AR120" s="110"/>
      <c r="AS120" s="110"/>
      <c r="AT120" s="110"/>
      <c r="AU120" s="110"/>
      <c r="AV120" s="110"/>
      <c r="AW120" s="110"/>
      <c r="AX120" s="110"/>
      <c r="AY120" s="110"/>
      <c r="AZ120" s="110"/>
      <c r="BA120" s="110"/>
      <c r="BB120" s="110"/>
      <c r="BC120" s="110"/>
      <c r="BD120" s="110"/>
      <c r="BE120" s="110"/>
      <c r="BF120" s="110"/>
      <c r="BG120" s="110"/>
      <c r="BH120" s="110"/>
      <c r="BI120" s="110"/>
      <c r="BJ120" s="110"/>
      <c r="BK120" s="110"/>
      <c r="BL120" s="110"/>
      <c r="BM120" s="110"/>
      <c r="BN120" s="110"/>
      <c r="BO120" s="110"/>
      <c r="BP120" s="110"/>
      <c r="BQ120" s="110"/>
      <c r="BR120" s="110"/>
      <c r="BS120" s="110"/>
      <c r="BT120" s="110"/>
      <c r="BU120" s="110"/>
      <c r="BV120" s="110"/>
      <c r="BW120" s="110"/>
      <c r="BX120" s="110"/>
      <c r="BY120" s="110"/>
      <c r="BZ120" s="110"/>
      <c r="CA120" s="110"/>
      <c r="CB120" s="110"/>
      <c r="CC120" s="110"/>
      <c r="CD120" s="110"/>
      <c r="CE120" s="110"/>
      <c r="CF120" s="110"/>
      <c r="CG120" s="110"/>
      <c r="CH120" s="110"/>
      <c r="CI120" s="110"/>
      <c r="CJ120" s="110"/>
      <c r="CK120" s="110"/>
      <c r="CL120" s="110"/>
      <c r="CM120" s="110"/>
      <c r="CN120" s="110"/>
      <c r="CO120" s="110"/>
    </row>
    <row r="121" spans="1:93">
      <c r="A121" s="110"/>
      <c r="B121" s="110"/>
      <c r="C121" s="110"/>
      <c r="D121" s="110"/>
      <c r="E121" s="110"/>
      <c r="F121" s="110"/>
      <c r="G121" s="110"/>
      <c r="H121" s="110"/>
      <c r="I121" s="110"/>
      <c r="J121" s="110"/>
      <c r="K121" s="110"/>
      <c r="L121" s="110"/>
      <c r="M121" s="110"/>
      <c r="N121" s="110"/>
      <c r="O121" s="110"/>
      <c r="P121" s="110"/>
      <c r="Q121" s="110"/>
      <c r="R121" s="110"/>
      <c r="S121" s="110"/>
      <c r="T121" s="110"/>
      <c r="U121" s="111"/>
      <c r="V121" s="111"/>
      <c r="W121" s="111"/>
      <c r="X121" s="112"/>
      <c r="Y121" s="112"/>
      <c r="Z121" s="112"/>
      <c r="AA121" s="112"/>
      <c r="AB121" s="112"/>
      <c r="AC121" s="111"/>
      <c r="AD121" s="111"/>
      <c r="AE121" s="111"/>
      <c r="AF121" s="111"/>
      <c r="AG121" s="111"/>
      <c r="AH121" s="111"/>
      <c r="AI121" s="110"/>
      <c r="AJ121" s="110"/>
      <c r="AK121" s="110"/>
      <c r="AL121" s="110"/>
      <c r="AM121" s="110"/>
      <c r="AN121" s="110"/>
      <c r="AO121" s="110"/>
      <c r="AP121" s="110"/>
      <c r="AQ121" s="110"/>
      <c r="AR121" s="110"/>
      <c r="AS121" s="110"/>
      <c r="AT121" s="110"/>
      <c r="AU121" s="110"/>
      <c r="AV121" s="110"/>
      <c r="AW121" s="110"/>
      <c r="AX121" s="110"/>
      <c r="AY121" s="110"/>
      <c r="AZ121" s="110"/>
      <c r="BA121" s="110"/>
      <c r="BB121" s="110"/>
      <c r="BC121" s="110"/>
      <c r="BD121" s="110"/>
      <c r="BE121" s="110"/>
      <c r="BF121" s="110"/>
      <c r="BG121" s="110"/>
      <c r="BH121" s="110"/>
      <c r="BI121" s="110"/>
      <c r="BJ121" s="110"/>
      <c r="BK121" s="110"/>
      <c r="BL121" s="110"/>
      <c r="BM121" s="110"/>
      <c r="BN121" s="110"/>
      <c r="BO121" s="110"/>
      <c r="BP121" s="110"/>
      <c r="BQ121" s="110"/>
      <c r="BR121" s="110"/>
      <c r="BS121" s="110"/>
      <c r="BT121" s="110"/>
      <c r="BU121" s="110"/>
      <c r="BV121" s="110"/>
      <c r="BW121" s="110"/>
      <c r="BX121" s="110"/>
      <c r="BY121" s="110"/>
      <c r="BZ121" s="110"/>
      <c r="CA121" s="110"/>
      <c r="CB121" s="110"/>
      <c r="CC121" s="110"/>
      <c r="CD121" s="110"/>
      <c r="CE121" s="110"/>
      <c r="CF121" s="110"/>
      <c r="CG121" s="110"/>
      <c r="CH121" s="110"/>
      <c r="CI121" s="110"/>
      <c r="CJ121" s="110"/>
      <c r="CK121" s="110"/>
      <c r="CL121" s="110"/>
      <c r="CM121" s="110"/>
      <c r="CN121" s="110"/>
      <c r="CO121" s="110"/>
    </row>
    <row r="122" spans="1:93">
      <c r="A122" s="110"/>
      <c r="B122" s="110"/>
      <c r="C122" s="110"/>
      <c r="D122" s="110"/>
      <c r="E122" s="110"/>
      <c r="F122" s="110"/>
      <c r="G122" s="110"/>
      <c r="H122" s="110"/>
      <c r="I122" s="110"/>
      <c r="J122" s="110"/>
      <c r="K122" s="110"/>
      <c r="L122" s="110"/>
      <c r="M122" s="110"/>
      <c r="N122" s="110"/>
      <c r="O122" s="110"/>
      <c r="P122" s="110"/>
      <c r="Q122" s="110"/>
      <c r="R122" s="110"/>
      <c r="S122" s="110"/>
      <c r="T122" s="110"/>
      <c r="U122" s="111"/>
      <c r="V122" s="111"/>
      <c r="W122" s="111"/>
      <c r="X122" s="112"/>
      <c r="Y122" s="112"/>
      <c r="Z122" s="112"/>
      <c r="AA122" s="112"/>
      <c r="AB122" s="112"/>
      <c r="AC122" s="111"/>
      <c r="AD122" s="111"/>
      <c r="AE122" s="111"/>
      <c r="AF122" s="111"/>
      <c r="AG122" s="111"/>
      <c r="AH122" s="111"/>
      <c r="AI122" s="110"/>
      <c r="AJ122" s="110"/>
      <c r="AK122" s="110"/>
      <c r="AL122" s="110"/>
      <c r="AM122" s="110"/>
      <c r="AN122" s="110"/>
      <c r="AO122" s="110"/>
      <c r="AP122" s="110"/>
      <c r="AQ122" s="110"/>
      <c r="AR122" s="110"/>
      <c r="AS122" s="110"/>
      <c r="AT122" s="110"/>
      <c r="AU122" s="110"/>
      <c r="AV122" s="110"/>
      <c r="AW122" s="110"/>
      <c r="AX122" s="110"/>
      <c r="AY122" s="110"/>
      <c r="AZ122" s="110"/>
      <c r="BA122" s="110"/>
      <c r="BB122" s="110"/>
      <c r="BC122" s="110"/>
      <c r="BD122" s="110"/>
      <c r="BE122" s="110"/>
      <c r="BF122" s="110"/>
      <c r="BG122" s="110"/>
      <c r="BH122" s="110"/>
      <c r="BI122" s="110"/>
      <c r="BJ122" s="110"/>
      <c r="BK122" s="110"/>
      <c r="BL122" s="110"/>
      <c r="BM122" s="110"/>
      <c r="BN122" s="110"/>
      <c r="BO122" s="110"/>
      <c r="BP122" s="110"/>
      <c r="BQ122" s="110"/>
      <c r="BR122" s="110"/>
      <c r="BS122" s="110"/>
      <c r="BT122" s="110"/>
      <c r="BU122" s="110"/>
      <c r="BV122" s="110"/>
      <c r="BW122" s="110"/>
      <c r="BX122" s="110"/>
      <c r="BY122" s="110"/>
      <c r="BZ122" s="110"/>
      <c r="CA122" s="110"/>
      <c r="CB122" s="110"/>
      <c r="CC122" s="110"/>
      <c r="CD122" s="110"/>
      <c r="CE122" s="110"/>
      <c r="CF122" s="110"/>
      <c r="CG122" s="110"/>
      <c r="CH122" s="110"/>
      <c r="CI122" s="110"/>
      <c r="CJ122" s="110"/>
      <c r="CK122" s="110"/>
      <c r="CL122" s="110"/>
      <c r="CM122" s="110"/>
      <c r="CN122" s="110"/>
      <c r="CO122" s="110"/>
    </row>
    <row r="123" spans="1:93">
      <c r="A123" s="110"/>
      <c r="B123" s="110"/>
      <c r="C123" s="110"/>
      <c r="D123" s="110"/>
      <c r="E123" s="110"/>
      <c r="F123" s="110"/>
      <c r="G123" s="110"/>
      <c r="H123" s="110"/>
      <c r="I123" s="110"/>
      <c r="J123" s="110"/>
      <c r="K123" s="110"/>
      <c r="L123" s="110"/>
      <c r="M123" s="110"/>
      <c r="N123" s="110"/>
      <c r="O123" s="110"/>
      <c r="P123" s="110"/>
      <c r="Q123" s="110"/>
      <c r="R123" s="110"/>
      <c r="S123" s="110"/>
      <c r="T123" s="110"/>
      <c r="U123" s="111"/>
      <c r="V123" s="111"/>
      <c r="W123" s="111"/>
      <c r="X123" s="112"/>
      <c r="Y123" s="112"/>
      <c r="Z123" s="112"/>
      <c r="AA123" s="112"/>
      <c r="AB123" s="112"/>
      <c r="AC123" s="111"/>
      <c r="AD123" s="111"/>
      <c r="AE123" s="111"/>
      <c r="AF123" s="111"/>
      <c r="AG123" s="111"/>
      <c r="AH123" s="111"/>
      <c r="AI123" s="110"/>
      <c r="AJ123" s="110"/>
      <c r="AK123" s="110"/>
      <c r="AL123" s="110"/>
      <c r="AM123" s="110"/>
      <c r="AN123" s="110"/>
      <c r="AO123" s="110"/>
      <c r="AP123" s="110"/>
      <c r="AQ123" s="110"/>
      <c r="AR123" s="110"/>
      <c r="AS123" s="110"/>
      <c r="AT123" s="110"/>
      <c r="AU123" s="110"/>
      <c r="AV123" s="110"/>
      <c r="AW123" s="110"/>
      <c r="AX123" s="110"/>
      <c r="AY123" s="110"/>
      <c r="AZ123" s="110"/>
      <c r="BA123" s="110"/>
      <c r="BB123" s="110"/>
      <c r="BC123" s="110"/>
      <c r="BD123" s="110"/>
      <c r="BE123" s="110"/>
      <c r="BF123" s="110"/>
      <c r="BG123" s="110"/>
      <c r="BH123" s="110"/>
      <c r="BI123" s="110"/>
      <c r="BJ123" s="110"/>
      <c r="BK123" s="110"/>
      <c r="BL123" s="110"/>
      <c r="BM123" s="110"/>
      <c r="BN123" s="110"/>
      <c r="BO123" s="110"/>
      <c r="BP123" s="110"/>
      <c r="BQ123" s="110"/>
      <c r="BR123" s="110"/>
      <c r="BS123" s="110"/>
      <c r="BT123" s="110"/>
      <c r="BU123" s="110"/>
      <c r="BV123" s="110"/>
      <c r="BW123" s="110"/>
      <c r="BX123" s="110"/>
      <c r="BY123" s="110"/>
      <c r="BZ123" s="110"/>
      <c r="CA123" s="110"/>
      <c r="CB123" s="110"/>
      <c r="CC123" s="110"/>
      <c r="CD123" s="110"/>
      <c r="CE123" s="110"/>
      <c r="CF123" s="110"/>
      <c r="CG123" s="110"/>
      <c r="CH123" s="110"/>
      <c r="CI123" s="110"/>
      <c r="CJ123" s="110"/>
      <c r="CK123" s="110"/>
      <c r="CL123" s="110"/>
      <c r="CM123" s="110"/>
      <c r="CN123" s="110"/>
      <c r="CO123" s="110"/>
    </row>
    <row r="124" spans="1:93">
      <c r="A124" s="110"/>
      <c r="B124" s="110"/>
      <c r="C124" s="110"/>
      <c r="D124" s="110"/>
      <c r="E124" s="110"/>
      <c r="F124" s="110"/>
      <c r="G124" s="110"/>
      <c r="H124" s="110"/>
      <c r="I124" s="110"/>
      <c r="J124" s="110"/>
      <c r="K124" s="110"/>
      <c r="L124" s="110"/>
      <c r="M124" s="110"/>
      <c r="N124" s="110"/>
      <c r="O124" s="110"/>
      <c r="P124" s="110"/>
      <c r="Q124" s="110"/>
      <c r="R124" s="110"/>
      <c r="S124" s="110"/>
      <c r="T124" s="110"/>
      <c r="U124" s="111"/>
      <c r="V124" s="111"/>
      <c r="W124" s="111"/>
      <c r="X124" s="112"/>
      <c r="Y124" s="112"/>
      <c r="Z124" s="112"/>
      <c r="AA124" s="112"/>
      <c r="AB124" s="112"/>
      <c r="AC124" s="111"/>
      <c r="AD124" s="111"/>
      <c r="AE124" s="111"/>
      <c r="AF124" s="111"/>
      <c r="AG124" s="111"/>
      <c r="AH124" s="111"/>
      <c r="AI124" s="110"/>
      <c r="AJ124" s="110"/>
      <c r="AK124" s="110"/>
      <c r="AL124" s="110"/>
      <c r="AM124" s="110"/>
      <c r="AN124" s="110"/>
      <c r="AO124" s="110"/>
      <c r="AP124" s="110"/>
      <c r="AQ124" s="110"/>
      <c r="AR124" s="110"/>
      <c r="AS124" s="110"/>
      <c r="AT124" s="110"/>
      <c r="AU124" s="110"/>
      <c r="AV124" s="110"/>
      <c r="AW124" s="110"/>
      <c r="AX124" s="110"/>
      <c r="AY124" s="110"/>
      <c r="AZ124" s="110"/>
      <c r="BA124" s="110"/>
      <c r="BB124" s="110"/>
      <c r="BC124" s="110"/>
      <c r="BD124" s="110"/>
      <c r="BE124" s="110"/>
      <c r="BF124" s="110"/>
      <c r="BG124" s="110"/>
      <c r="BH124" s="110"/>
      <c r="BI124" s="110"/>
      <c r="BJ124" s="110"/>
      <c r="BK124" s="110"/>
      <c r="BL124" s="110"/>
      <c r="BM124" s="110"/>
      <c r="BN124" s="110"/>
      <c r="BO124" s="110"/>
      <c r="BP124" s="110"/>
      <c r="BQ124" s="110"/>
      <c r="BR124" s="110"/>
      <c r="BS124" s="110"/>
      <c r="BT124" s="110"/>
      <c r="BU124" s="110"/>
      <c r="BV124" s="110"/>
      <c r="BW124" s="110"/>
      <c r="BX124" s="110"/>
      <c r="BY124" s="110"/>
      <c r="BZ124" s="110"/>
      <c r="CA124" s="110"/>
      <c r="CB124" s="110"/>
      <c r="CC124" s="110"/>
      <c r="CD124" s="110"/>
      <c r="CE124" s="110"/>
      <c r="CF124" s="110"/>
      <c r="CG124" s="110"/>
      <c r="CH124" s="110"/>
      <c r="CI124" s="110"/>
      <c r="CJ124" s="110"/>
      <c r="CK124" s="110"/>
      <c r="CL124" s="110"/>
      <c r="CM124" s="110"/>
      <c r="CN124" s="110"/>
      <c r="CO124" s="110"/>
    </row>
    <row r="125" spans="1:93">
      <c r="A125" s="110"/>
      <c r="B125" s="110"/>
      <c r="C125" s="110"/>
      <c r="D125" s="110"/>
      <c r="E125" s="110"/>
      <c r="F125" s="110"/>
      <c r="G125" s="110"/>
      <c r="H125" s="110"/>
      <c r="I125" s="110"/>
      <c r="J125" s="110"/>
      <c r="K125" s="110"/>
      <c r="L125" s="110"/>
      <c r="M125" s="110"/>
      <c r="N125" s="110"/>
      <c r="O125" s="110"/>
      <c r="P125" s="110"/>
      <c r="Q125" s="110"/>
      <c r="R125" s="110"/>
      <c r="S125" s="110"/>
      <c r="T125" s="110"/>
      <c r="U125" s="111"/>
      <c r="V125" s="111"/>
      <c r="W125" s="111"/>
      <c r="X125" s="112"/>
      <c r="Y125" s="112"/>
      <c r="Z125" s="112"/>
      <c r="AA125" s="112"/>
      <c r="AB125" s="112"/>
      <c r="AC125" s="111"/>
      <c r="AD125" s="111"/>
      <c r="AE125" s="111"/>
      <c r="AF125" s="111"/>
      <c r="AG125" s="111"/>
      <c r="AH125" s="111"/>
      <c r="AI125" s="110"/>
      <c r="AJ125" s="110"/>
      <c r="AK125" s="110"/>
      <c r="AL125" s="110"/>
      <c r="AM125" s="110"/>
      <c r="AN125" s="110"/>
      <c r="AO125" s="110"/>
      <c r="AP125" s="110"/>
      <c r="AQ125" s="110"/>
      <c r="AR125" s="110"/>
      <c r="AS125" s="110"/>
      <c r="AT125" s="110"/>
      <c r="AU125" s="110"/>
      <c r="AV125" s="110"/>
      <c r="AW125" s="110"/>
      <c r="AX125" s="110"/>
      <c r="AY125" s="110"/>
      <c r="AZ125" s="110"/>
      <c r="BA125" s="110"/>
      <c r="BB125" s="110"/>
      <c r="BC125" s="110"/>
      <c r="BD125" s="110"/>
      <c r="BE125" s="110"/>
      <c r="BF125" s="110"/>
      <c r="BG125" s="110"/>
      <c r="BH125" s="110"/>
      <c r="BI125" s="110"/>
      <c r="BJ125" s="110"/>
      <c r="BK125" s="110"/>
      <c r="BL125" s="110"/>
      <c r="BM125" s="110"/>
      <c r="BN125" s="110"/>
      <c r="BO125" s="110"/>
      <c r="BP125" s="110"/>
      <c r="BQ125" s="110"/>
      <c r="BR125" s="110"/>
      <c r="BS125" s="110"/>
      <c r="BT125" s="110"/>
      <c r="BU125" s="110"/>
      <c r="BV125" s="110"/>
      <c r="BW125" s="110"/>
      <c r="BX125" s="110"/>
      <c r="BY125" s="110"/>
      <c r="BZ125" s="110"/>
      <c r="CA125" s="110"/>
      <c r="CB125" s="110"/>
      <c r="CC125" s="110"/>
      <c r="CD125" s="110"/>
      <c r="CE125" s="110"/>
      <c r="CF125" s="110"/>
      <c r="CG125" s="110"/>
      <c r="CH125" s="110"/>
      <c r="CI125" s="110"/>
      <c r="CJ125" s="110"/>
      <c r="CK125" s="110"/>
      <c r="CL125" s="110"/>
      <c r="CM125" s="110"/>
      <c r="CN125" s="110"/>
      <c r="CO125" s="110"/>
    </row>
    <row r="126" spans="1:93">
      <c r="A126" s="110"/>
      <c r="B126" s="110"/>
      <c r="C126" s="110"/>
      <c r="D126" s="110"/>
      <c r="E126" s="110"/>
      <c r="F126" s="110"/>
      <c r="G126" s="110"/>
      <c r="H126" s="110"/>
      <c r="I126" s="110"/>
      <c r="J126" s="110"/>
      <c r="K126" s="110"/>
      <c r="L126" s="110"/>
      <c r="M126" s="110"/>
      <c r="N126" s="110"/>
      <c r="O126" s="110"/>
      <c r="P126" s="110"/>
      <c r="Q126" s="110"/>
      <c r="R126" s="110"/>
      <c r="S126" s="110"/>
      <c r="T126" s="110"/>
      <c r="U126" s="111"/>
      <c r="V126" s="111"/>
      <c r="W126" s="111"/>
      <c r="X126" s="112"/>
      <c r="Y126" s="112"/>
      <c r="Z126" s="112"/>
      <c r="AA126" s="112"/>
      <c r="AB126" s="112"/>
      <c r="AC126" s="111"/>
      <c r="AD126" s="111"/>
      <c r="AE126" s="111"/>
      <c r="AF126" s="111"/>
      <c r="AG126" s="111"/>
      <c r="AH126" s="111"/>
      <c r="AI126" s="110"/>
      <c r="AJ126" s="110"/>
      <c r="AK126" s="110"/>
      <c r="AL126" s="110"/>
      <c r="AM126" s="110"/>
      <c r="AN126" s="110"/>
      <c r="AO126" s="110"/>
      <c r="AP126" s="110"/>
      <c r="AQ126" s="110"/>
      <c r="AR126" s="110"/>
      <c r="AS126" s="110"/>
      <c r="AT126" s="110"/>
      <c r="AU126" s="110"/>
      <c r="AV126" s="110"/>
      <c r="AW126" s="110"/>
      <c r="AX126" s="110"/>
      <c r="AY126" s="110"/>
      <c r="AZ126" s="110"/>
      <c r="BA126" s="110"/>
      <c r="BB126" s="110"/>
      <c r="BC126" s="110"/>
      <c r="BD126" s="110"/>
      <c r="BE126" s="110"/>
      <c r="BF126" s="110"/>
      <c r="BG126" s="110"/>
      <c r="BH126" s="110"/>
      <c r="BI126" s="110"/>
      <c r="BJ126" s="110"/>
      <c r="BK126" s="110"/>
      <c r="BL126" s="110"/>
      <c r="BM126" s="110"/>
      <c r="BN126" s="110"/>
      <c r="BO126" s="110"/>
      <c r="BP126" s="110"/>
      <c r="BQ126" s="110"/>
      <c r="BR126" s="110"/>
      <c r="BS126" s="110"/>
      <c r="BT126" s="110"/>
      <c r="BU126" s="110"/>
      <c r="BV126" s="110"/>
      <c r="BW126" s="110"/>
      <c r="BX126" s="110"/>
      <c r="BY126" s="110"/>
      <c r="BZ126" s="110"/>
      <c r="CA126" s="110"/>
      <c r="CB126" s="110"/>
      <c r="CC126" s="110"/>
      <c r="CD126" s="110"/>
      <c r="CE126" s="110"/>
      <c r="CF126" s="110"/>
      <c r="CG126" s="110"/>
      <c r="CH126" s="110"/>
      <c r="CI126" s="110"/>
      <c r="CJ126" s="110"/>
      <c r="CK126" s="110"/>
      <c r="CL126" s="110"/>
      <c r="CM126" s="110"/>
      <c r="CN126" s="110"/>
      <c r="CO126" s="110"/>
    </row>
    <row r="127" spans="1:93">
      <c r="A127" s="110"/>
      <c r="B127" s="110"/>
      <c r="C127" s="110"/>
      <c r="D127" s="110"/>
      <c r="E127" s="110"/>
      <c r="F127" s="110"/>
      <c r="G127" s="110"/>
      <c r="H127" s="110"/>
      <c r="I127" s="110"/>
      <c r="J127" s="110"/>
      <c r="K127" s="110"/>
      <c r="L127" s="110"/>
      <c r="M127" s="110"/>
      <c r="N127" s="110"/>
      <c r="O127" s="110"/>
      <c r="P127" s="110"/>
      <c r="Q127" s="110"/>
      <c r="R127" s="110"/>
      <c r="S127" s="110"/>
      <c r="T127" s="110"/>
      <c r="U127" s="111"/>
      <c r="V127" s="111"/>
      <c r="W127" s="111"/>
      <c r="X127" s="112"/>
      <c r="Y127" s="112"/>
      <c r="Z127" s="112"/>
      <c r="AA127" s="112"/>
      <c r="AB127" s="112"/>
      <c r="AC127" s="111"/>
      <c r="AD127" s="111"/>
      <c r="AE127" s="111"/>
      <c r="AF127" s="111"/>
      <c r="AG127" s="111"/>
      <c r="AH127" s="111"/>
      <c r="AI127" s="110"/>
      <c r="AJ127" s="110"/>
      <c r="AK127" s="110"/>
      <c r="AL127" s="110"/>
      <c r="AM127" s="110"/>
      <c r="AN127" s="110"/>
      <c r="AO127" s="110"/>
      <c r="AP127" s="110"/>
      <c r="AQ127" s="110"/>
      <c r="AR127" s="110"/>
      <c r="AS127" s="110"/>
      <c r="AT127" s="110"/>
      <c r="AU127" s="110"/>
      <c r="AV127" s="110"/>
      <c r="AW127" s="110"/>
      <c r="AX127" s="110"/>
      <c r="AY127" s="110"/>
      <c r="AZ127" s="110"/>
      <c r="BA127" s="110"/>
      <c r="BB127" s="110"/>
      <c r="BC127" s="110"/>
      <c r="BD127" s="110"/>
      <c r="BE127" s="110"/>
      <c r="BF127" s="110"/>
      <c r="BG127" s="110"/>
      <c r="BH127" s="110"/>
      <c r="BI127" s="110"/>
      <c r="BJ127" s="110"/>
      <c r="BK127" s="110"/>
      <c r="BL127" s="110"/>
      <c r="BM127" s="110"/>
      <c r="BN127" s="110"/>
      <c r="BO127" s="110"/>
      <c r="BP127" s="110"/>
      <c r="BQ127" s="110"/>
      <c r="BR127" s="110"/>
      <c r="BS127" s="110"/>
      <c r="BT127" s="110"/>
      <c r="BU127" s="110"/>
      <c r="BV127" s="110"/>
      <c r="BW127" s="110"/>
      <c r="BX127" s="110"/>
      <c r="BY127" s="110"/>
      <c r="BZ127" s="110"/>
      <c r="CA127" s="110"/>
      <c r="CB127" s="110"/>
      <c r="CC127" s="110"/>
      <c r="CD127" s="110"/>
      <c r="CE127" s="110"/>
      <c r="CF127" s="110"/>
      <c r="CG127" s="110"/>
      <c r="CH127" s="110"/>
      <c r="CI127" s="110"/>
      <c r="CJ127" s="110"/>
      <c r="CK127" s="110"/>
      <c r="CL127" s="110"/>
      <c r="CM127" s="110"/>
      <c r="CN127" s="110"/>
      <c r="CO127" s="110"/>
    </row>
    <row r="128" spans="1:93">
      <c r="A128" s="110"/>
      <c r="B128" s="110"/>
      <c r="C128" s="110"/>
      <c r="D128" s="110"/>
      <c r="E128" s="110"/>
      <c r="F128" s="110"/>
      <c r="G128" s="110"/>
      <c r="H128" s="110"/>
      <c r="I128" s="110"/>
      <c r="J128" s="110"/>
      <c r="K128" s="110"/>
      <c r="L128" s="110"/>
      <c r="M128" s="110"/>
      <c r="N128" s="110"/>
      <c r="O128" s="110"/>
      <c r="P128" s="110"/>
      <c r="Q128" s="110"/>
      <c r="R128" s="110"/>
      <c r="S128" s="110"/>
      <c r="T128" s="110"/>
      <c r="U128" s="111"/>
      <c r="V128" s="111"/>
      <c r="W128" s="111"/>
      <c r="X128" s="112"/>
      <c r="Y128" s="112"/>
      <c r="Z128" s="112"/>
      <c r="AA128" s="112"/>
      <c r="AB128" s="112"/>
      <c r="AC128" s="111"/>
      <c r="AD128" s="111"/>
      <c r="AE128" s="111"/>
      <c r="AF128" s="111"/>
      <c r="AG128" s="111"/>
      <c r="AH128" s="111"/>
      <c r="AI128" s="110"/>
      <c r="AJ128" s="110"/>
      <c r="AK128" s="110"/>
      <c r="AL128" s="110"/>
      <c r="AM128" s="110"/>
      <c r="AN128" s="110"/>
      <c r="AO128" s="110"/>
      <c r="AP128" s="110"/>
      <c r="AQ128" s="110"/>
      <c r="AR128" s="110"/>
      <c r="AS128" s="110"/>
      <c r="AT128" s="110"/>
      <c r="AU128" s="110"/>
      <c r="AV128" s="110"/>
      <c r="AW128" s="110"/>
      <c r="AX128" s="110"/>
      <c r="AY128" s="110"/>
      <c r="AZ128" s="110"/>
      <c r="BA128" s="110"/>
      <c r="BB128" s="110"/>
      <c r="BC128" s="110"/>
      <c r="BD128" s="110"/>
      <c r="BE128" s="110"/>
      <c r="BF128" s="110"/>
      <c r="BG128" s="110"/>
      <c r="BH128" s="110"/>
      <c r="BI128" s="110"/>
      <c r="BJ128" s="110"/>
      <c r="BK128" s="110"/>
      <c r="BL128" s="110"/>
      <c r="BM128" s="110"/>
      <c r="BN128" s="110"/>
      <c r="BO128" s="110"/>
      <c r="BP128" s="110"/>
      <c r="BQ128" s="110"/>
      <c r="BR128" s="110"/>
      <c r="BS128" s="110"/>
      <c r="BT128" s="110"/>
      <c r="BU128" s="110"/>
      <c r="BV128" s="110"/>
      <c r="BW128" s="110"/>
      <c r="BX128" s="110"/>
      <c r="BY128" s="110"/>
      <c r="BZ128" s="110"/>
      <c r="CA128" s="110"/>
      <c r="CB128" s="110"/>
      <c r="CC128" s="110"/>
      <c r="CD128" s="110"/>
      <c r="CE128" s="110"/>
      <c r="CF128" s="110"/>
      <c r="CG128" s="110"/>
      <c r="CH128" s="110"/>
      <c r="CI128" s="110"/>
      <c r="CJ128" s="110"/>
      <c r="CK128" s="110"/>
      <c r="CL128" s="110"/>
      <c r="CM128" s="110"/>
      <c r="CN128" s="110"/>
      <c r="CO128" s="110"/>
    </row>
    <row r="129" spans="1:111">
      <c r="A129" s="110"/>
      <c r="B129" s="110"/>
      <c r="C129" s="110"/>
      <c r="D129" s="110"/>
      <c r="E129" s="110"/>
      <c r="F129" s="110"/>
      <c r="G129" s="110"/>
      <c r="H129" s="110"/>
      <c r="I129" s="110"/>
      <c r="J129" s="110"/>
      <c r="K129" s="110"/>
      <c r="L129" s="110"/>
      <c r="M129" s="110"/>
      <c r="N129" s="110"/>
      <c r="O129" s="110"/>
      <c r="P129" s="110"/>
      <c r="Q129" s="110"/>
      <c r="R129" s="110"/>
      <c r="S129" s="110"/>
      <c r="T129" s="110"/>
      <c r="U129" s="111"/>
      <c r="V129" s="111"/>
      <c r="W129" s="111"/>
      <c r="X129" s="112"/>
      <c r="Y129" s="112"/>
      <c r="Z129" s="112"/>
      <c r="AA129" s="112"/>
      <c r="AB129" s="112"/>
      <c r="AC129" s="111"/>
      <c r="AD129" s="111"/>
      <c r="AE129" s="111"/>
      <c r="AF129" s="111"/>
      <c r="AG129" s="111"/>
      <c r="AH129" s="111"/>
      <c r="AI129" s="110"/>
      <c r="AJ129" s="110"/>
      <c r="AK129" s="110"/>
      <c r="AL129" s="110"/>
      <c r="AM129" s="110"/>
      <c r="AN129" s="110"/>
      <c r="AO129" s="110"/>
      <c r="AP129" s="110"/>
      <c r="AQ129" s="110"/>
      <c r="AR129" s="110"/>
      <c r="AS129" s="110"/>
      <c r="AT129" s="110"/>
      <c r="AU129" s="110"/>
      <c r="AV129" s="110"/>
      <c r="AW129" s="110"/>
      <c r="AX129" s="110"/>
      <c r="AY129" s="110"/>
      <c r="AZ129" s="110"/>
      <c r="BA129" s="110"/>
      <c r="BB129" s="110"/>
      <c r="BC129" s="110"/>
      <c r="BD129" s="110"/>
      <c r="BE129" s="110"/>
      <c r="BF129" s="110"/>
      <c r="BG129" s="110"/>
      <c r="BH129" s="110"/>
      <c r="BI129" s="110"/>
      <c r="BJ129" s="110"/>
      <c r="BK129" s="110"/>
      <c r="BL129" s="110"/>
      <c r="BM129" s="110"/>
      <c r="BN129" s="110"/>
      <c r="BO129" s="110"/>
      <c r="BP129" s="110"/>
      <c r="BQ129" s="110"/>
      <c r="BR129" s="110"/>
      <c r="BS129" s="110"/>
      <c r="BT129" s="110"/>
      <c r="BU129" s="110"/>
      <c r="BV129" s="110"/>
      <c r="BW129" s="110"/>
      <c r="BX129" s="110"/>
      <c r="BY129" s="110"/>
      <c r="BZ129" s="110"/>
      <c r="CA129" s="110"/>
      <c r="CB129" s="110"/>
      <c r="CC129" s="110"/>
      <c r="CD129" s="110"/>
      <c r="CE129" s="110"/>
      <c r="CF129" s="110"/>
      <c r="CG129" s="110"/>
      <c r="CH129" s="110"/>
      <c r="CI129" s="110"/>
      <c r="CJ129" s="110"/>
      <c r="CK129" s="110"/>
      <c r="CL129" s="110"/>
      <c r="CM129" s="110"/>
      <c r="CN129" s="110"/>
      <c r="CO129" s="110"/>
    </row>
    <row r="130" spans="1:111">
      <c r="A130" s="110"/>
      <c r="B130" s="110"/>
      <c r="C130" s="110"/>
      <c r="D130" s="110"/>
      <c r="E130" s="110"/>
      <c r="F130" s="110"/>
      <c r="G130" s="110"/>
      <c r="H130" s="110"/>
      <c r="I130" s="110"/>
      <c r="J130" s="110"/>
      <c r="K130" s="110"/>
      <c r="L130" s="110"/>
      <c r="M130" s="110"/>
      <c r="N130" s="110"/>
      <c r="O130" s="110"/>
      <c r="P130" s="110"/>
      <c r="Q130" s="110"/>
      <c r="R130" s="110"/>
      <c r="S130" s="110"/>
      <c r="T130" s="110"/>
      <c r="U130" s="111"/>
      <c r="V130" s="111"/>
      <c r="W130" s="111"/>
      <c r="X130" s="112"/>
      <c r="Y130" s="112"/>
      <c r="Z130" s="112"/>
      <c r="AA130" s="112"/>
      <c r="AB130" s="112"/>
      <c r="AC130" s="111"/>
      <c r="AD130" s="111"/>
      <c r="AE130" s="111"/>
      <c r="AF130" s="111"/>
      <c r="AG130" s="111"/>
      <c r="AH130" s="111"/>
      <c r="AI130" s="110"/>
      <c r="AJ130" s="110"/>
      <c r="AK130" s="110"/>
      <c r="AL130" s="110"/>
      <c r="AM130" s="110"/>
      <c r="AN130" s="110"/>
      <c r="AO130" s="110"/>
      <c r="AP130" s="110"/>
      <c r="AQ130" s="110"/>
      <c r="AR130" s="110"/>
      <c r="AS130" s="110"/>
      <c r="AT130" s="110"/>
      <c r="AU130" s="110"/>
      <c r="AV130" s="110"/>
      <c r="AW130" s="110"/>
      <c r="AX130" s="110"/>
      <c r="AY130" s="110"/>
      <c r="AZ130" s="110"/>
      <c r="BA130" s="110"/>
      <c r="BB130" s="110"/>
      <c r="BC130" s="110"/>
      <c r="BD130" s="110"/>
      <c r="BE130" s="110"/>
      <c r="BF130" s="110"/>
      <c r="BG130" s="110"/>
      <c r="BH130" s="110"/>
      <c r="BI130" s="110"/>
      <c r="BJ130" s="110"/>
      <c r="BK130" s="110"/>
      <c r="BL130" s="110"/>
      <c r="BM130" s="110"/>
      <c r="BN130" s="110"/>
      <c r="BO130" s="110"/>
      <c r="BP130" s="110"/>
      <c r="BQ130" s="110"/>
      <c r="BR130" s="110"/>
      <c r="BS130" s="110"/>
      <c r="BT130" s="110"/>
      <c r="BU130" s="110"/>
      <c r="BV130" s="110"/>
      <c r="BW130" s="110"/>
      <c r="BX130" s="110"/>
      <c r="BY130" s="110"/>
      <c r="BZ130" s="110"/>
      <c r="CA130" s="110"/>
      <c r="CB130" s="110"/>
      <c r="CC130" s="110"/>
      <c r="CD130" s="110"/>
      <c r="CE130" s="110"/>
      <c r="CF130" s="110"/>
      <c r="CG130" s="110"/>
      <c r="CH130" s="110"/>
      <c r="CI130" s="110"/>
      <c r="CJ130" s="110"/>
      <c r="CK130" s="110"/>
      <c r="CL130" s="110"/>
      <c r="CM130" s="110"/>
      <c r="CN130" s="110"/>
      <c r="CO130" s="110"/>
    </row>
    <row r="131" spans="1:111">
      <c r="A131" s="110"/>
      <c r="B131" s="110"/>
      <c r="C131" s="110"/>
      <c r="D131" s="110"/>
      <c r="E131" s="110"/>
      <c r="F131" s="110"/>
      <c r="G131" s="110"/>
      <c r="H131" s="110"/>
      <c r="I131" s="110"/>
      <c r="J131" s="110"/>
      <c r="K131" s="110"/>
      <c r="L131" s="110"/>
      <c r="M131" s="110"/>
      <c r="N131" s="110"/>
      <c r="O131" s="110"/>
      <c r="P131" s="110"/>
      <c r="Q131" s="110"/>
      <c r="R131" s="110"/>
      <c r="S131" s="110"/>
      <c r="T131" s="110"/>
      <c r="U131" s="111"/>
      <c r="V131" s="111"/>
      <c r="W131" s="111"/>
      <c r="X131" s="112"/>
      <c r="Y131" s="112"/>
      <c r="Z131" s="112"/>
      <c r="AA131" s="112"/>
      <c r="AB131" s="112"/>
      <c r="AC131" s="111"/>
      <c r="AD131" s="111"/>
      <c r="AE131" s="111"/>
      <c r="AF131" s="111"/>
      <c r="AG131" s="111"/>
      <c r="AH131" s="111"/>
      <c r="AI131" s="110"/>
      <c r="AJ131" s="110"/>
      <c r="AK131" s="110"/>
      <c r="AL131" s="110"/>
      <c r="AM131" s="110"/>
      <c r="AN131" s="110"/>
      <c r="AO131" s="110"/>
      <c r="AP131" s="110"/>
      <c r="AQ131" s="110"/>
      <c r="AR131" s="110"/>
      <c r="AS131" s="110"/>
      <c r="AT131" s="110"/>
      <c r="AU131" s="110"/>
      <c r="AV131" s="110"/>
      <c r="AW131" s="110"/>
      <c r="AX131" s="110"/>
      <c r="AY131" s="110"/>
      <c r="AZ131" s="110"/>
      <c r="BA131" s="110"/>
      <c r="BB131" s="110"/>
      <c r="BC131" s="110"/>
      <c r="BD131" s="110"/>
      <c r="BE131" s="110"/>
      <c r="BF131" s="110"/>
      <c r="BG131" s="110"/>
      <c r="BH131" s="110"/>
      <c r="BI131" s="110"/>
      <c r="BJ131" s="110"/>
      <c r="BK131" s="110"/>
      <c r="BL131" s="110"/>
      <c r="BM131" s="110"/>
      <c r="BN131" s="110"/>
      <c r="BO131" s="110"/>
      <c r="BP131" s="110"/>
      <c r="BQ131" s="110"/>
      <c r="BR131" s="110"/>
      <c r="BS131" s="110"/>
      <c r="BT131" s="110"/>
      <c r="BU131" s="110"/>
      <c r="BV131" s="110"/>
      <c r="BW131" s="110"/>
      <c r="BX131" s="110"/>
      <c r="BY131" s="110"/>
      <c r="BZ131" s="110"/>
      <c r="CA131" s="110"/>
      <c r="CB131" s="110"/>
      <c r="CC131" s="110"/>
      <c r="CD131" s="110"/>
      <c r="CE131" s="110"/>
      <c r="CF131" s="110"/>
      <c r="CG131" s="110"/>
      <c r="CH131" s="110"/>
      <c r="CI131" s="110"/>
      <c r="CJ131" s="110"/>
      <c r="CK131" s="110"/>
      <c r="CL131" s="110"/>
      <c r="CM131" s="110"/>
      <c r="CN131" s="110"/>
      <c r="CO131" s="110"/>
    </row>
    <row r="132" spans="1:111">
      <c r="A132" s="110"/>
      <c r="B132" s="110"/>
      <c r="C132" s="110"/>
      <c r="D132" s="110"/>
      <c r="E132" s="110"/>
      <c r="F132" s="110"/>
      <c r="G132" s="110"/>
      <c r="H132" s="110"/>
      <c r="I132" s="110"/>
      <c r="J132" s="110"/>
      <c r="K132" s="110"/>
      <c r="L132" s="110"/>
      <c r="M132" s="110"/>
      <c r="N132" s="110"/>
      <c r="O132" s="110"/>
      <c r="P132" s="110"/>
      <c r="Q132" s="110"/>
      <c r="R132" s="110"/>
      <c r="S132" s="110"/>
      <c r="T132" s="110"/>
      <c r="U132" s="111"/>
      <c r="V132" s="111"/>
      <c r="W132" s="111"/>
      <c r="X132" s="112"/>
      <c r="Y132" s="112"/>
      <c r="Z132" s="112"/>
      <c r="AA132" s="112"/>
      <c r="AB132" s="112"/>
      <c r="AC132" s="111"/>
      <c r="AD132" s="111"/>
      <c r="AE132" s="111"/>
      <c r="AF132" s="111"/>
      <c r="AG132" s="111"/>
      <c r="AH132" s="111"/>
      <c r="AI132" s="110"/>
      <c r="AJ132" s="110"/>
      <c r="AK132" s="110"/>
      <c r="AL132" s="110"/>
      <c r="AM132" s="110"/>
      <c r="AN132" s="110"/>
      <c r="AO132" s="110"/>
      <c r="AP132" s="110"/>
      <c r="AQ132" s="110"/>
      <c r="AR132" s="110"/>
      <c r="AS132" s="110"/>
      <c r="AT132" s="110"/>
      <c r="AU132" s="110"/>
      <c r="AV132" s="110"/>
      <c r="AW132" s="110"/>
      <c r="AX132" s="110"/>
      <c r="AY132" s="110"/>
      <c r="AZ132" s="110"/>
      <c r="BA132" s="110"/>
      <c r="BB132" s="110"/>
      <c r="BC132" s="110"/>
      <c r="BD132" s="110"/>
      <c r="BE132" s="110"/>
      <c r="BF132" s="110"/>
      <c r="BG132" s="110"/>
      <c r="BH132" s="110"/>
      <c r="BI132" s="110"/>
      <c r="BJ132" s="110"/>
      <c r="BK132" s="110"/>
      <c r="BL132" s="110"/>
      <c r="BM132" s="110"/>
      <c r="BN132" s="110"/>
      <c r="BO132" s="110"/>
      <c r="BP132" s="110"/>
      <c r="BQ132" s="110"/>
      <c r="BR132" s="110"/>
      <c r="BS132" s="110"/>
      <c r="BT132" s="110"/>
      <c r="BU132" s="110"/>
      <c r="BV132" s="110"/>
      <c r="BW132" s="110"/>
      <c r="BX132" s="110"/>
      <c r="BY132" s="110"/>
      <c r="BZ132" s="110"/>
      <c r="CA132" s="110"/>
      <c r="CB132" s="110"/>
      <c r="CC132" s="110"/>
      <c r="CD132" s="110"/>
      <c r="CE132" s="110"/>
      <c r="CF132" s="110"/>
      <c r="CG132" s="110"/>
      <c r="CH132" s="110"/>
      <c r="CI132" s="110"/>
      <c r="CJ132" s="110"/>
      <c r="CK132" s="110"/>
      <c r="CL132" s="110"/>
      <c r="CM132" s="110"/>
      <c r="CN132" s="110"/>
      <c r="CO132" s="110"/>
    </row>
    <row r="133" spans="1:111">
      <c r="A133" s="110"/>
      <c r="B133" s="110"/>
      <c r="C133" s="110"/>
      <c r="D133" s="110"/>
      <c r="E133" s="110"/>
      <c r="F133" s="110"/>
      <c r="G133" s="110"/>
      <c r="H133" s="110"/>
      <c r="I133" s="110"/>
      <c r="J133" s="110"/>
      <c r="K133" s="110"/>
      <c r="L133" s="110"/>
      <c r="M133" s="110"/>
      <c r="N133" s="110"/>
      <c r="O133" s="110"/>
      <c r="P133" s="110"/>
      <c r="Q133" s="110"/>
      <c r="R133" s="110"/>
      <c r="S133" s="110"/>
      <c r="T133" s="110"/>
      <c r="U133" s="111"/>
      <c r="V133" s="111"/>
      <c r="W133" s="111"/>
      <c r="X133" s="112"/>
      <c r="Y133" s="112"/>
      <c r="Z133" s="112"/>
      <c r="AA133" s="112"/>
      <c r="AB133" s="112"/>
      <c r="AC133" s="111"/>
      <c r="AD133" s="111"/>
      <c r="AE133" s="111"/>
      <c r="AF133" s="111"/>
      <c r="AG133" s="111"/>
      <c r="AH133" s="111"/>
      <c r="AI133" s="110"/>
      <c r="AJ133" s="110"/>
      <c r="AK133" s="110"/>
      <c r="AL133" s="110"/>
      <c r="AM133" s="110"/>
      <c r="AN133" s="110"/>
      <c r="AO133" s="110"/>
      <c r="AP133" s="110"/>
      <c r="AQ133" s="110"/>
      <c r="AR133" s="110"/>
      <c r="AS133" s="110"/>
      <c r="AT133" s="110"/>
      <c r="AU133" s="110"/>
      <c r="AV133" s="110"/>
      <c r="AW133" s="110"/>
      <c r="AX133" s="110"/>
      <c r="AY133" s="110"/>
      <c r="AZ133" s="110"/>
      <c r="BA133" s="110"/>
      <c r="BB133" s="110"/>
      <c r="BC133" s="110"/>
      <c r="BD133" s="110"/>
      <c r="BE133" s="110"/>
      <c r="BF133" s="110"/>
      <c r="BG133" s="110"/>
      <c r="BH133" s="110"/>
      <c r="BI133" s="110"/>
      <c r="BJ133" s="110"/>
      <c r="BK133" s="110"/>
      <c r="BL133" s="110"/>
      <c r="BM133" s="110"/>
      <c r="BN133" s="110"/>
      <c r="BO133" s="110"/>
      <c r="BP133" s="110"/>
      <c r="BQ133" s="110"/>
      <c r="BR133" s="110"/>
      <c r="BS133" s="110"/>
      <c r="BT133" s="110"/>
      <c r="BU133" s="110"/>
      <c r="BV133" s="110"/>
      <c r="BW133" s="110"/>
      <c r="BX133" s="110"/>
      <c r="BY133" s="110"/>
      <c r="BZ133" s="110"/>
      <c r="CA133" s="110"/>
      <c r="CB133" s="110"/>
      <c r="CC133" s="110"/>
      <c r="CD133" s="110"/>
      <c r="CE133" s="110"/>
      <c r="CF133" s="110"/>
      <c r="CG133" s="110"/>
      <c r="CH133" s="110"/>
      <c r="CI133" s="110"/>
      <c r="CJ133" s="110"/>
      <c r="CK133" s="110"/>
      <c r="CL133" s="110"/>
      <c r="CM133" s="110"/>
      <c r="CN133" s="110"/>
      <c r="CO133" s="110"/>
    </row>
    <row r="134" spans="1:111" ht="15">
      <c r="A134" s="110"/>
      <c r="B134" s="110"/>
      <c r="C134" s="110"/>
      <c r="D134" s="110"/>
      <c r="E134" s="110"/>
      <c r="F134" s="110"/>
      <c r="G134" s="110"/>
      <c r="H134" s="110"/>
      <c r="I134" s="110"/>
      <c r="J134" s="110"/>
      <c r="K134" s="110"/>
      <c r="L134" s="110"/>
      <c r="M134" s="110"/>
      <c r="N134" s="110"/>
      <c r="O134" s="110"/>
      <c r="P134" s="480"/>
      <c r="Q134" s="110"/>
      <c r="R134" s="110"/>
      <c r="S134" s="110"/>
      <c r="T134" s="110"/>
      <c r="U134" s="111"/>
      <c r="V134" s="111"/>
      <c r="W134" s="111"/>
      <c r="X134" s="112"/>
      <c r="Y134" s="112"/>
      <c r="Z134" s="112"/>
      <c r="AA134" s="112"/>
      <c r="AB134" s="112"/>
      <c r="AC134" s="111"/>
      <c r="AD134" s="111"/>
      <c r="AE134" s="111"/>
      <c r="AF134" s="111"/>
      <c r="AG134" s="111"/>
      <c r="AH134" s="111"/>
      <c r="AI134" s="110"/>
      <c r="AJ134" s="110"/>
      <c r="AK134" s="110"/>
      <c r="AL134" s="110"/>
      <c r="AM134" s="110"/>
      <c r="AN134" s="110"/>
      <c r="AO134" s="110"/>
      <c r="AP134" s="110"/>
      <c r="AQ134" s="110"/>
      <c r="AR134" s="110"/>
      <c r="AS134" s="110"/>
      <c r="AT134" s="110"/>
      <c r="AU134" s="110"/>
      <c r="AV134" s="110"/>
      <c r="AW134" s="110"/>
      <c r="AX134" s="110"/>
      <c r="AY134" s="110"/>
      <c r="AZ134" s="110"/>
      <c r="BA134" s="110"/>
      <c r="BB134" s="110"/>
      <c r="BC134" s="110"/>
      <c r="BD134" s="110"/>
      <c r="BE134" s="110"/>
      <c r="BF134" s="110"/>
      <c r="BG134" s="110"/>
      <c r="BH134" s="110"/>
      <c r="BI134" s="110"/>
      <c r="BJ134" s="110"/>
      <c r="BK134" s="110"/>
      <c r="BL134" s="110"/>
      <c r="BM134" s="110"/>
      <c r="BN134" s="110"/>
      <c r="BO134" s="110"/>
      <c r="BP134" s="110"/>
      <c r="BQ134" s="110"/>
      <c r="BR134" s="110"/>
      <c r="BS134" s="110"/>
      <c r="BT134" s="110"/>
      <c r="BU134" s="110"/>
      <c r="BV134" s="110"/>
      <c r="BW134" s="110"/>
      <c r="BX134" s="110"/>
      <c r="BY134" s="110"/>
      <c r="BZ134" s="110"/>
      <c r="CA134" s="110"/>
      <c r="CB134" s="110"/>
      <c r="CC134" s="110"/>
      <c r="CD134" s="110"/>
      <c r="CE134" s="110"/>
      <c r="CF134" s="110"/>
      <c r="CG134" s="110"/>
      <c r="CH134" s="110"/>
      <c r="CI134" s="110"/>
      <c r="CJ134" s="110"/>
      <c r="CK134" s="110"/>
      <c r="CL134" s="110"/>
      <c r="CM134" s="110"/>
      <c r="CN134" s="110"/>
      <c r="CO134" s="110"/>
    </row>
    <row r="135" spans="1:111" ht="15">
      <c r="A135" s="110"/>
      <c r="B135" s="110"/>
      <c r="C135" s="110"/>
      <c r="D135" s="110"/>
      <c r="E135" s="110"/>
      <c r="F135" s="110"/>
      <c r="G135" s="110"/>
      <c r="H135" s="110"/>
      <c r="I135" s="110"/>
      <c r="J135" s="110"/>
      <c r="K135" s="110"/>
      <c r="L135" s="110"/>
      <c r="M135" s="110"/>
      <c r="N135" s="110"/>
      <c r="O135" s="110"/>
      <c r="P135" s="480"/>
      <c r="Q135" s="110"/>
      <c r="R135" s="110"/>
      <c r="S135" s="110"/>
      <c r="T135" s="110"/>
      <c r="U135" s="111"/>
      <c r="V135" s="111"/>
      <c r="W135" s="111"/>
      <c r="X135" s="112"/>
      <c r="Y135" s="112"/>
      <c r="Z135" s="112"/>
      <c r="AA135" s="112"/>
      <c r="AB135" s="112"/>
      <c r="AC135" s="111"/>
      <c r="AD135" s="111"/>
      <c r="AE135" s="111"/>
      <c r="AF135" s="111"/>
      <c r="AG135" s="111"/>
      <c r="AH135" s="111"/>
      <c r="AI135" s="110"/>
      <c r="AJ135" s="110"/>
      <c r="AK135" s="110"/>
      <c r="AL135" s="110"/>
      <c r="AM135" s="110"/>
      <c r="AN135" s="110"/>
      <c r="AO135" s="110"/>
      <c r="AP135" s="110"/>
      <c r="AQ135" s="110"/>
      <c r="AR135" s="110"/>
      <c r="AS135" s="110"/>
      <c r="AT135" s="110"/>
      <c r="AU135" s="110"/>
      <c r="AV135" s="110"/>
      <c r="AW135" s="110"/>
      <c r="AX135" s="110"/>
      <c r="AY135" s="110"/>
      <c r="AZ135" s="110"/>
      <c r="BA135" s="110"/>
      <c r="BB135" s="110"/>
      <c r="BC135" s="110"/>
      <c r="BD135" s="110"/>
      <c r="BE135" s="110"/>
      <c r="BF135" s="110"/>
      <c r="BG135" s="110"/>
      <c r="BH135" s="110"/>
      <c r="BI135" s="110"/>
      <c r="BJ135" s="110"/>
      <c r="BK135" s="110"/>
      <c r="BL135" s="110"/>
      <c r="BM135" s="110"/>
      <c r="BN135" s="110"/>
      <c r="BO135" s="110"/>
      <c r="BP135" s="110"/>
      <c r="BQ135" s="110"/>
      <c r="BR135" s="110"/>
      <c r="BS135" s="2035"/>
      <c r="BT135" s="2035"/>
      <c r="BU135" s="110"/>
      <c r="BV135" s="110"/>
      <c r="BW135" s="110"/>
      <c r="BX135" s="110"/>
      <c r="BY135" s="110"/>
      <c r="BZ135" s="110"/>
      <c r="CA135" s="110"/>
      <c r="CB135" s="110"/>
      <c r="CC135" s="110"/>
      <c r="CD135" s="110"/>
      <c r="CE135" s="110"/>
      <c r="CF135" s="110"/>
      <c r="CG135" s="110"/>
      <c r="CH135" s="110"/>
      <c r="CI135" s="110"/>
      <c r="CJ135" s="110"/>
      <c r="CK135" s="110"/>
      <c r="CL135" s="110"/>
      <c r="CM135" s="110"/>
      <c r="CN135" s="110"/>
      <c r="CO135" s="110"/>
    </row>
    <row r="136" spans="1:111" s="481" customFormat="1" ht="15" hidden="1">
      <c r="A136" s="482"/>
      <c r="U136" s="483"/>
      <c r="V136" s="483"/>
      <c r="W136" s="483"/>
      <c r="X136" s="106"/>
      <c r="Y136" s="106"/>
      <c r="Z136" s="106"/>
      <c r="AA136" s="106"/>
      <c r="AB136" s="106"/>
      <c r="AC136" s="483"/>
      <c r="AD136" s="483"/>
      <c r="AE136" s="483"/>
      <c r="AF136" s="483"/>
      <c r="AG136" s="483"/>
      <c r="AH136" s="483"/>
      <c r="DB136" s="484"/>
      <c r="DD136" s="108"/>
      <c r="DE136" s="109"/>
      <c r="DF136" s="109"/>
      <c r="DG136" s="108"/>
    </row>
    <row r="137" spans="1:111" s="481" customFormat="1" ht="15" hidden="1">
      <c r="U137" s="483"/>
      <c r="V137" s="483"/>
      <c r="W137" s="483"/>
      <c r="X137" s="106"/>
      <c r="Y137" s="106"/>
      <c r="Z137" s="106"/>
      <c r="AA137" s="106"/>
      <c r="AB137" s="106"/>
      <c r="AC137" s="483"/>
      <c r="AD137" s="483"/>
      <c r="AE137" s="483"/>
      <c r="AF137" s="483"/>
      <c r="AG137" s="483"/>
      <c r="AH137" s="483"/>
      <c r="BC137" s="485"/>
      <c r="BD137" s="485"/>
      <c r="BE137" s="486"/>
      <c r="BJ137" s="487">
        <f t="shared" ref="BJ137:BJ148" si="12">IF(CD283=BJ$151,BN$151,IF(CD283=BJ$152,BN$152,IF(CD283=BJ$153,BN$153,0)))</f>
        <v>0</v>
      </c>
      <c r="BK137" s="488">
        <f>IF(CD283=BJ$151,BO$151,IF(CD283=BJ$152,BO$152,IF(CD283=BJ$153,BO$153,0)))</f>
        <v>0</v>
      </c>
      <c r="DB137" s="484"/>
      <c r="DD137" s="108"/>
      <c r="DE137" s="109"/>
      <c r="DF137" s="109"/>
      <c r="DG137" s="108"/>
    </row>
    <row r="138" spans="1:111" s="481" customFormat="1" ht="15" hidden="1">
      <c r="U138" s="483"/>
      <c r="V138" s="483"/>
      <c r="W138" s="483"/>
      <c r="X138" s="106"/>
      <c r="Y138" s="106"/>
      <c r="Z138" s="106"/>
      <c r="AA138" s="106"/>
      <c r="AB138" s="106"/>
      <c r="AC138" s="483"/>
      <c r="AD138" s="483"/>
      <c r="AE138" s="483"/>
      <c r="AF138" s="483"/>
      <c r="AG138" s="483"/>
      <c r="AH138" s="483"/>
      <c r="BC138" s="486"/>
      <c r="BD138" s="486"/>
      <c r="BE138" s="486"/>
      <c r="BJ138" s="489">
        <f t="shared" si="12"/>
        <v>0</v>
      </c>
      <c r="BK138" s="490">
        <f>IF(CD284=BJ$151,BO$151,IF(CD284=BJ$152,BO$152,IF(CD284=BJ$153,BO$153,0)))</f>
        <v>0</v>
      </c>
      <c r="DB138" s="484"/>
      <c r="DD138" s="108"/>
      <c r="DE138" s="109"/>
      <c r="DF138" s="109"/>
      <c r="DG138" s="108"/>
    </row>
    <row r="139" spans="1:111" s="481" customFormat="1" ht="15" hidden="1">
      <c r="U139" s="483"/>
      <c r="V139" s="483"/>
      <c r="W139" s="483"/>
      <c r="X139" s="106"/>
      <c r="Y139" s="106"/>
      <c r="Z139" s="106"/>
      <c r="AA139" s="106"/>
      <c r="AB139" s="106"/>
      <c r="AC139" s="483"/>
      <c r="AD139" s="483"/>
      <c r="AE139" s="483"/>
      <c r="AF139" s="483"/>
      <c r="AG139" s="483"/>
      <c r="AH139" s="483"/>
      <c r="BC139" s="485"/>
      <c r="BD139" s="485"/>
      <c r="BE139" s="486"/>
      <c r="BJ139" s="489">
        <f t="shared" si="12"/>
        <v>0</v>
      </c>
      <c r="BK139" s="490">
        <f t="shared" ref="BK139:BK148" si="13">IF(CD285=BJ$151,BO$151,IF(CD285=BJ$152,BO$152,IF(CD285=BJ$153,BO$153,0)))</f>
        <v>0</v>
      </c>
      <c r="DB139" s="484"/>
      <c r="DD139" s="108"/>
      <c r="DE139" s="109"/>
      <c r="DF139" s="109"/>
      <c r="DG139" s="108"/>
    </row>
    <row r="140" spans="1:111" s="481" customFormat="1" ht="15" hidden="1">
      <c r="U140" s="483"/>
      <c r="V140" s="483"/>
      <c r="W140" s="483"/>
      <c r="X140" s="106"/>
      <c r="Y140" s="106"/>
      <c r="Z140" s="106"/>
      <c r="AA140" s="106"/>
      <c r="AB140" s="106"/>
      <c r="AC140" s="483"/>
      <c r="AD140" s="483"/>
      <c r="AE140" s="483"/>
      <c r="AF140" s="483"/>
      <c r="AG140" s="483"/>
      <c r="AH140" s="483"/>
      <c r="AZ140" s="480"/>
      <c r="BA140" s="491">
        <f>AZ141-1</f>
        <v>7</v>
      </c>
      <c r="BB140" s="492"/>
      <c r="BC140" s="486"/>
      <c r="BD140" s="486"/>
      <c r="BE140" s="486"/>
      <c r="BJ140" s="489">
        <f t="shared" si="12"/>
        <v>0</v>
      </c>
      <c r="BK140" s="490">
        <f t="shared" si="13"/>
        <v>0</v>
      </c>
      <c r="DB140" s="484"/>
      <c r="DD140" s="108"/>
      <c r="DE140" s="109"/>
      <c r="DF140" s="109"/>
      <c r="DG140" s="108"/>
    </row>
    <row r="141" spans="1:111" s="481" customFormat="1" ht="15" hidden="1">
      <c r="U141" s="483"/>
      <c r="V141" s="483"/>
      <c r="W141" s="483"/>
      <c r="X141" s="106"/>
      <c r="Y141" s="106"/>
      <c r="Z141" s="106"/>
      <c r="AA141" s="106"/>
      <c r="AB141" s="106"/>
      <c r="AC141" s="483"/>
      <c r="AD141" s="483"/>
      <c r="AE141" s="483"/>
      <c r="AF141" s="483"/>
      <c r="AG141" s="483"/>
      <c r="AH141" s="483"/>
      <c r="AZ141" s="491">
        <f>IF(BD274=2,BD261,IF(BD275=2,BD262,IF(BD276=2,BD263,0)))</f>
        <v>8</v>
      </c>
      <c r="BA141" s="480">
        <f>IF(AZ141=14,2,IF(AZ141=13,1,BA140))</f>
        <v>7</v>
      </c>
      <c r="BC141" s="485"/>
      <c r="BD141" s="493"/>
      <c r="BE141" s="486"/>
      <c r="BJ141" s="489">
        <f t="shared" si="12"/>
        <v>0</v>
      </c>
      <c r="BK141" s="490">
        <f t="shared" si="13"/>
        <v>0</v>
      </c>
      <c r="DB141" s="484"/>
      <c r="DD141" s="108"/>
      <c r="DE141" s="109"/>
      <c r="DF141" s="109"/>
      <c r="DG141" s="108"/>
    </row>
    <row r="142" spans="1:111" s="481" customFormat="1" ht="15" hidden="1">
      <c r="U142" s="483"/>
      <c r="V142" s="483"/>
      <c r="W142" s="483"/>
      <c r="X142" s="106"/>
      <c r="Y142" s="106"/>
      <c r="Z142" s="106"/>
      <c r="AA142" s="106"/>
      <c r="AB142" s="106"/>
      <c r="AC142" s="483"/>
      <c r="AD142" s="483"/>
      <c r="AE142" s="483"/>
      <c r="AF142" s="483"/>
      <c r="AG142" s="483"/>
      <c r="AH142" s="483"/>
      <c r="BC142" s="486"/>
      <c r="BD142" s="486"/>
      <c r="BE142" s="486"/>
      <c r="BJ142" s="489">
        <f t="shared" si="12"/>
        <v>0</v>
      </c>
      <c r="BK142" s="490">
        <f t="shared" si="13"/>
        <v>0</v>
      </c>
      <c r="BL142" s="481">
        <f>BL143+1</f>
        <v>9</v>
      </c>
      <c r="BN142" s="481">
        <f>BN143+1</f>
        <v>9</v>
      </c>
      <c r="BP142" s="481">
        <f>BP143+1</f>
        <v>13</v>
      </c>
      <c r="DB142" s="484"/>
      <c r="DD142" s="108"/>
      <c r="DE142" s="109"/>
      <c r="DF142" s="109"/>
      <c r="DG142" s="108"/>
    </row>
    <row r="143" spans="1:111" s="481" customFormat="1" ht="15" hidden="1">
      <c r="U143" s="483"/>
      <c r="V143" s="483"/>
      <c r="W143" s="483"/>
      <c r="X143" s="106"/>
      <c r="Y143" s="106"/>
      <c r="Z143" s="106"/>
      <c r="AA143" s="106"/>
      <c r="AB143" s="106"/>
      <c r="AC143" s="483"/>
      <c r="AD143" s="483"/>
      <c r="AE143" s="483"/>
      <c r="AF143" s="483"/>
      <c r="AG143" s="483"/>
      <c r="AH143" s="483"/>
      <c r="BC143" s="486"/>
      <c r="BD143" s="486" t="str">
        <f>""</f>
        <v/>
      </c>
      <c r="BE143" s="486"/>
      <c r="BJ143" s="489">
        <f t="shared" si="12"/>
        <v>0</v>
      </c>
      <c r="BK143" s="490">
        <f t="shared" si="13"/>
        <v>0</v>
      </c>
      <c r="BL143" s="494">
        <v>8</v>
      </c>
      <c r="BM143" s="495">
        <f>VLOOKUP(BL142,BP151:BQ165,2,0)</f>
        <v>44409</v>
      </c>
      <c r="BN143" s="494">
        <v>8</v>
      </c>
      <c r="BO143" s="495">
        <f>VLOOKUP(BN142,BP151:BQ165,2,0)</f>
        <v>44409</v>
      </c>
      <c r="BP143" s="494">
        <v>12</v>
      </c>
      <c r="BQ143" s="495">
        <f>VLOOKUP(BP142,BP151:BQ165,2,0)</f>
        <v>44531</v>
      </c>
      <c r="BS143" s="2034" t="s">
        <v>34</v>
      </c>
      <c r="BT143" s="2034"/>
      <c r="DB143" s="484"/>
      <c r="DD143" s="108"/>
      <c r="DE143" s="109"/>
      <c r="DF143" s="109"/>
      <c r="DG143" s="108"/>
    </row>
    <row r="144" spans="1:111" s="481" customFormat="1" ht="15" hidden="1">
      <c r="U144" s="483"/>
      <c r="V144" s="483"/>
      <c r="W144" s="483"/>
      <c r="X144" s="106"/>
      <c r="Y144" s="106"/>
      <c r="Z144" s="106"/>
      <c r="AA144" s="106"/>
      <c r="AB144" s="106"/>
      <c r="AC144" s="483"/>
      <c r="AD144" s="483"/>
      <c r="AE144" s="483"/>
      <c r="AF144" s="483"/>
      <c r="AG144" s="483"/>
      <c r="AH144" s="483"/>
      <c r="AT144" s="481" t="s">
        <v>573</v>
      </c>
      <c r="AU144" s="481" t="s">
        <v>574</v>
      </c>
      <c r="AV144" s="481" t="s">
        <v>575</v>
      </c>
      <c r="AW144" s="481">
        <f>'DA Table'!Z198</f>
        <v>19500</v>
      </c>
      <c r="AX144" s="481">
        <v>7</v>
      </c>
      <c r="AY144" s="496">
        <v>43282</v>
      </c>
      <c r="AZ144" s="486"/>
      <c r="BA144" s="486">
        <f>IF(AY144=AT196,AU197,0)+ROUND(AW144*AU$146,0)-ROUND(AW144*AT$146,0)</f>
        <v>613</v>
      </c>
      <c r="BE144" s="497" t="s">
        <v>25</v>
      </c>
      <c r="BJ144" s="489">
        <f t="shared" si="12"/>
        <v>0</v>
      </c>
      <c r="BK144" s="490">
        <f t="shared" si="13"/>
        <v>0</v>
      </c>
      <c r="BL144" s="498">
        <v>1</v>
      </c>
      <c r="BM144" s="499" t="str">
        <f>VLOOKUP(BL144,BP151:BQ165,2,0)</f>
        <v>No Change</v>
      </c>
      <c r="BR144" s="481">
        <v>1</v>
      </c>
      <c r="BS144" s="500">
        <v>6700</v>
      </c>
      <c r="BT144" s="500">
        <v>6900</v>
      </c>
      <c r="BU144" s="500">
        <v>7100</v>
      </c>
      <c r="DB144" s="484"/>
      <c r="DD144" s="108"/>
      <c r="DE144" s="109"/>
      <c r="DF144" s="109"/>
      <c r="DG144" s="108"/>
    </row>
    <row r="145" spans="21:111" s="481" customFormat="1" ht="15" hidden="1">
      <c r="U145" s="483"/>
      <c r="V145" s="483"/>
      <c r="W145" s="483"/>
      <c r="X145" s="106"/>
      <c r="Y145" s="106"/>
      <c r="Z145" s="106"/>
      <c r="AA145" s="106"/>
      <c r="AB145" s="106"/>
      <c r="AC145" s="483"/>
      <c r="AD145" s="483"/>
      <c r="AE145" s="483"/>
      <c r="AF145" s="483"/>
      <c r="AG145" s="483"/>
      <c r="AH145" s="483"/>
      <c r="AQ145" s="501" t="s">
        <v>576</v>
      </c>
      <c r="AS145" s="502">
        <v>43101</v>
      </c>
      <c r="AT145" s="503">
        <v>0.25675999999999999</v>
      </c>
      <c r="AU145" s="503">
        <v>0.27248</v>
      </c>
      <c r="AV145" s="503">
        <f>AU145-AT145</f>
        <v>1.5720000000000012E-2</v>
      </c>
      <c r="AW145" s="481">
        <f>'DA Table'!Z199</f>
        <v>20050</v>
      </c>
      <c r="AX145" s="481">
        <v>8</v>
      </c>
      <c r="AY145" s="496">
        <v>43313</v>
      </c>
      <c r="AZ145" s="486"/>
      <c r="BA145" s="486">
        <f t="shared" ref="BA145:BA173" si="14">ROUND(AW145*AU$146,0)-ROUND(AW145*AT$146,0)</f>
        <v>631</v>
      </c>
      <c r="BE145" s="497" t="s">
        <v>26</v>
      </c>
      <c r="BG145" s="504">
        <f>VLOOKUP(BJ151,BF$156:BG$169,2,TRUE)</f>
        <v>44408</v>
      </c>
      <c r="BJ145" s="489">
        <f t="shared" si="12"/>
        <v>0</v>
      </c>
      <c r="BK145" s="490">
        <f t="shared" si="13"/>
        <v>0</v>
      </c>
      <c r="BM145" s="504"/>
      <c r="BR145" s="481">
        <v>2</v>
      </c>
      <c r="BS145" s="500">
        <v>6900</v>
      </c>
      <c r="BT145" s="500">
        <v>7100</v>
      </c>
      <c r="BU145" s="500">
        <v>7300</v>
      </c>
      <c r="DB145" s="484"/>
      <c r="DD145" s="108"/>
      <c r="DE145" s="109"/>
      <c r="DF145" s="109"/>
      <c r="DG145" s="108"/>
    </row>
    <row r="146" spans="21:111" s="481" customFormat="1" ht="15" hidden="1">
      <c r="U146" s="483"/>
      <c r="V146" s="483"/>
      <c r="W146" s="483"/>
      <c r="X146" s="106"/>
      <c r="Y146" s="106"/>
      <c r="Z146" s="106"/>
      <c r="AA146" s="106"/>
      <c r="AB146" s="106"/>
      <c r="AC146" s="483"/>
      <c r="AD146" s="483"/>
      <c r="AE146" s="483"/>
      <c r="AF146" s="483"/>
      <c r="AG146" s="483"/>
      <c r="AH146" s="483"/>
      <c r="AQ146" s="501">
        <v>0.12052</v>
      </c>
      <c r="AS146" s="502">
        <v>43282</v>
      </c>
      <c r="AT146" s="503">
        <v>0.27248</v>
      </c>
      <c r="AU146" s="503">
        <v>0.30392000000000002</v>
      </c>
      <c r="AV146" s="503">
        <f>AU146-AT146</f>
        <v>3.1440000000000023E-2</v>
      </c>
      <c r="AW146" s="481">
        <f>'DA Table'!Z200</f>
        <v>20050</v>
      </c>
      <c r="AX146" s="481">
        <v>9</v>
      </c>
      <c r="AY146" s="496">
        <v>43344</v>
      </c>
      <c r="AZ146" s="486"/>
      <c r="BA146" s="486">
        <f t="shared" si="14"/>
        <v>631</v>
      </c>
      <c r="BE146" s="497" t="s">
        <v>27</v>
      </c>
      <c r="BG146" s="504">
        <f>VLOOKUP(BJ152,BF$156:BG$169,2,TRUE)</f>
        <v>44408</v>
      </c>
      <c r="BJ146" s="489">
        <f t="shared" si="12"/>
        <v>0</v>
      </c>
      <c r="BK146" s="490">
        <f t="shared" si="13"/>
        <v>0</v>
      </c>
      <c r="BM146" s="504"/>
      <c r="BR146" s="481">
        <v>3</v>
      </c>
      <c r="BS146" s="500">
        <v>7100</v>
      </c>
      <c r="BT146" s="500">
        <v>7300</v>
      </c>
      <c r="BU146" s="500">
        <v>7520</v>
      </c>
      <c r="DB146" s="484"/>
      <c r="DD146" s="108"/>
      <c r="DE146" s="109"/>
      <c r="DF146" s="109"/>
      <c r="DG146" s="108"/>
    </row>
    <row r="147" spans="21:111" s="481" customFormat="1" ht="15" hidden="1">
      <c r="U147" s="483"/>
      <c r="V147" s="483"/>
      <c r="W147" s="483"/>
      <c r="X147" s="106"/>
      <c r="Y147" s="106"/>
      <c r="Z147" s="106"/>
      <c r="AA147" s="106"/>
      <c r="AB147" s="106"/>
      <c r="AC147" s="483"/>
      <c r="AD147" s="483"/>
      <c r="AE147" s="483"/>
      <c r="AF147" s="483"/>
      <c r="AG147" s="483"/>
      <c r="AH147" s="483"/>
      <c r="AQ147" s="501">
        <v>0.15196000000000001</v>
      </c>
      <c r="AS147" s="502">
        <v>43466</v>
      </c>
      <c r="AT147" s="503">
        <v>0.30392000000000002</v>
      </c>
      <c r="AU147" s="503">
        <v>0.33535999999999999</v>
      </c>
      <c r="AV147" s="503">
        <f>AU147-AT147</f>
        <v>3.1439999999999968E-2</v>
      </c>
      <c r="AW147" s="481">
        <f>'DA Table'!Z201</f>
        <v>20050</v>
      </c>
      <c r="AX147" s="481">
        <v>10</v>
      </c>
      <c r="AY147" s="496">
        <v>43374</v>
      </c>
      <c r="AZ147" s="486"/>
      <c r="BA147" s="486">
        <f t="shared" si="14"/>
        <v>631</v>
      </c>
      <c r="BE147" s="497" t="s">
        <v>28</v>
      </c>
      <c r="BG147" s="504">
        <f>VLOOKUP(BJ153,BF$156:BG$169,2,TRUE)</f>
        <v>44316</v>
      </c>
      <c r="BJ147" s="489">
        <f t="shared" si="12"/>
        <v>0</v>
      </c>
      <c r="BK147" s="490">
        <f t="shared" si="13"/>
        <v>0</v>
      </c>
      <c r="BM147" s="504"/>
      <c r="BR147" s="481">
        <v>4</v>
      </c>
      <c r="BS147" s="500">
        <v>7300</v>
      </c>
      <c r="BT147" s="500">
        <v>7520</v>
      </c>
      <c r="BU147" s="500">
        <v>7740</v>
      </c>
      <c r="DB147" s="484"/>
      <c r="DD147" s="108"/>
      <c r="DE147" s="109"/>
      <c r="DF147" s="109"/>
      <c r="DG147" s="108"/>
    </row>
    <row r="148" spans="21:111" s="481" customFormat="1" ht="15" hidden="1">
      <c r="U148" s="483"/>
      <c r="V148" s="483"/>
      <c r="W148" s="483"/>
      <c r="X148" s="106"/>
      <c r="Y148" s="106"/>
      <c r="Z148" s="106"/>
      <c r="AA148" s="106"/>
      <c r="AB148" s="106"/>
      <c r="AC148" s="483"/>
      <c r="AD148" s="483"/>
      <c r="AE148" s="483"/>
      <c r="AF148" s="483"/>
      <c r="AG148" s="483"/>
      <c r="AH148" s="483"/>
      <c r="AQ148" s="501">
        <v>0.18340000000000001</v>
      </c>
      <c r="AS148" s="505">
        <v>43647</v>
      </c>
      <c r="AT148" s="503">
        <v>0.33535999999999999</v>
      </c>
      <c r="AU148" s="503">
        <v>0.38775999999999999</v>
      </c>
      <c r="AV148" s="503">
        <f>AU148-AT148</f>
        <v>5.2400000000000002E-2</v>
      </c>
      <c r="AW148" s="481">
        <f>'DA Table'!Z202</f>
        <v>20050</v>
      </c>
      <c r="AX148" s="481">
        <v>11</v>
      </c>
      <c r="AY148" s="496">
        <v>43405</v>
      </c>
      <c r="AZ148" s="486"/>
      <c r="BA148" s="486">
        <f t="shared" si="14"/>
        <v>631</v>
      </c>
      <c r="BE148" s="497" t="s">
        <v>29</v>
      </c>
      <c r="BJ148" s="506">
        <f t="shared" si="12"/>
        <v>0</v>
      </c>
      <c r="BK148" s="507">
        <f t="shared" si="13"/>
        <v>0</v>
      </c>
      <c r="BR148" s="481">
        <v>5</v>
      </c>
      <c r="BS148" s="500">
        <v>7520</v>
      </c>
      <c r="BT148" s="500">
        <v>7740</v>
      </c>
      <c r="BU148" s="508">
        <v>7960</v>
      </c>
      <c r="DB148" s="484"/>
      <c r="DD148" s="108"/>
      <c r="DE148" s="109"/>
      <c r="DF148" s="109"/>
      <c r="DG148" s="108"/>
    </row>
    <row r="149" spans="21:111" s="481" customFormat="1" ht="15" hidden="1">
      <c r="U149" s="483"/>
      <c r="V149" s="483"/>
      <c r="W149" s="483"/>
      <c r="X149" s="106"/>
      <c r="Y149" s="106"/>
      <c r="Z149" s="106"/>
      <c r="AA149" s="106"/>
      <c r="AB149" s="106"/>
      <c r="AC149" s="483"/>
      <c r="AD149" s="483"/>
      <c r="AE149" s="483"/>
      <c r="AF149" s="483"/>
      <c r="AG149" s="483"/>
      <c r="AH149" s="483"/>
      <c r="AS149" s="505"/>
      <c r="AT149" s="503"/>
      <c r="AW149" s="481">
        <f>'DA Table'!Z203</f>
        <v>20050</v>
      </c>
      <c r="AX149" s="481">
        <v>12</v>
      </c>
      <c r="AY149" s="496">
        <v>43435</v>
      </c>
      <c r="AZ149" s="486"/>
      <c r="BA149" s="486">
        <f t="shared" si="14"/>
        <v>631</v>
      </c>
      <c r="BE149" s="497" t="s">
        <v>30</v>
      </c>
      <c r="BR149" s="481">
        <v>6</v>
      </c>
      <c r="BS149" s="500">
        <v>7740</v>
      </c>
      <c r="BT149" s="500">
        <v>7960</v>
      </c>
      <c r="BU149" s="508">
        <v>8200</v>
      </c>
      <c r="BV149" s="1801" t="s">
        <v>35</v>
      </c>
      <c r="BW149" s="1801"/>
      <c r="BX149" s="1801"/>
      <c r="DB149" s="484"/>
      <c r="DD149" s="108"/>
      <c r="DE149" s="109"/>
      <c r="DF149" s="109"/>
      <c r="DG149" s="108"/>
    </row>
    <row r="150" spans="21:111" s="481" customFormat="1" ht="15" hidden="1">
      <c r="U150" s="483"/>
      <c r="V150" s="483"/>
      <c r="W150" s="483"/>
      <c r="X150" s="106"/>
      <c r="Y150" s="106"/>
      <c r="Z150" s="106"/>
      <c r="AA150" s="106"/>
      <c r="AB150" s="106"/>
      <c r="AC150" s="483"/>
      <c r="AD150" s="483"/>
      <c r="AE150" s="483"/>
      <c r="AF150" s="483"/>
      <c r="AG150" s="483"/>
      <c r="AH150" s="483"/>
      <c r="AS150" s="505"/>
      <c r="AT150" s="503"/>
      <c r="AW150" s="481">
        <f>'DA Table'!Z204</f>
        <v>20050</v>
      </c>
      <c r="AX150" s="481">
        <v>1</v>
      </c>
      <c r="AY150" s="496">
        <v>43466</v>
      </c>
      <c r="AZ150" s="486"/>
      <c r="BA150" s="486">
        <f t="shared" si="14"/>
        <v>631</v>
      </c>
      <c r="BC150" s="481">
        <f t="shared" ref="BC150:BC179" si="15">ROUND(AW150*AU$147,0)-ROUND(AW150*AT$147,0)</f>
        <v>630</v>
      </c>
      <c r="BE150" s="497" t="s">
        <v>31</v>
      </c>
      <c r="BF150" s="487"/>
      <c r="BG150" s="509" t="s">
        <v>32</v>
      </c>
      <c r="BH150" s="509"/>
      <c r="BI150" s="509"/>
      <c r="BJ150" s="509"/>
      <c r="BK150" s="509"/>
      <c r="BL150" s="509"/>
      <c r="BM150" s="509"/>
      <c r="BN150" s="509" t="s">
        <v>11</v>
      </c>
      <c r="BO150" s="488" t="s">
        <v>12</v>
      </c>
      <c r="BP150" s="481">
        <v>0</v>
      </c>
      <c r="BR150" s="481">
        <v>7</v>
      </c>
      <c r="BS150" s="508">
        <v>7960</v>
      </c>
      <c r="BT150" s="508">
        <v>8200</v>
      </c>
      <c r="BU150" s="508">
        <v>8440</v>
      </c>
      <c r="DB150" s="484"/>
      <c r="DD150" s="108"/>
      <c r="DE150" s="109"/>
      <c r="DF150" s="109"/>
      <c r="DG150" s="108"/>
    </row>
    <row r="151" spans="21:111" s="481" customFormat="1" ht="15" hidden="1">
      <c r="U151" s="483"/>
      <c r="V151" s="483"/>
      <c r="W151" s="483"/>
      <c r="X151" s="106"/>
      <c r="Y151" s="106"/>
      <c r="Z151" s="106"/>
      <c r="AA151" s="106"/>
      <c r="AB151" s="106"/>
      <c r="AC151" s="483"/>
      <c r="AD151" s="483"/>
      <c r="AE151" s="483"/>
      <c r="AF151" s="483"/>
      <c r="AG151" s="483"/>
      <c r="AH151" s="483"/>
      <c r="AR151" s="503"/>
      <c r="AW151" s="481">
        <f>'DA Table'!Z205</f>
        <v>20050</v>
      </c>
      <c r="AX151" s="486">
        <v>2</v>
      </c>
      <c r="AY151" s="496">
        <v>43497</v>
      </c>
      <c r="AZ151" s="486"/>
      <c r="BA151" s="486">
        <f t="shared" si="14"/>
        <v>631</v>
      </c>
      <c r="BB151" s="486"/>
      <c r="BC151" s="486">
        <f t="shared" si="15"/>
        <v>630</v>
      </c>
      <c r="BD151" s="486"/>
      <c r="BE151" s="497" t="s">
        <v>33</v>
      </c>
      <c r="BF151" s="510">
        <v>2</v>
      </c>
      <c r="BG151" s="486">
        <v>1</v>
      </c>
      <c r="BH151" s="511">
        <v>25</v>
      </c>
      <c r="BI151" s="511">
        <v>5</v>
      </c>
      <c r="BJ151" s="512">
        <f>VLOOKUP(BI151,BO$154:BQ$165,3,0)</f>
        <v>44378</v>
      </c>
      <c r="BK151" s="486">
        <f>VLOOKUP(BJ151,BO$261:BP$274,2,0)</f>
        <v>21230</v>
      </c>
      <c r="BL151" s="513">
        <f>BG145</f>
        <v>44408</v>
      </c>
      <c r="BM151" s="486">
        <f>DAY(BL151)</f>
        <v>31</v>
      </c>
      <c r="BN151" s="486">
        <f>IF(BF151=1,ROUND(BK151*BH151/BM151,0),0)</f>
        <v>0</v>
      </c>
      <c r="BO151" s="490">
        <f>ROUND(BN151*VLOOKUP(BJ$151,BU$265:BZ278,6,0),0)</f>
        <v>0</v>
      </c>
      <c r="BP151" s="481">
        <v>1</v>
      </c>
      <c r="BQ151" s="481" t="s">
        <v>2</v>
      </c>
      <c r="BR151" s="481">
        <v>8</v>
      </c>
      <c r="BS151" s="508">
        <v>8200</v>
      </c>
      <c r="BT151" s="508">
        <v>8440</v>
      </c>
      <c r="BU151" s="508">
        <v>8680</v>
      </c>
      <c r="BZ151" s="1801" t="s">
        <v>36</v>
      </c>
      <c r="CA151" s="1801"/>
      <c r="CB151" s="1801"/>
      <c r="DB151" s="484"/>
      <c r="DD151" s="108"/>
      <c r="DE151" s="109"/>
      <c r="DF151" s="109"/>
      <c r="DG151" s="108"/>
    </row>
    <row r="152" spans="21:111" s="481" customFormat="1" ht="15" hidden="1">
      <c r="U152" s="483"/>
      <c r="V152" s="483"/>
      <c r="W152" s="483"/>
      <c r="X152" s="106"/>
      <c r="Y152" s="106"/>
      <c r="Z152" s="106"/>
      <c r="AA152" s="106"/>
      <c r="AB152" s="106"/>
      <c r="AC152" s="483"/>
      <c r="AD152" s="483"/>
      <c r="AE152" s="483"/>
      <c r="AF152" s="483"/>
      <c r="AG152" s="483"/>
      <c r="AH152" s="483"/>
      <c r="AR152" s="503"/>
      <c r="AS152" s="514"/>
      <c r="AT152" s="503"/>
      <c r="AU152" s="503"/>
      <c r="AW152" s="481">
        <f>'DA Table'!Z206</f>
        <v>20050</v>
      </c>
      <c r="AX152" s="486">
        <v>3</v>
      </c>
      <c r="AY152" s="515">
        <v>43525</v>
      </c>
      <c r="AZ152" s="516"/>
      <c r="BA152" s="516">
        <f t="shared" si="14"/>
        <v>631</v>
      </c>
      <c r="BB152" s="516"/>
      <c r="BC152" s="516">
        <f t="shared" si="15"/>
        <v>630</v>
      </c>
      <c r="BD152" s="486"/>
      <c r="BE152" s="497" t="s">
        <v>37</v>
      </c>
      <c r="BF152" s="510">
        <v>2</v>
      </c>
      <c r="BG152" s="486">
        <v>2</v>
      </c>
      <c r="BH152" s="511">
        <v>16</v>
      </c>
      <c r="BI152" s="511">
        <v>5</v>
      </c>
      <c r="BJ152" s="512">
        <f>VLOOKUP(BI152,BO$154:BQ$165,3,0)</f>
        <v>44378</v>
      </c>
      <c r="BK152" s="486">
        <f>VLOOKUP(BJ152,BO$261:BP$274,2,0)</f>
        <v>21230</v>
      </c>
      <c r="BL152" s="513">
        <f>BG146</f>
        <v>44408</v>
      </c>
      <c r="BM152" s="486">
        <f>DAY(BL152)</f>
        <v>31</v>
      </c>
      <c r="BN152" s="486">
        <f>IF(BF152=1,ROUND(BK152*BH152/BM152,0),0)</f>
        <v>0</v>
      </c>
      <c r="BO152" s="490">
        <f>ROUND(BN152*VLOOKUP(BJ$152,BU$265:BZ279,6,0),0)</f>
        <v>0</v>
      </c>
      <c r="BP152" s="481">
        <v>2</v>
      </c>
      <c r="BQ152" s="514">
        <v>44197</v>
      </c>
      <c r="BR152" s="481">
        <v>9</v>
      </c>
      <c r="BS152" s="508">
        <v>8440</v>
      </c>
      <c r="BT152" s="508">
        <v>8680</v>
      </c>
      <c r="BU152" s="508">
        <v>8940</v>
      </c>
      <c r="BV152" s="517">
        <v>10900</v>
      </c>
      <c r="BW152" s="517">
        <v>14860</v>
      </c>
      <c r="BX152" s="517">
        <v>18030</v>
      </c>
      <c r="BZ152" s="517">
        <v>10900</v>
      </c>
      <c r="CA152" s="517">
        <v>14860</v>
      </c>
      <c r="CB152" s="517">
        <v>18030</v>
      </c>
      <c r="DB152" s="484"/>
      <c r="DD152" s="108"/>
      <c r="DE152" s="109"/>
      <c r="DF152" s="109"/>
      <c r="DG152" s="108"/>
    </row>
    <row r="153" spans="21:111" s="481" customFormat="1" ht="15" hidden="1">
      <c r="U153" s="483"/>
      <c r="V153" s="483"/>
      <c r="W153" s="483"/>
      <c r="X153" s="106"/>
      <c r="Y153" s="106"/>
      <c r="Z153" s="106"/>
      <c r="AA153" s="106"/>
      <c r="AB153" s="106"/>
      <c r="AC153" s="483"/>
      <c r="AD153" s="483"/>
      <c r="AE153" s="483"/>
      <c r="AF153" s="483"/>
      <c r="AG153" s="483"/>
      <c r="AH153" s="483"/>
      <c r="AN153" s="505"/>
      <c r="AP153" s="505"/>
      <c r="AQ153" s="505"/>
      <c r="AR153" s="505"/>
      <c r="AS153" s="514"/>
      <c r="AT153" s="481">
        <v>1</v>
      </c>
      <c r="AU153" s="481" t="s">
        <v>397</v>
      </c>
      <c r="AV153" s="481" t="s">
        <v>397</v>
      </c>
      <c r="AW153" s="481">
        <f>'DA Table'!Z207</f>
        <v>20050</v>
      </c>
      <c r="AX153" s="481">
        <v>4</v>
      </c>
      <c r="AY153" s="496">
        <v>43556</v>
      </c>
      <c r="AZ153" s="486"/>
      <c r="BA153" s="486">
        <f t="shared" si="14"/>
        <v>631</v>
      </c>
      <c r="BB153" s="486"/>
      <c r="BC153" s="486">
        <f t="shared" si="15"/>
        <v>630</v>
      </c>
      <c r="BD153" s="486"/>
      <c r="BE153" s="497" t="s">
        <v>38</v>
      </c>
      <c r="BF153" s="518">
        <v>2</v>
      </c>
      <c r="BG153" s="519">
        <v>3</v>
      </c>
      <c r="BH153" s="520">
        <v>13</v>
      </c>
      <c r="BI153" s="520">
        <v>2</v>
      </c>
      <c r="BJ153" s="521">
        <f>VLOOKUP(BI153,BO$154:BQ$165,3,0)</f>
        <v>44287</v>
      </c>
      <c r="BK153" s="519">
        <f>VLOOKUP(BJ153,BO$261:BP$274,2,0)</f>
        <v>21230</v>
      </c>
      <c r="BL153" s="513">
        <f>BG147</f>
        <v>44316</v>
      </c>
      <c r="BM153" s="519">
        <f>DAY(BL153)</f>
        <v>30</v>
      </c>
      <c r="BN153" s="519">
        <f>IF(BF153=1,ROUND(BK153*BH153/BM153,0),0)</f>
        <v>0</v>
      </c>
      <c r="BO153" s="507">
        <f>ROUND(BN153*VLOOKUP(BJ$153,BU$265:BZ280,6,0),0)</f>
        <v>0</v>
      </c>
      <c r="BP153" s="481">
        <v>3</v>
      </c>
      <c r="BQ153" s="514">
        <v>44228</v>
      </c>
      <c r="BR153" s="481">
        <v>10</v>
      </c>
      <c r="BS153" s="508">
        <v>8680</v>
      </c>
      <c r="BT153" s="508">
        <v>8940</v>
      </c>
      <c r="BU153" s="508">
        <v>9200</v>
      </c>
      <c r="BV153" s="517">
        <v>11200</v>
      </c>
      <c r="BW153" s="517">
        <v>14860</v>
      </c>
      <c r="BX153" s="517">
        <v>18030</v>
      </c>
      <c r="BZ153" s="517">
        <v>11200</v>
      </c>
      <c r="CA153" s="517">
        <v>14860</v>
      </c>
      <c r="CB153" s="517">
        <v>18030</v>
      </c>
      <c r="DB153" s="484"/>
      <c r="DD153" s="108"/>
      <c r="DE153" s="109"/>
      <c r="DF153" s="109"/>
      <c r="DG153" s="108"/>
    </row>
    <row r="154" spans="21:111" s="481" customFormat="1" ht="15" hidden="1">
      <c r="U154" s="483"/>
      <c r="V154" s="483"/>
      <c r="W154" s="483"/>
      <c r="X154" s="106"/>
      <c r="Y154" s="106"/>
      <c r="Z154" s="106"/>
      <c r="AA154" s="106"/>
      <c r="AB154" s="106"/>
      <c r="AC154" s="483"/>
      <c r="AD154" s="483"/>
      <c r="AE154" s="483"/>
      <c r="AF154" s="483"/>
      <c r="AG154" s="483"/>
      <c r="AH154" s="483"/>
      <c r="AN154" s="505"/>
      <c r="AP154" s="505"/>
      <c r="AQ154" s="505"/>
      <c r="AR154" s="505"/>
      <c r="AS154" s="502"/>
      <c r="AT154" s="481">
        <v>2</v>
      </c>
      <c r="AU154" s="514">
        <v>43282</v>
      </c>
      <c r="AV154" s="502">
        <v>44256</v>
      </c>
      <c r="AW154" s="481">
        <f>'DA Table'!Z208</f>
        <v>20050</v>
      </c>
      <c r="AX154" s="481">
        <v>5</v>
      </c>
      <c r="AY154" s="496">
        <v>43586</v>
      </c>
      <c r="AZ154" s="486"/>
      <c r="BA154" s="486">
        <f t="shared" si="14"/>
        <v>631</v>
      </c>
      <c r="BB154" s="486"/>
      <c r="BC154" s="486">
        <f t="shared" si="15"/>
        <v>630</v>
      </c>
      <c r="BD154" s="486"/>
      <c r="BE154" s="497" t="s">
        <v>39</v>
      </c>
      <c r="BN154" s="486"/>
      <c r="BO154" s="481">
        <v>1</v>
      </c>
      <c r="BP154" s="481">
        <v>4</v>
      </c>
      <c r="BQ154" s="514">
        <v>44256</v>
      </c>
      <c r="BR154" s="481">
        <v>11</v>
      </c>
      <c r="BS154" s="508">
        <v>8940</v>
      </c>
      <c r="BT154" s="508">
        <v>9200</v>
      </c>
      <c r="BU154" s="508">
        <v>9460</v>
      </c>
      <c r="BV154" s="517">
        <v>11530</v>
      </c>
      <c r="BW154" s="517">
        <v>14860</v>
      </c>
      <c r="BX154" s="517">
        <v>18030</v>
      </c>
      <c r="BZ154" s="517">
        <v>11530</v>
      </c>
      <c r="CA154" s="517">
        <v>14860</v>
      </c>
      <c r="CB154" s="517">
        <v>18030</v>
      </c>
      <c r="CC154" s="481">
        <v>1</v>
      </c>
      <c r="CD154" s="481" t="s">
        <v>40</v>
      </c>
      <c r="CE154" s="481">
        <v>1</v>
      </c>
      <c r="CF154" s="481">
        <v>2</v>
      </c>
      <c r="DB154" s="484"/>
      <c r="DD154" s="108"/>
      <c r="DE154" s="109"/>
      <c r="DF154" s="109"/>
      <c r="DG154" s="108"/>
    </row>
    <row r="155" spans="21:111" s="481" customFormat="1" ht="15" hidden="1">
      <c r="U155" s="483"/>
      <c r="V155" s="483"/>
      <c r="W155" s="483"/>
      <c r="X155" s="106"/>
      <c r="Y155" s="106"/>
      <c r="Z155" s="106"/>
      <c r="AA155" s="106"/>
      <c r="AB155" s="106"/>
      <c r="AC155" s="483"/>
      <c r="AD155" s="483"/>
      <c r="AE155" s="483"/>
      <c r="AF155" s="483"/>
      <c r="AG155" s="483"/>
      <c r="AH155" s="483"/>
      <c r="AN155" s="505"/>
      <c r="AP155" s="505"/>
      <c r="AQ155" s="505"/>
      <c r="AR155" s="522">
        <v>1</v>
      </c>
      <c r="AS155" s="522">
        <v>31</v>
      </c>
      <c r="AT155" s="481">
        <v>3</v>
      </c>
      <c r="AU155" s="514">
        <v>43313</v>
      </c>
      <c r="AV155" s="502">
        <v>44287</v>
      </c>
      <c r="AW155" s="481">
        <f>'DA Table'!Z209</f>
        <v>20050</v>
      </c>
      <c r="AX155" s="481">
        <v>6</v>
      </c>
      <c r="AY155" s="496">
        <v>43617</v>
      </c>
      <c r="AZ155" s="486"/>
      <c r="BA155" s="486">
        <f t="shared" si="14"/>
        <v>631</v>
      </c>
      <c r="BB155" s="486"/>
      <c r="BC155" s="486">
        <f t="shared" si="15"/>
        <v>630</v>
      </c>
      <c r="BD155" s="486"/>
      <c r="BE155" s="497" t="s">
        <v>41</v>
      </c>
      <c r="BH155" s="523"/>
      <c r="BJ155" s="504"/>
      <c r="BK155" s="504"/>
      <c r="BL155" s="504"/>
      <c r="BN155" s="486"/>
      <c r="BO155" s="481">
        <v>2</v>
      </c>
      <c r="BP155" s="481">
        <v>5</v>
      </c>
      <c r="BQ155" s="514">
        <v>44287</v>
      </c>
      <c r="BR155" s="481">
        <v>12</v>
      </c>
      <c r="BS155" s="508">
        <v>9200</v>
      </c>
      <c r="BT155" s="508">
        <v>9460</v>
      </c>
      <c r="BU155" s="508">
        <v>9740</v>
      </c>
      <c r="BV155" s="517">
        <v>11860</v>
      </c>
      <c r="BW155" s="517">
        <v>14860</v>
      </c>
      <c r="BX155" s="517">
        <v>18030</v>
      </c>
      <c r="BZ155" s="517">
        <v>11860</v>
      </c>
      <c r="CA155" s="517">
        <v>14860</v>
      </c>
      <c r="CB155" s="517">
        <v>18030</v>
      </c>
      <c r="CC155" s="481">
        <v>2</v>
      </c>
      <c r="CD155" s="481" t="s">
        <v>42</v>
      </c>
      <c r="CE155" s="481">
        <v>2</v>
      </c>
      <c r="CF155" s="481">
        <v>1</v>
      </c>
      <c r="DB155" s="484"/>
      <c r="DD155" s="108"/>
      <c r="DE155" s="109"/>
      <c r="DF155" s="109"/>
      <c r="DG155" s="108"/>
    </row>
    <row r="156" spans="21:111" s="481" customFormat="1" ht="15" hidden="1">
      <c r="U156" s="483"/>
      <c r="V156" s="483"/>
      <c r="W156" s="483"/>
      <c r="X156" s="106"/>
      <c r="Y156" s="106"/>
      <c r="Z156" s="106"/>
      <c r="AA156" s="106"/>
      <c r="AB156" s="106"/>
      <c r="AC156" s="483"/>
      <c r="AD156" s="483"/>
      <c r="AE156" s="483"/>
      <c r="AF156" s="483"/>
      <c r="AG156" s="483"/>
      <c r="AH156" s="483"/>
      <c r="AN156" s="505"/>
      <c r="AP156" s="505"/>
      <c r="AQ156" s="505"/>
      <c r="AR156" s="522">
        <v>2</v>
      </c>
      <c r="AS156" s="522">
        <v>28</v>
      </c>
      <c r="AT156" s="481">
        <v>4</v>
      </c>
      <c r="AU156" s="514">
        <v>43344</v>
      </c>
      <c r="AV156" s="502">
        <v>44317</v>
      </c>
      <c r="AW156" s="481">
        <f>'DA Table'!Z210</f>
        <v>20050</v>
      </c>
      <c r="AX156" s="481">
        <v>7</v>
      </c>
      <c r="AY156" s="496">
        <v>43647</v>
      </c>
      <c r="AZ156" s="486"/>
      <c r="BA156" s="486">
        <f t="shared" si="14"/>
        <v>631</v>
      </c>
      <c r="BB156" s="486"/>
      <c r="BC156" s="486">
        <f t="shared" si="15"/>
        <v>630</v>
      </c>
      <c r="BD156" s="486"/>
      <c r="BE156" s="497" t="s">
        <v>43</v>
      </c>
      <c r="BF156" s="505">
        <v>44197</v>
      </c>
      <c r="BG156" s="504">
        <v>44227</v>
      </c>
      <c r="BH156" s="523"/>
      <c r="BJ156" s="504"/>
      <c r="BK156" s="504"/>
      <c r="BL156" s="504"/>
      <c r="BN156" s="486"/>
      <c r="BO156" s="481">
        <v>3</v>
      </c>
      <c r="BP156" s="481">
        <v>6</v>
      </c>
      <c r="BQ156" s="514">
        <v>44317</v>
      </c>
      <c r="BR156" s="481">
        <v>13</v>
      </c>
      <c r="BS156" s="508">
        <v>9460</v>
      </c>
      <c r="BT156" s="508">
        <v>9740</v>
      </c>
      <c r="BU156" s="508">
        <v>10020</v>
      </c>
      <c r="BV156" s="517">
        <v>12190</v>
      </c>
      <c r="BW156" s="517">
        <v>14860</v>
      </c>
      <c r="BX156" s="517">
        <v>18030</v>
      </c>
      <c r="BZ156" s="517">
        <v>12190</v>
      </c>
      <c r="CA156" s="517">
        <v>14860</v>
      </c>
      <c r="CB156" s="517">
        <v>18030</v>
      </c>
      <c r="CC156" s="481">
        <v>3</v>
      </c>
      <c r="CD156" s="481" t="s">
        <v>44</v>
      </c>
      <c r="CE156" s="481">
        <v>3</v>
      </c>
      <c r="CF156" s="481">
        <v>1</v>
      </c>
      <c r="DB156" s="484"/>
      <c r="DD156" s="108"/>
      <c r="DE156" s="109"/>
      <c r="DF156" s="109"/>
      <c r="DG156" s="108"/>
    </row>
    <row r="157" spans="21:111" s="481" customFormat="1" ht="15" hidden="1">
      <c r="U157" s="483"/>
      <c r="V157" s="483"/>
      <c r="W157" s="483"/>
      <c r="X157" s="106"/>
      <c r="Y157" s="106"/>
      <c r="Z157" s="106"/>
      <c r="AA157" s="106"/>
      <c r="AB157" s="106"/>
      <c r="AC157" s="483"/>
      <c r="AD157" s="483"/>
      <c r="AE157" s="483"/>
      <c r="AF157" s="483"/>
      <c r="AG157" s="483"/>
      <c r="AH157" s="483"/>
      <c r="AN157" s="505"/>
      <c r="AP157" s="505"/>
      <c r="AQ157" s="505"/>
      <c r="AR157" s="522">
        <v>3</v>
      </c>
      <c r="AS157" s="522">
        <v>31</v>
      </c>
      <c r="AT157" s="481">
        <v>5</v>
      </c>
      <c r="AU157" s="514">
        <v>43374</v>
      </c>
      <c r="AV157" s="502">
        <v>44348</v>
      </c>
      <c r="AW157" s="481">
        <f>'DA Table'!Z211</f>
        <v>20640</v>
      </c>
      <c r="AX157" s="481">
        <v>8</v>
      </c>
      <c r="AY157" s="496">
        <v>43678</v>
      </c>
      <c r="AZ157" s="486"/>
      <c r="BA157" s="486">
        <f t="shared" si="14"/>
        <v>649</v>
      </c>
      <c r="BB157" s="486"/>
      <c r="BC157" s="486">
        <f t="shared" si="15"/>
        <v>649</v>
      </c>
      <c r="BD157" s="486"/>
      <c r="BE157" s="497" t="s">
        <v>45</v>
      </c>
      <c r="BF157" s="505">
        <v>44228</v>
      </c>
      <c r="BG157" s="504">
        <v>44255</v>
      </c>
      <c r="BH157" s="523"/>
      <c r="BJ157" s="504"/>
      <c r="BK157" s="504"/>
      <c r="BL157" s="504"/>
      <c r="BN157" s="512"/>
      <c r="BO157" s="481">
        <v>4</v>
      </c>
      <c r="BP157" s="481">
        <v>7</v>
      </c>
      <c r="BQ157" s="514">
        <v>44348</v>
      </c>
      <c r="BR157" s="481">
        <v>14</v>
      </c>
      <c r="BS157" s="508">
        <v>9740</v>
      </c>
      <c r="BT157" s="508">
        <v>10020</v>
      </c>
      <c r="BU157" s="508">
        <v>10300</v>
      </c>
      <c r="BV157" s="517">
        <v>12550</v>
      </c>
      <c r="BW157" s="517">
        <v>14860</v>
      </c>
      <c r="BX157" s="517">
        <v>18030</v>
      </c>
      <c r="BZ157" s="517">
        <v>12550</v>
      </c>
      <c r="CA157" s="517">
        <v>14860</v>
      </c>
      <c r="CB157" s="517">
        <v>18030</v>
      </c>
      <c r="CC157" s="481">
        <v>4</v>
      </c>
      <c r="CD157" s="481" t="s">
        <v>46</v>
      </c>
      <c r="CE157" s="481">
        <v>4</v>
      </c>
      <c r="CF157" s="481">
        <v>2</v>
      </c>
      <c r="DB157" s="484"/>
      <c r="DD157" s="108"/>
      <c r="DE157" s="109"/>
      <c r="DF157" s="109"/>
      <c r="DG157" s="108"/>
    </row>
    <row r="158" spans="21:111" s="481" customFormat="1" ht="15" hidden="1">
      <c r="U158" s="483"/>
      <c r="V158" s="483"/>
      <c r="W158" s="483"/>
      <c r="X158" s="106"/>
      <c r="Y158" s="106"/>
      <c r="Z158" s="106"/>
      <c r="AA158" s="106"/>
      <c r="AB158" s="106"/>
      <c r="AC158" s="483"/>
      <c r="AD158" s="483"/>
      <c r="AE158" s="483"/>
      <c r="AF158" s="483"/>
      <c r="AG158" s="483"/>
      <c r="AH158" s="483"/>
      <c r="AN158" s="505"/>
      <c r="AR158" s="522">
        <v>4</v>
      </c>
      <c r="AS158" s="522">
        <v>30</v>
      </c>
      <c r="AT158" s="481">
        <v>6</v>
      </c>
      <c r="AU158" s="514">
        <v>43405</v>
      </c>
      <c r="AV158" s="502">
        <v>44378</v>
      </c>
      <c r="AW158" s="481">
        <f>'DA Table'!Z212</f>
        <v>20640</v>
      </c>
      <c r="AX158" s="481">
        <v>9</v>
      </c>
      <c r="AY158" s="496">
        <v>43709</v>
      </c>
      <c r="AZ158" s="486"/>
      <c r="BA158" s="486">
        <f t="shared" si="14"/>
        <v>649</v>
      </c>
      <c r="BB158" s="486"/>
      <c r="BC158" s="486">
        <f t="shared" si="15"/>
        <v>649</v>
      </c>
      <c r="BD158" s="486"/>
      <c r="BE158" s="497" t="s">
        <v>47</v>
      </c>
      <c r="BF158" s="505">
        <v>44256</v>
      </c>
      <c r="BG158" s="504">
        <v>44286</v>
      </c>
      <c r="BH158" s="522"/>
      <c r="BK158" s="504"/>
      <c r="BL158" s="514"/>
      <c r="BN158" s="512"/>
      <c r="BO158" s="481">
        <v>5</v>
      </c>
      <c r="BP158" s="481">
        <v>8</v>
      </c>
      <c r="BQ158" s="514">
        <v>44378</v>
      </c>
      <c r="BR158" s="481">
        <v>15</v>
      </c>
      <c r="BS158" s="508">
        <v>10020</v>
      </c>
      <c r="BT158" s="508">
        <v>10300</v>
      </c>
      <c r="BU158" s="500">
        <v>10600</v>
      </c>
      <c r="BV158" s="517">
        <v>12910</v>
      </c>
      <c r="BW158" s="517">
        <v>14860</v>
      </c>
      <c r="BX158" s="517">
        <v>18030</v>
      </c>
      <c r="BZ158" s="517">
        <v>12910</v>
      </c>
      <c r="CA158" s="517">
        <v>14860</v>
      </c>
      <c r="CB158" s="517">
        <v>18030</v>
      </c>
      <c r="CC158" s="481">
        <v>5</v>
      </c>
      <c r="CD158" s="481" t="s">
        <v>48</v>
      </c>
      <c r="CE158" s="481">
        <v>5</v>
      </c>
      <c r="CF158" s="481">
        <v>2</v>
      </c>
      <c r="DB158" s="484"/>
      <c r="DD158" s="108"/>
      <c r="DE158" s="109"/>
      <c r="DF158" s="109"/>
      <c r="DG158" s="108"/>
    </row>
    <row r="159" spans="21:111" s="481" customFormat="1" ht="15" hidden="1">
      <c r="U159" s="483"/>
      <c r="V159" s="483"/>
      <c r="W159" s="483"/>
      <c r="X159" s="106"/>
      <c r="Y159" s="106"/>
      <c r="Z159" s="106"/>
      <c r="AA159" s="106"/>
      <c r="AB159" s="106"/>
      <c r="AC159" s="483"/>
      <c r="AD159" s="483"/>
      <c r="AE159" s="483"/>
      <c r="AF159" s="483"/>
      <c r="AG159" s="483"/>
      <c r="AH159" s="483"/>
      <c r="AN159" s="505"/>
      <c r="AR159" s="522">
        <v>5</v>
      </c>
      <c r="AS159" s="522">
        <v>31</v>
      </c>
      <c r="AT159" s="481">
        <v>7</v>
      </c>
      <c r="AU159" s="514">
        <v>43435</v>
      </c>
      <c r="AV159" s="502">
        <v>44409</v>
      </c>
      <c r="AW159" s="481">
        <f>'DA Table'!Z213</f>
        <v>20640</v>
      </c>
      <c r="AX159" s="481">
        <v>10</v>
      </c>
      <c r="AY159" s="496">
        <v>43739</v>
      </c>
      <c r="AZ159" s="486"/>
      <c r="BA159" s="486">
        <f t="shared" si="14"/>
        <v>649</v>
      </c>
      <c r="BB159" s="486"/>
      <c r="BC159" s="486">
        <f t="shared" si="15"/>
        <v>649</v>
      </c>
      <c r="BD159" s="486"/>
      <c r="BE159" s="497" t="s">
        <v>49</v>
      </c>
      <c r="BF159" s="505">
        <v>44287</v>
      </c>
      <c r="BG159" s="504">
        <v>44316</v>
      </c>
      <c r="BK159" s="504"/>
      <c r="BL159" s="524" t="s">
        <v>549</v>
      </c>
      <c r="BM159" s="525">
        <v>2</v>
      </c>
      <c r="BN159" s="526">
        <f>VLOOKUP(BM159,BP151:BQ165,2,TRUE)</f>
        <v>44197</v>
      </c>
      <c r="BO159" s="481">
        <v>6</v>
      </c>
      <c r="BP159" s="481">
        <v>9</v>
      </c>
      <c r="BQ159" s="514">
        <v>44409</v>
      </c>
      <c r="BR159" s="481">
        <v>16</v>
      </c>
      <c r="BS159" s="508">
        <v>10300</v>
      </c>
      <c r="BT159" s="508">
        <v>10600</v>
      </c>
      <c r="BU159" s="527">
        <v>10900</v>
      </c>
      <c r="BV159" s="517">
        <v>13270</v>
      </c>
      <c r="BW159" s="517">
        <v>14860</v>
      </c>
      <c r="BX159" s="517">
        <v>18030</v>
      </c>
      <c r="BZ159" s="517">
        <v>13270</v>
      </c>
      <c r="CA159" s="517">
        <v>14860</v>
      </c>
      <c r="CB159" s="517">
        <v>18030</v>
      </c>
      <c r="CC159" s="481">
        <v>6</v>
      </c>
      <c r="CD159" s="481" t="s">
        <v>50</v>
      </c>
      <c r="CE159" s="481">
        <v>6</v>
      </c>
      <c r="CF159" s="481">
        <v>2</v>
      </c>
      <c r="CJ159" s="487" t="s">
        <v>2</v>
      </c>
      <c r="CK159" s="509"/>
      <c r="CL159" s="509"/>
      <c r="CM159" s="509"/>
      <c r="CN159" s="509"/>
      <c r="CO159" s="488"/>
      <c r="DB159" s="484"/>
      <c r="DD159" s="108"/>
      <c r="DE159" s="109"/>
      <c r="DF159" s="109"/>
      <c r="DG159" s="108"/>
    </row>
    <row r="160" spans="21:111" s="481" customFormat="1" ht="15" hidden="1">
      <c r="U160" s="483"/>
      <c r="V160" s="483"/>
      <c r="W160" s="483"/>
      <c r="X160" s="106"/>
      <c r="Y160" s="106"/>
      <c r="Z160" s="106"/>
      <c r="AA160" s="106"/>
      <c r="AB160" s="106"/>
      <c r="AC160" s="483"/>
      <c r="AD160" s="483"/>
      <c r="AE160" s="483"/>
      <c r="AF160" s="483"/>
      <c r="AG160" s="483"/>
      <c r="AH160" s="483"/>
      <c r="AN160" s="505"/>
      <c r="AR160" s="522">
        <v>6</v>
      </c>
      <c r="AS160" s="522">
        <v>30</v>
      </c>
      <c r="AT160" s="481">
        <v>8</v>
      </c>
      <c r="AU160" s="514">
        <v>43466</v>
      </c>
      <c r="AV160" s="502">
        <v>44440</v>
      </c>
      <c r="AW160" s="481">
        <f>'DA Table'!Z214</f>
        <v>20640</v>
      </c>
      <c r="AX160" s="481">
        <v>11</v>
      </c>
      <c r="AY160" s="496">
        <v>43770</v>
      </c>
      <c r="AZ160" s="486"/>
      <c r="BA160" s="486">
        <f t="shared" si="14"/>
        <v>649</v>
      </c>
      <c r="BB160" s="486"/>
      <c r="BC160" s="486">
        <f t="shared" si="15"/>
        <v>649</v>
      </c>
      <c r="BD160" s="486"/>
      <c r="BE160" s="497" t="s">
        <v>51</v>
      </c>
      <c r="BF160" s="505">
        <v>44317</v>
      </c>
      <c r="BG160" s="504">
        <v>44347</v>
      </c>
      <c r="BK160" s="504"/>
      <c r="BL160" s="514"/>
      <c r="BN160" s="512"/>
      <c r="BO160" s="481">
        <v>7</v>
      </c>
      <c r="BP160" s="481">
        <v>10</v>
      </c>
      <c r="BQ160" s="514">
        <v>44440</v>
      </c>
      <c r="BR160" s="481">
        <v>17</v>
      </c>
      <c r="BS160" s="500">
        <v>10600</v>
      </c>
      <c r="BT160" s="528">
        <v>10900</v>
      </c>
      <c r="BU160" s="529">
        <v>11200</v>
      </c>
      <c r="BV160" s="517">
        <v>13660</v>
      </c>
      <c r="BW160" s="517">
        <v>14860</v>
      </c>
      <c r="BX160" s="517">
        <v>18030</v>
      </c>
      <c r="BZ160" s="517">
        <v>13660</v>
      </c>
      <c r="CA160" s="517">
        <v>14860</v>
      </c>
      <c r="CB160" s="517">
        <v>18030</v>
      </c>
      <c r="CC160" s="481">
        <v>7</v>
      </c>
      <c r="CD160" s="481" t="s">
        <v>52</v>
      </c>
      <c r="CE160" s="481">
        <v>7</v>
      </c>
      <c r="CF160" s="481">
        <v>2</v>
      </c>
      <c r="CJ160" s="489" t="s">
        <v>53</v>
      </c>
      <c r="CK160" s="486"/>
      <c r="CL160" s="486"/>
      <c r="CM160" s="486"/>
      <c r="CN160" s="486" t="s">
        <v>40</v>
      </c>
      <c r="CO160" s="490" t="s">
        <v>42</v>
      </c>
      <c r="DB160" s="484"/>
      <c r="DD160" s="108"/>
      <c r="DE160" s="109"/>
      <c r="DF160" s="109"/>
      <c r="DG160" s="108"/>
    </row>
    <row r="161" spans="21:111" s="481" customFormat="1" ht="15" hidden="1">
      <c r="U161" s="483"/>
      <c r="V161" s="483"/>
      <c r="W161" s="483"/>
      <c r="X161" s="106"/>
      <c r="Y161" s="106"/>
      <c r="Z161" s="106"/>
      <c r="AA161" s="106"/>
      <c r="AB161" s="106"/>
      <c r="AC161" s="483"/>
      <c r="AD161" s="483"/>
      <c r="AE161" s="483"/>
      <c r="AF161" s="483"/>
      <c r="AG161" s="483"/>
      <c r="AH161" s="483"/>
      <c r="AR161" s="522">
        <v>7</v>
      </c>
      <c r="AS161" s="522">
        <v>31</v>
      </c>
      <c r="AT161" s="481">
        <v>9</v>
      </c>
      <c r="AU161" s="514">
        <v>43497</v>
      </c>
      <c r="AV161" s="502">
        <v>44470</v>
      </c>
      <c r="AW161" s="481">
        <f>'DA Table'!Z215</f>
        <v>20640</v>
      </c>
      <c r="AX161" s="481">
        <v>12</v>
      </c>
      <c r="AY161" s="496">
        <v>43800</v>
      </c>
      <c r="AZ161" s="486"/>
      <c r="BA161" s="486">
        <f t="shared" si="14"/>
        <v>649</v>
      </c>
      <c r="BB161" s="486"/>
      <c r="BC161" s="486">
        <f t="shared" si="15"/>
        <v>649</v>
      </c>
      <c r="BD161" s="486"/>
      <c r="BE161" s="497" t="s">
        <v>54</v>
      </c>
      <c r="BF161" s="505">
        <v>44348</v>
      </c>
      <c r="BG161" s="504">
        <v>44377</v>
      </c>
      <c r="BN161" s="512"/>
      <c r="BO161" s="481">
        <v>8</v>
      </c>
      <c r="BP161" s="481">
        <v>11</v>
      </c>
      <c r="BQ161" s="514">
        <v>44470</v>
      </c>
      <c r="BR161" s="481">
        <v>18</v>
      </c>
      <c r="BS161" s="527">
        <v>10900</v>
      </c>
      <c r="BT161" s="527">
        <v>11200</v>
      </c>
      <c r="BU161" s="529">
        <v>11530</v>
      </c>
      <c r="BV161" s="517">
        <v>14050</v>
      </c>
      <c r="BW161" s="517">
        <v>14860</v>
      </c>
      <c r="BX161" s="517">
        <v>18030</v>
      </c>
      <c r="BZ161" s="517">
        <v>14050</v>
      </c>
      <c r="CA161" s="517">
        <v>14860</v>
      </c>
      <c r="CB161" s="517">
        <v>18030</v>
      </c>
      <c r="CC161" s="481">
        <v>8</v>
      </c>
      <c r="CD161" s="481" t="s">
        <v>55</v>
      </c>
      <c r="CE161" s="481">
        <v>8</v>
      </c>
      <c r="CF161" s="481">
        <v>2</v>
      </c>
      <c r="CJ161" s="489" t="s">
        <v>56</v>
      </c>
      <c r="CK161" s="486"/>
      <c r="CL161" s="486"/>
      <c r="CM161" s="486"/>
      <c r="CN161" s="486" t="s">
        <v>46</v>
      </c>
      <c r="CO161" s="490" t="s">
        <v>44</v>
      </c>
      <c r="DB161" s="484" t="s">
        <v>390</v>
      </c>
      <c r="DC161" s="481" t="s">
        <v>391</v>
      </c>
      <c r="DD161" s="108" t="s">
        <v>392</v>
      </c>
      <c r="DE161" s="109"/>
      <c r="DF161" s="109" t="s">
        <v>387</v>
      </c>
      <c r="DG161" s="108"/>
    </row>
    <row r="162" spans="21:111" s="481" customFormat="1" ht="15" hidden="1">
      <c r="U162" s="483"/>
      <c r="V162" s="483"/>
      <c r="W162" s="483"/>
      <c r="X162" s="106"/>
      <c r="Y162" s="106"/>
      <c r="Z162" s="106"/>
      <c r="AA162" s="106"/>
      <c r="AB162" s="106"/>
      <c r="AC162" s="483"/>
      <c r="AD162" s="483"/>
      <c r="AE162" s="483"/>
      <c r="AF162" s="483"/>
      <c r="AG162" s="483"/>
      <c r="AH162" s="483"/>
      <c r="AR162" s="522">
        <v>8</v>
      </c>
      <c r="AS162" s="522">
        <v>31</v>
      </c>
      <c r="AT162" s="481">
        <v>10</v>
      </c>
      <c r="AU162" s="514">
        <v>43525</v>
      </c>
      <c r="AV162" s="502">
        <v>44501</v>
      </c>
      <c r="AW162" s="481">
        <f>'DA Table'!Z216</f>
        <v>20640</v>
      </c>
      <c r="AX162" s="522">
        <v>1</v>
      </c>
      <c r="AY162" s="496">
        <v>43831</v>
      </c>
      <c r="AZ162" s="486"/>
      <c r="BA162" s="486">
        <f t="shared" si="14"/>
        <v>649</v>
      </c>
      <c r="BB162" s="486"/>
      <c r="BC162" s="486">
        <f t="shared" si="15"/>
        <v>649</v>
      </c>
      <c r="BD162" s="486"/>
      <c r="BE162" s="497" t="s">
        <v>57</v>
      </c>
      <c r="BF162" s="505">
        <v>44378</v>
      </c>
      <c r="BG162" s="504">
        <v>44408</v>
      </c>
      <c r="BN162" s="486"/>
      <c r="BO162" s="481">
        <v>9</v>
      </c>
      <c r="BP162" s="481">
        <v>12</v>
      </c>
      <c r="BQ162" s="514">
        <v>44501</v>
      </c>
      <c r="BR162" s="481">
        <v>19</v>
      </c>
      <c r="BS162" s="529">
        <v>11200</v>
      </c>
      <c r="BT162" s="529">
        <v>11530</v>
      </c>
      <c r="BU162" s="529">
        <v>11860</v>
      </c>
      <c r="BV162" s="517">
        <v>14440</v>
      </c>
      <c r="BW162" s="517">
        <v>14860</v>
      </c>
      <c r="BX162" s="517">
        <v>18030</v>
      </c>
      <c r="BZ162" s="517">
        <v>14440</v>
      </c>
      <c r="CA162" s="517">
        <v>15280</v>
      </c>
      <c r="CB162" s="517">
        <v>18030</v>
      </c>
      <c r="CC162" s="481">
        <v>9</v>
      </c>
      <c r="CD162" s="481" t="s">
        <v>58</v>
      </c>
      <c r="CE162" s="481">
        <v>9</v>
      </c>
      <c r="CF162" s="481">
        <v>2</v>
      </c>
      <c r="CJ162" s="489" t="s">
        <v>59</v>
      </c>
      <c r="CK162" s="486"/>
      <c r="CL162" s="486"/>
      <c r="CM162" s="486"/>
      <c r="CN162" s="486" t="s">
        <v>48</v>
      </c>
      <c r="CO162" s="490" t="s">
        <v>60</v>
      </c>
      <c r="CZ162" s="514">
        <f>CZ178</f>
        <v>44256</v>
      </c>
      <c r="DA162" s="481">
        <f>CE283</f>
        <v>21230</v>
      </c>
      <c r="DB162" s="484">
        <f>IF(AND(CI$190=2,DA162&lt;=CX$163),325,IF(AND(CI$190=2,DA162&lt;=CY$164),400,IF(AND(CI$190=2,DA162&lt;=CY$165),475,IF(AND(CI$190=2,DA162&lt;=CY$166),575,IF(AND(CI$190=2,DA162&lt;=CY$167),625,IF(AND(CI$190=2,DA162&gt;CX$168),675,""))))))</f>
        <v>575</v>
      </c>
      <c r="DC162" s="481" t="str">
        <f>IF(AND(CI$190=3,DA162&lt;=CX$163),400,IF(AND(CI$190=3,DA162&lt;=CY$164),475,IF(AND(CI$190=3,DA162&lt;=CY$165),575,IF(AND(CI$190=3,DA162&lt;=CY$166),625,IF(AND(CI$190=3,DA162&lt;=CY$167),675,IF(AND(CI$190=2,DA162&gt;CX$168),725,""))))))</f>
        <v/>
      </c>
      <c r="DD162" s="108" t="str">
        <f>IF(AND(CI$190=4,DA162&lt;=CX$163),475,IF(AND(CI$190=4,DA162&lt;=CY$164),550,IF(AND(CI$190=4,DA162&lt;=CY$165),625,IF(AND(CI$190=4,DA162&lt;=CY$166),700,IF(AND(CI$190=4,DA162&lt;=CY$167),775,IF(AND(CI$190=4,DA162&gt;CX$168),850,""))))))</f>
        <v/>
      </c>
      <c r="DE162" s="109">
        <f>L$21</f>
        <v>0</v>
      </c>
      <c r="DF162" s="109">
        <f>IF(DE162=0,0,DE162)</f>
        <v>0</v>
      </c>
      <c r="DG162" s="108"/>
    </row>
    <row r="163" spans="21:111" s="481" customFormat="1" ht="15" hidden="1">
      <c r="U163" s="483"/>
      <c r="V163" s="483"/>
      <c r="W163" s="483"/>
      <c r="X163" s="106"/>
      <c r="Y163" s="106"/>
      <c r="Z163" s="106"/>
      <c r="AA163" s="106"/>
      <c r="AB163" s="106"/>
      <c r="AC163" s="483"/>
      <c r="AD163" s="483"/>
      <c r="AE163" s="483"/>
      <c r="AF163" s="483"/>
      <c r="AG163" s="483"/>
      <c r="AH163" s="483"/>
      <c r="AR163" s="522">
        <v>9</v>
      </c>
      <c r="AS163" s="522">
        <v>30</v>
      </c>
      <c r="AT163" s="481">
        <v>11</v>
      </c>
      <c r="AU163" s="514">
        <v>43556</v>
      </c>
      <c r="AV163" s="502">
        <v>44531</v>
      </c>
      <c r="AW163" s="481">
        <f>'DA Table'!Z217</f>
        <v>20640</v>
      </c>
      <c r="AX163" s="522">
        <v>2</v>
      </c>
      <c r="AY163" s="530">
        <v>43862</v>
      </c>
      <c r="AZ163" s="531"/>
      <c r="BA163" s="531">
        <f t="shared" si="14"/>
        <v>649</v>
      </c>
      <c r="BB163" s="531"/>
      <c r="BC163" s="531">
        <f t="shared" si="15"/>
        <v>649</v>
      </c>
      <c r="BD163" s="486"/>
      <c r="BE163" s="497" t="s">
        <v>61</v>
      </c>
      <c r="BF163" s="505">
        <v>44409</v>
      </c>
      <c r="BG163" s="504">
        <v>44439</v>
      </c>
      <c r="BN163" s="512"/>
      <c r="BO163" s="481">
        <v>10</v>
      </c>
      <c r="BP163" s="481">
        <v>13</v>
      </c>
      <c r="BQ163" s="514">
        <v>44531</v>
      </c>
      <c r="BR163" s="481">
        <v>20</v>
      </c>
      <c r="BS163" s="529">
        <v>11530</v>
      </c>
      <c r="BT163" s="529">
        <v>11860</v>
      </c>
      <c r="BU163" s="529">
        <v>12190</v>
      </c>
      <c r="BV163" s="517">
        <v>14860</v>
      </c>
      <c r="BW163" s="517">
        <v>15280</v>
      </c>
      <c r="BX163" s="517">
        <v>18030</v>
      </c>
      <c r="BZ163" s="517">
        <v>14860</v>
      </c>
      <c r="CA163" s="517">
        <v>15700</v>
      </c>
      <c r="CB163" s="517">
        <v>18030</v>
      </c>
      <c r="CC163" s="481">
        <v>10</v>
      </c>
      <c r="CD163" s="481" t="s">
        <v>62</v>
      </c>
      <c r="CE163" s="481">
        <v>10</v>
      </c>
      <c r="CF163" s="481">
        <v>2</v>
      </c>
      <c r="CJ163" s="489" t="s">
        <v>63</v>
      </c>
      <c r="CK163" s="486"/>
      <c r="CL163" s="486"/>
      <c r="CM163" s="486"/>
      <c r="CN163" s="486" t="s">
        <v>50</v>
      </c>
      <c r="CO163" s="490" t="s">
        <v>60</v>
      </c>
      <c r="CX163" s="481">
        <v>10600</v>
      </c>
      <c r="CZ163" s="514">
        <f t="shared" ref="CZ163:CZ173" si="16">CZ179</f>
        <v>44287</v>
      </c>
      <c r="DA163" s="481">
        <f t="shared" ref="DA163:DA173" si="17">CE284</f>
        <v>21230</v>
      </c>
      <c r="DB163" s="484">
        <f t="shared" ref="DB163:DB173" si="18">IF(AND(CI$190=2,DA163&lt;=CX$163),325,IF(AND(CI$190=2,DA163&lt;=CY$164),400,IF(AND(CI$190=2,DA163&lt;=CY$165),475,IF(AND(CI$190=2,DA163&lt;=CY$166),575,IF(AND(CI$190=2,DA163&lt;=CY$167),625,IF(AND(CI$190=2,DA163&gt;CX$168),675,""))))))</f>
        <v>575</v>
      </c>
      <c r="DC163" s="481" t="str">
        <f t="shared" ref="DC163:DC173" si="19">IF(AND(CI$190=3,DA163&lt;=CX$163),400,IF(AND(CI$190=3,DA163&lt;=CY$164),475,IF(AND(CI$190=3,DA163&lt;=CY$165),575,IF(AND(CI$190=3,DA163&lt;=CY$166),625,IF(AND(CI$190=3,DA163&lt;=CY$167),675,IF(AND(CI$190=2,DA163&gt;CX$168),725,""))))))</f>
        <v/>
      </c>
      <c r="DD163" s="108" t="str">
        <f t="shared" ref="DD163:DD173" si="20">IF(AND(CI$190=4,DA163&lt;=CX$163),475,IF(AND(CI$190=4,DA163&lt;=CY$164),550,IF(AND(CI$190=4,DA163&lt;=CY$165),625,IF(AND(CI$190=4,DA163&lt;=CY$166),700,IF(AND(CI$190=4,DA163&lt;=CY$167),775,IF(AND(CI$190=4,DA163&gt;CX$168),850,""))))))</f>
        <v/>
      </c>
      <c r="DE163" s="109">
        <f t="shared" ref="DE163:DE173" si="21">L$21</f>
        <v>0</v>
      </c>
      <c r="DF163" s="109">
        <f>IF(DE163=0,0,DE163)</f>
        <v>0</v>
      </c>
      <c r="DG163" s="108"/>
    </row>
    <row r="164" spans="21:111" s="481" customFormat="1" ht="15" hidden="1">
      <c r="U164" s="483"/>
      <c r="V164" s="483"/>
      <c r="W164" s="483"/>
      <c r="X164" s="106"/>
      <c r="Y164" s="106"/>
      <c r="Z164" s="106"/>
      <c r="AA164" s="106"/>
      <c r="AB164" s="106"/>
      <c r="AC164" s="483"/>
      <c r="AD164" s="483"/>
      <c r="AE164" s="483"/>
      <c r="AF164" s="483"/>
      <c r="AG164" s="483"/>
      <c r="AH164" s="483"/>
      <c r="AR164" s="522">
        <v>10</v>
      </c>
      <c r="AS164" s="522">
        <v>31</v>
      </c>
      <c r="AT164" s="481">
        <v>12</v>
      </c>
      <c r="AU164" s="514">
        <v>43586</v>
      </c>
      <c r="AV164" s="502">
        <v>44562</v>
      </c>
      <c r="AW164" s="481">
        <f>'DA Table'!Z218</f>
        <v>20640</v>
      </c>
      <c r="AX164" s="522">
        <v>3</v>
      </c>
      <c r="AY164" s="496">
        <v>43891</v>
      </c>
      <c r="AZ164" s="486"/>
      <c r="BA164" s="486">
        <f t="shared" si="14"/>
        <v>649</v>
      </c>
      <c r="BC164" s="486">
        <f t="shared" si="15"/>
        <v>649</v>
      </c>
      <c r="BE164" s="497" t="s">
        <v>64</v>
      </c>
      <c r="BF164" s="505">
        <v>44440</v>
      </c>
      <c r="BG164" s="504">
        <v>44469</v>
      </c>
      <c r="BN164" s="512"/>
      <c r="BO164" s="481">
        <v>11</v>
      </c>
      <c r="BP164" s="481">
        <v>14</v>
      </c>
      <c r="BQ164" s="514">
        <v>44562</v>
      </c>
      <c r="BR164" s="481">
        <v>21</v>
      </c>
      <c r="BS164" s="529">
        <v>11860</v>
      </c>
      <c r="BT164" s="529">
        <v>12190</v>
      </c>
      <c r="BU164" s="529">
        <v>12550</v>
      </c>
      <c r="BV164" s="517">
        <v>15280</v>
      </c>
      <c r="BW164" s="517">
        <v>15700</v>
      </c>
      <c r="BX164" s="517">
        <v>18030</v>
      </c>
      <c r="BZ164" s="517">
        <v>15280</v>
      </c>
      <c r="CA164" s="517">
        <v>16150</v>
      </c>
      <c r="CB164" s="517">
        <v>18030</v>
      </c>
      <c r="CC164" s="481">
        <v>11</v>
      </c>
      <c r="CD164" s="481" t="s">
        <v>65</v>
      </c>
      <c r="CE164" s="481">
        <v>11</v>
      </c>
      <c r="CF164" s="481">
        <v>2</v>
      </c>
      <c r="CJ164" s="489" t="s">
        <v>66</v>
      </c>
      <c r="CK164" s="486"/>
      <c r="CL164" s="486"/>
      <c r="CM164" s="486"/>
      <c r="CN164" s="486" t="s">
        <v>52</v>
      </c>
      <c r="CO164" s="490" t="s">
        <v>67</v>
      </c>
      <c r="CX164" s="481">
        <v>10601</v>
      </c>
      <c r="CY164" s="481">
        <v>13660</v>
      </c>
      <c r="CZ164" s="514">
        <f t="shared" si="16"/>
        <v>44317</v>
      </c>
      <c r="DA164" s="481">
        <f t="shared" si="17"/>
        <v>21230</v>
      </c>
      <c r="DB164" s="484">
        <f t="shared" si="18"/>
        <v>575</v>
      </c>
      <c r="DC164" s="481" t="str">
        <f t="shared" si="19"/>
        <v/>
      </c>
      <c r="DD164" s="108" t="str">
        <f t="shared" si="20"/>
        <v/>
      </c>
      <c r="DE164" s="109">
        <f t="shared" si="21"/>
        <v>0</v>
      </c>
      <c r="DF164" s="109">
        <f>IF(DE164=0,0,DE164)</f>
        <v>0</v>
      </c>
      <c r="DG164" s="108"/>
    </row>
    <row r="165" spans="21:111" s="481" customFormat="1" ht="15" hidden="1">
      <c r="U165" s="483"/>
      <c r="V165" s="483"/>
      <c r="W165" s="483"/>
      <c r="X165" s="106"/>
      <c r="Y165" s="106"/>
      <c r="Z165" s="106"/>
      <c r="AA165" s="106"/>
      <c r="AB165" s="106"/>
      <c r="AC165" s="483"/>
      <c r="AD165" s="483"/>
      <c r="AE165" s="483"/>
      <c r="AF165" s="483"/>
      <c r="AG165" s="483"/>
      <c r="AH165" s="483"/>
      <c r="AR165" s="522">
        <v>11</v>
      </c>
      <c r="AS165" s="522">
        <v>30</v>
      </c>
      <c r="AT165" s="481">
        <v>13</v>
      </c>
      <c r="AU165" s="514">
        <v>43617</v>
      </c>
      <c r="AV165" s="502">
        <v>44593</v>
      </c>
      <c r="AW165" s="481">
        <f>'DA Table'!Z219</f>
        <v>20640</v>
      </c>
      <c r="AX165" s="522">
        <v>4</v>
      </c>
      <c r="AY165" s="496">
        <v>43922</v>
      </c>
      <c r="AZ165" s="486"/>
      <c r="BA165" s="486">
        <f t="shared" si="14"/>
        <v>649</v>
      </c>
      <c r="BC165" s="486">
        <f t="shared" si="15"/>
        <v>649</v>
      </c>
      <c r="BE165" s="497" t="s">
        <v>68</v>
      </c>
      <c r="BF165" s="505">
        <v>44470</v>
      </c>
      <c r="BG165" s="504">
        <v>44500</v>
      </c>
      <c r="BN165" s="512"/>
      <c r="BO165" s="481">
        <v>12</v>
      </c>
      <c r="BP165" s="481">
        <v>15</v>
      </c>
      <c r="BQ165" s="514">
        <v>44593</v>
      </c>
      <c r="BR165" s="481">
        <v>22</v>
      </c>
      <c r="BS165" s="529">
        <v>12190</v>
      </c>
      <c r="BT165" s="529">
        <v>12550</v>
      </c>
      <c r="BU165" s="529">
        <v>12910</v>
      </c>
      <c r="BV165" s="517">
        <v>15700</v>
      </c>
      <c r="BW165" s="517">
        <v>16150</v>
      </c>
      <c r="BX165" s="517">
        <v>18030</v>
      </c>
      <c r="BZ165" s="517">
        <v>15700</v>
      </c>
      <c r="CA165" s="517">
        <v>16600</v>
      </c>
      <c r="CB165" s="517">
        <v>18030</v>
      </c>
      <c r="CC165" s="481">
        <v>12</v>
      </c>
      <c r="CD165" s="481" t="s">
        <v>18</v>
      </c>
      <c r="CE165" s="481">
        <v>12</v>
      </c>
      <c r="CF165" s="481">
        <v>3</v>
      </c>
      <c r="CJ165" s="489" t="s">
        <v>69</v>
      </c>
      <c r="CK165" s="486"/>
      <c r="CL165" s="486"/>
      <c r="CM165" s="486"/>
      <c r="CN165" s="486" t="s">
        <v>55</v>
      </c>
      <c r="CO165" s="490" t="s">
        <v>67</v>
      </c>
      <c r="CX165" s="481">
        <v>13661</v>
      </c>
      <c r="CY165" s="481">
        <v>17050</v>
      </c>
      <c r="CZ165" s="514">
        <f t="shared" si="16"/>
        <v>44348</v>
      </c>
      <c r="DA165" s="481">
        <f t="shared" si="17"/>
        <v>21230</v>
      </c>
      <c r="DB165" s="484">
        <f t="shared" si="18"/>
        <v>575</v>
      </c>
      <c r="DC165" s="481" t="str">
        <f t="shared" si="19"/>
        <v/>
      </c>
      <c r="DD165" s="108" t="str">
        <f t="shared" si="20"/>
        <v/>
      </c>
      <c r="DE165" s="109">
        <f t="shared" si="21"/>
        <v>0</v>
      </c>
      <c r="DF165" s="109">
        <f>IF(DE165=0,0,DE165)</f>
        <v>0</v>
      </c>
      <c r="DG165" s="108"/>
    </row>
    <row r="166" spans="21:111" s="481" customFormat="1" ht="15" hidden="1">
      <c r="U166" s="483"/>
      <c r="V166" s="483"/>
      <c r="W166" s="483"/>
      <c r="X166" s="106"/>
      <c r="Y166" s="106"/>
      <c r="Z166" s="106"/>
      <c r="AA166" s="106"/>
      <c r="AB166" s="106"/>
      <c r="AC166" s="483"/>
      <c r="AD166" s="483"/>
      <c r="AE166" s="483"/>
      <c r="AF166" s="483"/>
      <c r="AG166" s="483"/>
      <c r="AH166" s="483"/>
      <c r="AQ166" s="532"/>
      <c r="AR166" s="522">
        <v>12</v>
      </c>
      <c r="AS166" s="522">
        <v>31</v>
      </c>
      <c r="AT166" s="481">
        <v>14</v>
      </c>
      <c r="AU166" s="514">
        <v>43647</v>
      </c>
      <c r="AV166" s="502"/>
      <c r="AW166" s="481">
        <f>'DA Table'!Z220</f>
        <v>20640</v>
      </c>
      <c r="AX166" s="522">
        <v>5</v>
      </c>
      <c r="AY166" s="496">
        <v>43952</v>
      </c>
      <c r="AZ166" s="486"/>
      <c r="BA166" s="486">
        <f t="shared" si="14"/>
        <v>649</v>
      </c>
      <c r="BC166" s="486">
        <f t="shared" si="15"/>
        <v>649</v>
      </c>
      <c r="BE166" s="497" t="s">
        <v>70</v>
      </c>
      <c r="BF166" s="505">
        <v>44501</v>
      </c>
      <c r="BG166" s="504">
        <v>44530</v>
      </c>
      <c r="BH166" s="481">
        <v>1</v>
      </c>
      <c r="BI166" s="481" t="s">
        <v>20</v>
      </c>
      <c r="BK166" s="533" t="s">
        <v>849</v>
      </c>
      <c r="BL166" s="534">
        <v>200000</v>
      </c>
      <c r="BN166" s="514"/>
      <c r="BP166" s="481">
        <v>16</v>
      </c>
      <c r="BQ166" s="514"/>
      <c r="BR166" s="481">
        <v>23</v>
      </c>
      <c r="BS166" s="529">
        <v>12550</v>
      </c>
      <c r="BT166" s="529">
        <v>12910</v>
      </c>
      <c r="BU166" s="529">
        <v>13270</v>
      </c>
      <c r="BV166" s="517">
        <v>16150</v>
      </c>
      <c r="BW166" s="517">
        <v>16600</v>
      </c>
      <c r="BX166" s="517">
        <v>18030</v>
      </c>
      <c r="BZ166" s="517">
        <v>16150</v>
      </c>
      <c r="CA166" s="517">
        <v>17050</v>
      </c>
      <c r="CB166" s="517">
        <v>18030</v>
      </c>
      <c r="CC166" s="481">
        <v>13</v>
      </c>
      <c r="CD166" s="481" t="s">
        <v>71</v>
      </c>
      <c r="CE166" s="481">
        <v>13</v>
      </c>
      <c r="CF166" s="481">
        <v>1</v>
      </c>
      <c r="CJ166" s="489"/>
      <c r="CK166" s="486"/>
      <c r="CL166" s="486"/>
      <c r="CM166" s="486"/>
      <c r="CN166" s="486" t="s">
        <v>58</v>
      </c>
      <c r="CO166" s="490" t="s">
        <v>67</v>
      </c>
      <c r="CX166" s="481">
        <v>17051</v>
      </c>
      <c r="CY166" s="481">
        <v>21250</v>
      </c>
      <c r="CZ166" s="514">
        <f t="shared" si="16"/>
        <v>44378</v>
      </c>
      <c r="DA166" s="481">
        <f t="shared" si="17"/>
        <v>21230</v>
      </c>
      <c r="DB166" s="484">
        <f t="shared" si="18"/>
        <v>575</v>
      </c>
      <c r="DC166" s="481" t="str">
        <f t="shared" si="19"/>
        <v/>
      </c>
      <c r="DD166" s="108" t="str">
        <f t="shared" si="20"/>
        <v/>
      </c>
      <c r="DE166" s="109">
        <f t="shared" si="21"/>
        <v>0</v>
      </c>
      <c r="DF166" s="109">
        <f t="shared" ref="DF166:DF173" si="22">IF(DE166=0,0,DE166)</f>
        <v>0</v>
      </c>
      <c r="DG166" s="108"/>
    </row>
    <row r="167" spans="21:111" s="481" customFormat="1" ht="15" hidden="1">
      <c r="U167" s="483"/>
      <c r="V167" s="483"/>
      <c r="W167" s="483"/>
      <c r="X167" s="106"/>
      <c r="Y167" s="106"/>
      <c r="Z167" s="106"/>
      <c r="AA167" s="106"/>
      <c r="AB167" s="106"/>
      <c r="AC167" s="483"/>
      <c r="AD167" s="483"/>
      <c r="AE167" s="483"/>
      <c r="AF167" s="483"/>
      <c r="AG167" s="483"/>
      <c r="AH167" s="483"/>
      <c r="AQ167" s="532"/>
      <c r="AR167" s="522"/>
      <c r="AS167" s="522"/>
      <c r="AT167" s="481">
        <v>15</v>
      </c>
      <c r="AU167" s="514">
        <v>43678</v>
      </c>
      <c r="AW167" s="481">
        <f>'DA Table'!Z221</f>
        <v>20640</v>
      </c>
      <c r="AX167" s="522">
        <v>6</v>
      </c>
      <c r="AY167" s="496">
        <v>43983</v>
      </c>
      <c r="AZ167" s="486"/>
      <c r="BA167" s="486">
        <f t="shared" si="14"/>
        <v>649</v>
      </c>
      <c r="BC167" s="486">
        <f t="shared" si="15"/>
        <v>649</v>
      </c>
      <c r="BE167" s="497" t="s">
        <v>72</v>
      </c>
      <c r="BF167" s="505">
        <v>44531</v>
      </c>
      <c r="BG167" s="504">
        <v>44561</v>
      </c>
      <c r="BH167" s="481">
        <v>2</v>
      </c>
      <c r="BI167" s="481" t="s">
        <v>19</v>
      </c>
      <c r="BK167" s="535" t="s">
        <v>850</v>
      </c>
      <c r="BL167" s="536">
        <v>250000</v>
      </c>
      <c r="BP167" s="481">
        <v>17</v>
      </c>
      <c r="BQ167" s="537">
        <v>5</v>
      </c>
      <c r="BR167" s="481">
        <v>24</v>
      </c>
      <c r="BS167" s="529">
        <v>12910</v>
      </c>
      <c r="BT167" s="529">
        <v>13270</v>
      </c>
      <c r="BU167" s="529">
        <v>13660</v>
      </c>
      <c r="BV167" s="517">
        <v>16600</v>
      </c>
      <c r="BW167" s="517">
        <v>17050</v>
      </c>
      <c r="BX167" s="517">
        <v>18030</v>
      </c>
      <c r="BZ167" s="517">
        <v>16600</v>
      </c>
      <c r="CA167" s="517">
        <v>17540</v>
      </c>
      <c r="CB167" s="517">
        <v>18030</v>
      </c>
      <c r="CC167" s="481">
        <v>14</v>
      </c>
      <c r="CD167" s="481" t="s">
        <v>73</v>
      </c>
      <c r="CE167" s="481">
        <v>14</v>
      </c>
      <c r="CF167" s="481">
        <v>1</v>
      </c>
      <c r="CJ167" s="538" t="str">
        <f>IF(OR(BF254=CJ163,BF254=CJ164),VLOOKUP(CD169,CN160:CO170,2,0),IF(OR(BF255=CJ163,BF255=CJ164),VLOOKUP(CD169,CN160:CO170,2,0),IF(OR(BF256=CJ163,BF256=CJ164),VLOOKUP(CD169,CN160:CO170,2,0),CD169)))</f>
        <v>Deputy Executive Engineer</v>
      </c>
      <c r="CK167" s="486"/>
      <c r="CL167" s="486"/>
      <c r="CM167" s="486"/>
      <c r="CN167" s="486" t="s">
        <v>62</v>
      </c>
      <c r="CO167" s="490" t="s">
        <v>67</v>
      </c>
      <c r="CX167" s="481">
        <v>21251</v>
      </c>
      <c r="CY167" s="481">
        <v>25450</v>
      </c>
      <c r="CZ167" s="514">
        <f t="shared" si="16"/>
        <v>44409</v>
      </c>
      <c r="DA167" s="481">
        <f t="shared" si="17"/>
        <v>21820</v>
      </c>
      <c r="DB167" s="484">
        <f t="shared" si="18"/>
        <v>625</v>
      </c>
      <c r="DC167" s="481" t="str">
        <f t="shared" si="19"/>
        <v/>
      </c>
      <c r="DD167" s="108" t="str">
        <f t="shared" si="20"/>
        <v/>
      </c>
      <c r="DE167" s="109">
        <f t="shared" si="21"/>
        <v>0</v>
      </c>
      <c r="DF167" s="109">
        <f t="shared" si="22"/>
        <v>0</v>
      </c>
      <c r="DG167" s="108"/>
    </row>
    <row r="168" spans="21:111" s="481" customFormat="1" ht="15" hidden="1">
      <c r="U168" s="483"/>
      <c r="V168" s="483"/>
      <c r="W168" s="483"/>
      <c r="X168" s="106"/>
      <c r="Y168" s="106"/>
      <c r="Z168" s="106"/>
      <c r="AA168" s="106"/>
      <c r="AB168" s="106"/>
      <c r="AC168" s="483"/>
      <c r="AD168" s="483"/>
      <c r="AE168" s="483"/>
      <c r="AF168" s="483"/>
      <c r="AG168" s="483"/>
      <c r="AH168" s="483"/>
      <c r="AQ168" s="532"/>
      <c r="AR168" s="522"/>
      <c r="AS168" s="522"/>
      <c r="AT168" s="481">
        <v>16</v>
      </c>
      <c r="AU168" s="514">
        <v>43709</v>
      </c>
      <c r="AW168" s="481">
        <f>'DA Table'!Z222</f>
        <v>20640</v>
      </c>
      <c r="AX168" s="522">
        <v>7</v>
      </c>
      <c r="AY168" s="496">
        <v>44013</v>
      </c>
      <c r="AZ168" s="486"/>
      <c r="BA168" s="486">
        <f t="shared" si="14"/>
        <v>649</v>
      </c>
      <c r="BC168" s="486">
        <f t="shared" si="15"/>
        <v>649</v>
      </c>
      <c r="BE168" s="497" t="s">
        <v>74</v>
      </c>
      <c r="BF168" s="505">
        <v>44562</v>
      </c>
      <c r="BG168" s="504">
        <v>44592</v>
      </c>
      <c r="BH168" s="481">
        <v>3</v>
      </c>
      <c r="BI168" s="481" t="s">
        <v>75</v>
      </c>
      <c r="BK168" s="535" t="s">
        <v>851</v>
      </c>
      <c r="BL168" s="536">
        <v>350000</v>
      </c>
      <c r="BP168" s="481">
        <v>18</v>
      </c>
      <c r="BQ168" s="481">
        <v>12</v>
      </c>
      <c r="BR168" s="481">
        <v>25</v>
      </c>
      <c r="BS168" s="529">
        <v>13270</v>
      </c>
      <c r="BT168" s="529">
        <v>13660</v>
      </c>
      <c r="BU168" s="529">
        <v>14050</v>
      </c>
      <c r="BV168" s="517">
        <v>17050</v>
      </c>
      <c r="BW168" s="517">
        <v>17540</v>
      </c>
      <c r="BX168" s="517">
        <v>18030</v>
      </c>
      <c r="BZ168" s="517">
        <v>17050</v>
      </c>
      <c r="CA168" s="517">
        <v>18030</v>
      </c>
      <c r="CB168" s="517">
        <v>18030</v>
      </c>
      <c r="CC168" s="481">
        <v>15</v>
      </c>
      <c r="CD168" s="481" t="s">
        <v>76</v>
      </c>
      <c r="CE168" s="481">
        <v>15</v>
      </c>
      <c r="CF168" s="481">
        <v>3</v>
      </c>
      <c r="CJ168" s="489"/>
      <c r="CK168" s="486"/>
      <c r="CL168" s="486"/>
      <c r="CM168" s="486"/>
      <c r="CN168" s="486" t="s">
        <v>65</v>
      </c>
      <c r="CO168" s="490" t="s">
        <v>67</v>
      </c>
      <c r="CX168" s="481">
        <v>28451</v>
      </c>
      <c r="CZ168" s="514">
        <f t="shared" si="16"/>
        <v>44440</v>
      </c>
      <c r="DA168" s="481">
        <f t="shared" si="17"/>
        <v>21820</v>
      </c>
      <c r="DB168" s="484">
        <f t="shared" si="18"/>
        <v>625</v>
      </c>
      <c r="DC168" s="481" t="str">
        <f t="shared" si="19"/>
        <v/>
      </c>
      <c r="DD168" s="108" t="str">
        <f t="shared" si="20"/>
        <v/>
      </c>
      <c r="DE168" s="109">
        <f t="shared" si="21"/>
        <v>0</v>
      </c>
      <c r="DF168" s="109">
        <f t="shared" si="22"/>
        <v>0</v>
      </c>
      <c r="DG168" s="108"/>
    </row>
    <row r="169" spans="21:111" s="481" customFormat="1" ht="15" hidden="1">
      <c r="U169" s="483"/>
      <c r="V169" s="483"/>
      <c r="W169" s="483"/>
      <c r="X169" s="106"/>
      <c r="Y169" s="106"/>
      <c r="Z169" s="106"/>
      <c r="AA169" s="106"/>
      <c r="AB169" s="106"/>
      <c r="AC169" s="483"/>
      <c r="AD169" s="483"/>
      <c r="AE169" s="483"/>
      <c r="AF169" s="483"/>
      <c r="AG169" s="483"/>
      <c r="AH169" s="483"/>
      <c r="AQ169" s="532"/>
      <c r="AR169" s="522"/>
      <c r="AS169" s="522"/>
      <c r="AT169" s="481">
        <v>17</v>
      </c>
      <c r="AU169" s="514">
        <v>43739</v>
      </c>
      <c r="AW169" s="481">
        <f>'DA Table'!Z223</f>
        <v>21230</v>
      </c>
      <c r="AX169" s="522">
        <v>8</v>
      </c>
      <c r="AY169" s="496">
        <v>44044</v>
      </c>
      <c r="AZ169" s="486"/>
      <c r="BA169" s="486">
        <f t="shared" si="14"/>
        <v>667</v>
      </c>
      <c r="BC169" s="486">
        <f t="shared" si="15"/>
        <v>668</v>
      </c>
      <c r="BE169" s="497" t="s">
        <v>77</v>
      </c>
      <c r="BF169" s="505">
        <v>44593</v>
      </c>
      <c r="BG169" s="504">
        <v>44620</v>
      </c>
      <c r="BH169" s="481">
        <v>4</v>
      </c>
      <c r="BI169" s="481" t="s">
        <v>17</v>
      </c>
      <c r="BK169" s="535"/>
      <c r="BL169" s="536"/>
      <c r="BM169" s="481">
        <v>1</v>
      </c>
      <c r="BN169" s="481" t="s">
        <v>0</v>
      </c>
      <c r="BO169" s="481" t="s">
        <v>365</v>
      </c>
      <c r="BP169" s="481">
        <v>19</v>
      </c>
      <c r="BQ169" s="481">
        <v>14.5</v>
      </c>
      <c r="BR169" s="481">
        <v>26</v>
      </c>
      <c r="BS169" s="529">
        <v>13660</v>
      </c>
      <c r="BT169" s="529">
        <v>14050</v>
      </c>
      <c r="BU169" s="529">
        <v>14440</v>
      </c>
      <c r="BV169" s="517">
        <v>17540</v>
      </c>
      <c r="BW169" s="517">
        <v>18030</v>
      </c>
      <c r="BX169" s="517">
        <v>18520</v>
      </c>
      <c r="BZ169" s="517">
        <v>17540</v>
      </c>
      <c r="CA169" s="517">
        <v>18520</v>
      </c>
      <c r="CB169" s="517">
        <v>18520</v>
      </c>
      <c r="CD169" s="539" t="str">
        <f>CD170</f>
        <v>Deputy Executive Engineer</v>
      </c>
      <c r="CE169" s="539">
        <v>7</v>
      </c>
      <c r="CF169" s="539" t="e">
        <f>VLOOKUP(CD169,CD154:CF168,3,0)</f>
        <v>#N/A</v>
      </c>
      <c r="CJ169" s="489"/>
      <c r="CK169" s="486"/>
      <c r="CL169" s="486"/>
      <c r="CM169" s="486"/>
      <c r="CN169" s="486" t="s">
        <v>18</v>
      </c>
      <c r="CO169" s="490" t="s">
        <v>78</v>
      </c>
      <c r="CZ169" s="514">
        <f t="shared" si="16"/>
        <v>44470</v>
      </c>
      <c r="DA169" s="481">
        <f t="shared" si="17"/>
        <v>21820</v>
      </c>
      <c r="DB169" s="484">
        <f t="shared" si="18"/>
        <v>625</v>
      </c>
      <c r="DC169" s="481" t="str">
        <f t="shared" si="19"/>
        <v/>
      </c>
      <c r="DD169" s="108" t="str">
        <f t="shared" si="20"/>
        <v/>
      </c>
      <c r="DE169" s="109">
        <f t="shared" si="21"/>
        <v>0</v>
      </c>
      <c r="DF169" s="109">
        <f t="shared" si="22"/>
        <v>0</v>
      </c>
      <c r="DG169" s="108"/>
    </row>
    <row r="170" spans="21:111" s="481" customFormat="1" ht="15" hidden="1">
      <c r="U170" s="483"/>
      <c r="V170" s="483"/>
      <c r="W170" s="483"/>
      <c r="X170" s="106"/>
      <c r="Y170" s="106"/>
      <c r="Z170" s="106"/>
      <c r="AA170" s="106"/>
      <c r="AB170" s="106"/>
      <c r="AC170" s="483"/>
      <c r="AD170" s="483"/>
      <c r="AE170" s="483"/>
      <c r="AF170" s="483"/>
      <c r="AG170" s="483"/>
      <c r="AH170" s="483"/>
      <c r="AR170" s="522"/>
      <c r="AS170" s="522"/>
      <c r="AT170" s="481">
        <v>18</v>
      </c>
      <c r="AU170" s="514">
        <v>43770</v>
      </c>
      <c r="AV170" s="492"/>
      <c r="AW170" s="481">
        <f>'DA Table'!Z224</f>
        <v>21230</v>
      </c>
      <c r="AX170" s="522">
        <v>9</v>
      </c>
      <c r="AY170" s="496">
        <v>44075</v>
      </c>
      <c r="AZ170" s="486"/>
      <c r="BA170" s="486">
        <f t="shared" si="14"/>
        <v>667</v>
      </c>
      <c r="BC170" s="486">
        <f t="shared" si="15"/>
        <v>668</v>
      </c>
      <c r="BE170" s="497" t="s">
        <v>79</v>
      </c>
      <c r="BH170" s="481">
        <v>5</v>
      </c>
      <c r="BI170" s="481" t="s">
        <v>953</v>
      </c>
      <c r="BK170" s="535"/>
      <c r="BL170" s="536" t="str">
        <f>IF(BO188=1,"24B",IF(BO188=2,"80EE","80EEA"))</f>
        <v>24B</v>
      </c>
      <c r="BM170" s="481">
        <v>2</v>
      </c>
      <c r="BN170" s="481" t="s">
        <v>80</v>
      </c>
      <c r="BO170" s="481" t="s">
        <v>366</v>
      </c>
      <c r="BP170" s="481">
        <v>20</v>
      </c>
      <c r="BQ170" s="481">
        <v>20</v>
      </c>
      <c r="BR170" s="481">
        <v>27</v>
      </c>
      <c r="BS170" s="529">
        <v>14050</v>
      </c>
      <c r="BT170" s="529">
        <v>14440</v>
      </c>
      <c r="BU170" s="529">
        <v>14860</v>
      </c>
      <c r="BV170" s="517">
        <v>18030</v>
      </c>
      <c r="BW170" s="517">
        <v>18520</v>
      </c>
      <c r="BX170" s="517">
        <v>19050</v>
      </c>
      <c r="BZ170" s="517">
        <v>18030</v>
      </c>
      <c r="CA170" s="517">
        <v>19050</v>
      </c>
      <c r="CB170" s="517">
        <v>19050</v>
      </c>
      <c r="CC170" s="494">
        <v>9</v>
      </c>
      <c r="CD170" s="481" t="str">
        <f>E11</f>
        <v>Deputy Executive Engineer</v>
      </c>
      <c r="CF170" s="481" t="e">
        <f>CF169</f>
        <v>#N/A</v>
      </c>
      <c r="CG170" s="482" t="str">
        <f>VLOOKUP(CC170,CC154:CD168,2,0)</f>
        <v>SA(PS)</v>
      </c>
      <c r="CH170" s="482"/>
      <c r="CJ170" s="506"/>
      <c r="CK170" s="519"/>
      <c r="CL170" s="519"/>
      <c r="CM170" s="519"/>
      <c r="CN170" s="519" t="s">
        <v>76</v>
      </c>
      <c r="CO170" s="507" t="s">
        <v>78</v>
      </c>
      <c r="CZ170" s="514">
        <f t="shared" si="16"/>
        <v>44501</v>
      </c>
      <c r="DA170" s="481">
        <f t="shared" si="17"/>
        <v>21820</v>
      </c>
      <c r="DB170" s="484">
        <f t="shared" si="18"/>
        <v>625</v>
      </c>
      <c r="DC170" s="481" t="str">
        <f t="shared" si="19"/>
        <v/>
      </c>
      <c r="DD170" s="108" t="str">
        <f t="shared" si="20"/>
        <v/>
      </c>
      <c r="DE170" s="109">
        <f t="shared" si="21"/>
        <v>0</v>
      </c>
      <c r="DF170" s="109">
        <f t="shared" si="22"/>
        <v>0</v>
      </c>
      <c r="DG170" s="108"/>
    </row>
    <row r="171" spans="21:111" s="481" customFormat="1" ht="15" hidden="1">
      <c r="U171" s="483"/>
      <c r="V171" s="483"/>
      <c r="W171" s="483"/>
      <c r="X171" s="106"/>
      <c r="Y171" s="106"/>
      <c r="Z171" s="106"/>
      <c r="AA171" s="106"/>
      <c r="AB171" s="106"/>
      <c r="AC171" s="483"/>
      <c r="AD171" s="483"/>
      <c r="AE171" s="483"/>
      <c r="AF171" s="483"/>
      <c r="AG171" s="483"/>
      <c r="AH171" s="483"/>
      <c r="AR171" s="522"/>
      <c r="AS171" s="522"/>
      <c r="AT171" s="481">
        <v>19</v>
      </c>
      <c r="AU171" s="514">
        <v>43800</v>
      </c>
      <c r="AV171" s="492"/>
      <c r="AW171" s="481">
        <f>'DA Table'!Z225</f>
        <v>21230</v>
      </c>
      <c r="AX171" s="522">
        <v>10</v>
      </c>
      <c r="AY171" s="496">
        <v>44105</v>
      </c>
      <c r="AZ171" s="486"/>
      <c r="BA171" s="486">
        <f t="shared" si="14"/>
        <v>667</v>
      </c>
      <c r="BC171" s="486">
        <f t="shared" si="15"/>
        <v>668</v>
      </c>
      <c r="BE171" s="497" t="s">
        <v>81</v>
      </c>
      <c r="BH171" s="481">
        <v>6</v>
      </c>
      <c r="BI171" s="481" t="s">
        <v>82</v>
      </c>
      <c r="BK171" s="535"/>
      <c r="BL171" s="536">
        <f>IF(G$33&lt;=BL166,G$33,IF(G$33&gt;BL166,BL166))</f>
        <v>0</v>
      </c>
      <c r="BM171" s="481">
        <v>3</v>
      </c>
      <c r="BN171" s="481" t="s">
        <v>83</v>
      </c>
      <c r="BO171" s="540">
        <v>1</v>
      </c>
      <c r="BP171" s="481">
        <v>21</v>
      </c>
      <c r="BQ171" s="481">
        <v>30</v>
      </c>
      <c r="BR171" s="481">
        <v>28</v>
      </c>
      <c r="BS171" s="529">
        <v>14440</v>
      </c>
      <c r="BT171" s="529">
        <v>14860</v>
      </c>
      <c r="BU171" s="529">
        <v>15280</v>
      </c>
      <c r="BV171" s="517">
        <v>18520</v>
      </c>
      <c r="BW171" s="517">
        <v>19050</v>
      </c>
      <c r="BX171" s="517">
        <v>19580</v>
      </c>
      <c r="BZ171" s="517">
        <v>18520</v>
      </c>
      <c r="CA171" s="517">
        <v>19580</v>
      </c>
      <c r="CB171" s="517">
        <v>19580</v>
      </c>
      <c r="CC171" s="481">
        <v>1</v>
      </c>
      <c r="CD171" s="487" t="s">
        <v>3</v>
      </c>
      <c r="CE171" s="509">
        <v>0</v>
      </c>
      <c r="CF171" s="488"/>
      <c r="CG171" s="482"/>
      <c r="CH171" s="482"/>
      <c r="CZ171" s="514">
        <f t="shared" si="16"/>
        <v>44531</v>
      </c>
      <c r="DA171" s="481">
        <f t="shared" si="17"/>
        <v>21820</v>
      </c>
      <c r="DB171" s="484">
        <f t="shared" si="18"/>
        <v>625</v>
      </c>
      <c r="DC171" s="481" t="str">
        <f t="shared" si="19"/>
        <v/>
      </c>
      <c r="DD171" s="108" t="str">
        <f t="shared" si="20"/>
        <v/>
      </c>
      <c r="DE171" s="109">
        <f t="shared" si="21"/>
        <v>0</v>
      </c>
      <c r="DF171" s="109">
        <f t="shared" si="22"/>
        <v>0</v>
      </c>
      <c r="DG171" s="108"/>
    </row>
    <row r="172" spans="21:111" s="481" customFormat="1" ht="15" hidden="1">
      <c r="U172" s="483"/>
      <c r="V172" s="483"/>
      <c r="W172" s="483"/>
      <c r="X172" s="106"/>
      <c r="Y172" s="106"/>
      <c r="Z172" s="106"/>
      <c r="AA172" s="106"/>
      <c r="AB172" s="106"/>
      <c r="AC172" s="483"/>
      <c r="AD172" s="483"/>
      <c r="AE172" s="483"/>
      <c r="AF172" s="483"/>
      <c r="AG172" s="483"/>
      <c r="AH172" s="483"/>
      <c r="AT172" s="481">
        <v>20</v>
      </c>
      <c r="AU172" s="514">
        <v>43831</v>
      </c>
      <c r="AV172" s="492"/>
      <c r="AW172" s="481">
        <f>'DA Table'!Z226</f>
        <v>21230</v>
      </c>
      <c r="AX172" s="522">
        <v>11</v>
      </c>
      <c r="AY172" s="496">
        <v>44136</v>
      </c>
      <c r="AZ172" s="486"/>
      <c r="BA172" s="486">
        <f t="shared" si="14"/>
        <v>667</v>
      </c>
      <c r="BC172" s="486">
        <f t="shared" si="15"/>
        <v>668</v>
      </c>
      <c r="BE172" s="497" t="s">
        <v>84</v>
      </c>
      <c r="BH172" s="481">
        <v>7</v>
      </c>
      <c r="BI172" s="481" t="s">
        <v>85</v>
      </c>
      <c r="BK172" s="535"/>
      <c r="BL172" s="536">
        <f>IF(G$33&lt;=BL167,G$33,IF(G$33&gt;BL167,BL167))</f>
        <v>0</v>
      </c>
      <c r="BM172" s="494">
        <v>1</v>
      </c>
      <c r="BN172" s="537" t="str">
        <f>VLOOKUP(BM172,BM169:BN171,2,0)</f>
        <v>Sri.</v>
      </c>
      <c r="BP172" s="481">
        <v>22</v>
      </c>
      <c r="BR172" s="481">
        <v>29</v>
      </c>
      <c r="BS172" s="529">
        <v>14860</v>
      </c>
      <c r="BT172" s="529">
        <v>15280</v>
      </c>
      <c r="BU172" s="529">
        <v>15700</v>
      </c>
      <c r="BV172" s="517">
        <v>19050</v>
      </c>
      <c r="BW172" s="517">
        <v>19580</v>
      </c>
      <c r="BX172" s="517">
        <v>20110</v>
      </c>
      <c r="BZ172" s="517">
        <v>19050</v>
      </c>
      <c r="CA172" s="517">
        <v>20110</v>
      </c>
      <c r="CB172" s="517">
        <v>20110</v>
      </c>
      <c r="CC172" s="481">
        <v>2</v>
      </c>
      <c r="CD172" s="489">
        <v>50</v>
      </c>
      <c r="CE172" s="486">
        <v>50</v>
      </c>
      <c r="CF172" s="541">
        <v>1</v>
      </c>
      <c r="CG172" s="482"/>
      <c r="CH172" s="482"/>
      <c r="CZ172" s="514">
        <f t="shared" si="16"/>
        <v>44562</v>
      </c>
      <c r="DA172" s="481">
        <f t="shared" si="17"/>
        <v>21820</v>
      </c>
      <c r="DB172" s="484">
        <f t="shared" si="18"/>
        <v>625</v>
      </c>
      <c r="DC172" s="481" t="str">
        <f t="shared" si="19"/>
        <v/>
      </c>
      <c r="DD172" s="108" t="str">
        <f t="shared" si="20"/>
        <v/>
      </c>
      <c r="DE172" s="109">
        <f t="shared" si="21"/>
        <v>0</v>
      </c>
      <c r="DF172" s="109">
        <f t="shared" si="22"/>
        <v>0</v>
      </c>
      <c r="DG172" s="108"/>
    </row>
    <row r="173" spans="21:111" s="481" customFormat="1" ht="15" hidden="1">
      <c r="U173" s="483"/>
      <c r="V173" s="483"/>
      <c r="W173" s="483"/>
      <c r="X173" s="106"/>
      <c r="Y173" s="106"/>
      <c r="Z173" s="106"/>
      <c r="AA173" s="106"/>
      <c r="AB173" s="106"/>
      <c r="AC173" s="483"/>
      <c r="AD173" s="483"/>
      <c r="AE173" s="483"/>
      <c r="AF173" s="483"/>
      <c r="AG173" s="483"/>
      <c r="AH173" s="483"/>
      <c r="AN173" s="542"/>
      <c r="AT173" s="481">
        <v>21</v>
      </c>
      <c r="AU173" s="514">
        <v>43862</v>
      </c>
      <c r="AW173" s="481">
        <f>'DA Table'!Z227</f>
        <v>21230</v>
      </c>
      <c r="AX173" s="522">
        <v>12</v>
      </c>
      <c r="AY173" s="496">
        <v>44166</v>
      </c>
      <c r="AZ173" s="486"/>
      <c r="BA173" s="486">
        <f t="shared" si="14"/>
        <v>667</v>
      </c>
      <c r="BC173" s="486">
        <f t="shared" si="15"/>
        <v>668</v>
      </c>
      <c r="BE173" s="497" t="s">
        <v>86</v>
      </c>
      <c r="BH173" s="481">
        <v>8</v>
      </c>
      <c r="BI173" s="481" t="s">
        <v>705</v>
      </c>
      <c r="BK173" s="535"/>
      <c r="BL173" s="536">
        <f>IF(G$33&lt;=BL168,G$33,IF(G$33&gt;BL168,BL168))</f>
        <v>0</v>
      </c>
      <c r="BN173" s="481">
        <v>1</v>
      </c>
      <c r="BO173" s="481">
        <v>12</v>
      </c>
      <c r="BP173" s="481">
        <v>23</v>
      </c>
      <c r="BQ173" s="543"/>
      <c r="BR173" s="481">
        <v>30</v>
      </c>
      <c r="BS173" s="529">
        <v>15280</v>
      </c>
      <c r="BT173" s="529">
        <v>15700</v>
      </c>
      <c r="BU173" s="529">
        <v>16150</v>
      </c>
      <c r="BV173" s="517">
        <v>19580</v>
      </c>
      <c r="BW173" s="517">
        <v>20110</v>
      </c>
      <c r="BX173" s="517">
        <v>20680</v>
      </c>
      <c r="BZ173" s="517">
        <v>19580</v>
      </c>
      <c r="CA173" s="517">
        <v>20680</v>
      </c>
      <c r="CB173" s="517">
        <v>20680</v>
      </c>
      <c r="CC173" s="481">
        <v>3</v>
      </c>
      <c r="CD173" s="489">
        <v>75</v>
      </c>
      <c r="CE173" s="486">
        <v>75</v>
      </c>
      <c r="CF173" s="544" t="str">
        <f>VLOOKUP(CF172,CC171:CD174,2,0)</f>
        <v>Not Applicable</v>
      </c>
      <c r="CH173" s="487"/>
      <c r="CI173" s="509"/>
      <c r="CJ173" s="509"/>
      <c r="CK173" s="509"/>
      <c r="CL173" s="1922" t="s">
        <v>379</v>
      </c>
      <c r="CM173" s="1925"/>
      <c r="CN173" s="545"/>
      <c r="CO173" s="1922" t="s">
        <v>377</v>
      </c>
      <c r="CP173" s="1923"/>
      <c r="CZ173" s="514">
        <f t="shared" si="16"/>
        <v>44593</v>
      </c>
      <c r="DA173" s="481">
        <f t="shared" si="17"/>
        <v>21820</v>
      </c>
      <c r="DB173" s="484">
        <f t="shared" si="18"/>
        <v>625</v>
      </c>
      <c r="DC173" s="481" t="str">
        <f t="shared" si="19"/>
        <v/>
      </c>
      <c r="DD173" s="108" t="str">
        <f t="shared" si="20"/>
        <v/>
      </c>
      <c r="DE173" s="109">
        <f t="shared" si="21"/>
        <v>0</v>
      </c>
      <c r="DF173" s="109">
        <f t="shared" si="22"/>
        <v>0</v>
      </c>
      <c r="DG173" s="108"/>
    </row>
    <row r="174" spans="21:111" s="481" customFormat="1" ht="15" hidden="1">
      <c r="U174" s="483"/>
      <c r="V174" s="483"/>
      <c r="W174" s="483"/>
      <c r="X174" s="106"/>
      <c r="Y174" s="106"/>
      <c r="Z174" s="106"/>
      <c r="AA174" s="106"/>
      <c r="AB174" s="106"/>
      <c r="AC174" s="483"/>
      <c r="AD174" s="483"/>
      <c r="AE174" s="483"/>
      <c r="AF174" s="483"/>
      <c r="AG174" s="483"/>
      <c r="AH174" s="483"/>
      <c r="AM174" s="532"/>
      <c r="AT174" s="481">
        <v>22</v>
      </c>
      <c r="AU174" s="514">
        <v>43891</v>
      </c>
      <c r="AW174" s="481">
        <f>'DA Table'!Z228</f>
        <v>21230</v>
      </c>
      <c r="AX174" s="481">
        <v>1</v>
      </c>
      <c r="AY174" s="496">
        <v>44197</v>
      </c>
      <c r="AZ174" s="486"/>
      <c r="BC174" s="486">
        <f t="shared" si="15"/>
        <v>668</v>
      </c>
      <c r="BE174" s="497" t="s">
        <v>87</v>
      </c>
      <c r="BH174" s="481">
        <v>9</v>
      </c>
      <c r="BI174" s="481" t="s">
        <v>88</v>
      </c>
      <c r="BK174" s="546"/>
      <c r="BL174" s="547">
        <f>IF(BO188=1,BL171,IF(BO188=2,BL172,BL173))</f>
        <v>0</v>
      </c>
      <c r="BN174" s="481">
        <v>2</v>
      </c>
      <c r="BO174" s="481">
        <v>14.5</v>
      </c>
      <c r="BP174" s="481">
        <v>24</v>
      </c>
      <c r="BR174" s="481">
        <v>31</v>
      </c>
      <c r="BS174" s="529">
        <v>15700</v>
      </c>
      <c r="BT174" s="529">
        <v>16150</v>
      </c>
      <c r="BU174" s="529">
        <v>16600</v>
      </c>
      <c r="BV174" s="517">
        <v>20110</v>
      </c>
      <c r="BW174" s="517">
        <v>20680</v>
      </c>
      <c r="BX174" s="517">
        <v>21250</v>
      </c>
      <c r="BZ174" s="517">
        <v>20110</v>
      </c>
      <c r="CA174" s="517">
        <v>21250</v>
      </c>
      <c r="CB174" s="517">
        <v>21250</v>
      </c>
      <c r="CC174" s="481">
        <v>4</v>
      </c>
      <c r="CD174" s="489">
        <v>100</v>
      </c>
      <c r="CE174" s="486">
        <v>100</v>
      </c>
      <c r="CF174" s="490" t="s">
        <v>89</v>
      </c>
      <c r="CH174" s="489"/>
      <c r="CI174" s="486" t="s">
        <v>14</v>
      </c>
      <c r="CJ174" s="486"/>
      <c r="CK174" s="486"/>
      <c r="CL174" s="548"/>
      <c r="CM174" s="486"/>
      <c r="CN174" s="549"/>
      <c r="CO174" s="548">
        <v>1</v>
      </c>
      <c r="CP174" s="549" t="s">
        <v>380</v>
      </c>
      <c r="CZ174" s="514"/>
      <c r="DB174" s="484"/>
      <c r="DD174" s="108"/>
      <c r="DE174" s="109"/>
      <c r="DF174" s="109"/>
      <c r="DG174" s="108"/>
    </row>
    <row r="175" spans="21:111" s="481" customFormat="1" ht="15" hidden="1">
      <c r="U175" s="483"/>
      <c r="V175" s="483"/>
      <c r="W175" s="483"/>
      <c r="X175" s="106"/>
      <c r="Y175" s="106"/>
      <c r="Z175" s="106"/>
      <c r="AA175" s="106"/>
      <c r="AB175" s="106"/>
      <c r="AC175" s="483"/>
      <c r="AD175" s="483"/>
      <c r="AE175" s="483"/>
      <c r="AF175" s="483"/>
      <c r="AG175" s="483"/>
      <c r="AH175" s="483"/>
      <c r="AM175" s="532"/>
      <c r="AT175" s="481">
        <v>23</v>
      </c>
      <c r="AU175" s="514">
        <v>43922</v>
      </c>
      <c r="AW175" s="481">
        <f>'DA Table'!Z229</f>
        <v>21230</v>
      </c>
      <c r="AX175" s="481">
        <v>2</v>
      </c>
      <c r="AY175" s="530">
        <v>44228</v>
      </c>
      <c r="AZ175" s="531"/>
      <c r="BA175" s="531"/>
      <c r="BB175" s="531"/>
      <c r="BC175" s="531">
        <f t="shared" si="15"/>
        <v>668</v>
      </c>
      <c r="BE175" s="497" t="s">
        <v>90</v>
      </c>
      <c r="BH175" s="481">
        <v>10</v>
      </c>
      <c r="BI175" s="481" t="s">
        <v>91</v>
      </c>
      <c r="BN175" s="481">
        <v>3</v>
      </c>
      <c r="BO175" s="481">
        <v>20</v>
      </c>
      <c r="BP175" s="481">
        <v>25</v>
      </c>
      <c r="BR175" s="481">
        <v>32</v>
      </c>
      <c r="BS175" s="529">
        <v>16150</v>
      </c>
      <c r="BT175" s="529">
        <v>16600</v>
      </c>
      <c r="BU175" s="529">
        <v>17050</v>
      </c>
      <c r="BV175" s="517">
        <v>20680</v>
      </c>
      <c r="BW175" s="517">
        <v>21250</v>
      </c>
      <c r="BX175" s="517">
        <v>21820</v>
      </c>
      <c r="BZ175" s="517">
        <v>20680</v>
      </c>
      <c r="CA175" s="517">
        <v>21820</v>
      </c>
      <c r="CB175" s="517">
        <v>21820</v>
      </c>
      <c r="CD175" s="506">
        <f>L13</f>
        <v>0</v>
      </c>
      <c r="CE175" s="519">
        <f>L13</f>
        <v>0</v>
      </c>
      <c r="CF175" s="507">
        <f>IF(CE175=0,0,CE175)</f>
        <v>0</v>
      </c>
      <c r="CG175" s="481">
        <v>1</v>
      </c>
      <c r="CH175" s="487" t="s">
        <v>4</v>
      </c>
      <c r="CI175" s="509">
        <v>0</v>
      </c>
      <c r="CJ175" s="550">
        <v>1</v>
      </c>
      <c r="CK175" s="486"/>
      <c r="CL175" s="548">
        <v>1</v>
      </c>
      <c r="CM175" s="486" t="s">
        <v>3</v>
      </c>
      <c r="CN175" s="549"/>
      <c r="CO175" s="548">
        <v>2</v>
      </c>
      <c r="CP175" s="549" t="s">
        <v>98</v>
      </c>
      <c r="DB175" s="484"/>
      <c r="DD175" s="108"/>
      <c r="DE175" s="109"/>
      <c r="DF175" s="109"/>
      <c r="DG175" s="108"/>
    </row>
    <row r="176" spans="21:111" s="481" customFormat="1" ht="15" hidden="1">
      <c r="U176" s="483"/>
      <c r="V176" s="483"/>
      <c r="W176" s="483"/>
      <c r="X176" s="106"/>
      <c r="Y176" s="106"/>
      <c r="Z176" s="106"/>
      <c r="AA176" s="106"/>
      <c r="AB176" s="106"/>
      <c r="AC176" s="483"/>
      <c r="AD176" s="483"/>
      <c r="AE176" s="483"/>
      <c r="AF176" s="483"/>
      <c r="AG176" s="483"/>
      <c r="AH176" s="483"/>
      <c r="AM176" s="532"/>
      <c r="AT176" s="481">
        <v>24</v>
      </c>
      <c r="AU176" s="514">
        <v>43952</v>
      </c>
      <c r="AW176" s="481">
        <f>'DA Table'!Z230</f>
        <v>21230</v>
      </c>
      <c r="AX176" s="481">
        <v>3</v>
      </c>
      <c r="AY176" s="496">
        <v>44256</v>
      </c>
      <c r="BC176" s="486">
        <f t="shared" si="15"/>
        <v>668</v>
      </c>
      <c r="BE176" s="497" t="s">
        <v>25</v>
      </c>
      <c r="BH176" s="481">
        <v>11</v>
      </c>
      <c r="BI176" s="481" t="s">
        <v>791</v>
      </c>
      <c r="BN176" s="481">
        <v>4</v>
      </c>
      <c r="BO176" s="481">
        <v>30</v>
      </c>
      <c r="BP176" s="481">
        <v>26</v>
      </c>
      <c r="BR176" s="481">
        <v>33</v>
      </c>
      <c r="BS176" s="529">
        <v>16600</v>
      </c>
      <c r="BT176" s="529">
        <v>17050</v>
      </c>
      <c r="BU176" s="529">
        <v>17540</v>
      </c>
      <c r="BV176" s="517">
        <v>21250</v>
      </c>
      <c r="BW176" s="517">
        <v>21820</v>
      </c>
      <c r="BX176" s="517">
        <v>22430</v>
      </c>
      <c r="BZ176" s="517">
        <v>21250</v>
      </c>
      <c r="CA176" s="517">
        <v>22430</v>
      </c>
      <c r="CB176" s="517">
        <v>22430</v>
      </c>
      <c r="CC176" s="481">
        <v>1</v>
      </c>
      <c r="CD176" s="487" t="s">
        <v>6</v>
      </c>
      <c r="CE176" s="509"/>
      <c r="CF176" s="551">
        <f>IF(CF177=CD176,CJ236,IF(CF177=CD177,0))</f>
        <v>40150</v>
      </c>
      <c r="CG176" s="486">
        <v>2</v>
      </c>
      <c r="CH176" s="489" t="s">
        <v>92</v>
      </c>
      <c r="CI176" s="486">
        <f>IF(CL274=1,1350,IF(CL274=2,2000,0))</f>
        <v>1350</v>
      </c>
      <c r="CJ176" s="490"/>
      <c r="CK176" s="489"/>
      <c r="CL176" s="548">
        <v>2</v>
      </c>
      <c r="CM176" s="486">
        <v>400</v>
      </c>
      <c r="CN176" s="549"/>
      <c r="CO176" s="548"/>
      <c r="CP176" s="549"/>
      <c r="CS176" s="504"/>
      <c r="CT176" s="504" t="e">
        <f>CU176</f>
        <v>#N/A</v>
      </c>
      <c r="CU176" s="504" t="e">
        <f>#N/A</f>
        <v>#N/A</v>
      </c>
      <c r="CW176" s="1936" t="s">
        <v>370</v>
      </c>
      <c r="CX176" s="1936" t="s">
        <v>371</v>
      </c>
      <c r="CY176" s="1936" t="s">
        <v>372</v>
      </c>
      <c r="DB176" s="484"/>
      <c r="DD176" s="108"/>
      <c r="DE176" s="109"/>
      <c r="DF176" s="109"/>
      <c r="DG176" s="108"/>
    </row>
    <row r="177" spans="21:117" s="481" customFormat="1" ht="15" hidden="1">
      <c r="U177" s="483"/>
      <c r="V177" s="483"/>
      <c r="W177" s="483"/>
      <c r="X177" s="106"/>
      <c r="Y177" s="106"/>
      <c r="Z177" s="106"/>
      <c r="AA177" s="106"/>
      <c r="AB177" s="106"/>
      <c r="AC177" s="483"/>
      <c r="AD177" s="483"/>
      <c r="AE177" s="483"/>
      <c r="AF177" s="483"/>
      <c r="AG177" s="483"/>
      <c r="AH177" s="483"/>
      <c r="AM177" s="532"/>
      <c r="AT177" s="481">
        <v>25</v>
      </c>
      <c r="AU177" s="514">
        <v>43983</v>
      </c>
      <c r="AW177" s="481">
        <f>'DA Table'!Z231</f>
        <v>21230</v>
      </c>
      <c r="AX177" s="481">
        <v>4</v>
      </c>
      <c r="AY177" s="496">
        <v>44287</v>
      </c>
      <c r="BC177" s="486">
        <f t="shared" si="15"/>
        <v>668</v>
      </c>
      <c r="BH177" s="481">
        <v>12</v>
      </c>
      <c r="BI177" s="481" t="s">
        <v>93</v>
      </c>
      <c r="BN177" s="481">
        <v>5</v>
      </c>
      <c r="BO177" s="481">
        <v>0</v>
      </c>
      <c r="BP177" s="481">
        <v>27</v>
      </c>
      <c r="BR177" s="481">
        <v>34</v>
      </c>
      <c r="BS177" s="529">
        <v>17050</v>
      </c>
      <c r="BT177" s="529">
        <v>17540</v>
      </c>
      <c r="BU177" s="529">
        <v>18030</v>
      </c>
      <c r="BV177" s="517">
        <v>21820</v>
      </c>
      <c r="BW177" s="517">
        <v>22430</v>
      </c>
      <c r="BX177" s="517">
        <v>23040</v>
      </c>
      <c r="BZ177" s="517">
        <v>21820</v>
      </c>
      <c r="CA177" s="517">
        <v>23040</v>
      </c>
      <c r="CB177" s="517">
        <v>23040</v>
      </c>
      <c r="CC177" s="481">
        <v>2</v>
      </c>
      <c r="CD177" s="489" t="s">
        <v>94</v>
      </c>
      <c r="CE177" s="486"/>
      <c r="CF177" s="552" t="str">
        <f>VLOOKUP(CE178,CC176:CD177,2,0)</f>
        <v>Rented House</v>
      </c>
      <c r="CG177" s="486">
        <v>3</v>
      </c>
      <c r="CH177" s="481" t="s">
        <v>95</v>
      </c>
      <c r="CI177" s="486">
        <f>IF(CH178=CH175,0,CI176)</f>
        <v>0</v>
      </c>
      <c r="CJ177" s="490"/>
      <c r="CK177" s="489"/>
      <c r="CL177" s="548">
        <v>3</v>
      </c>
      <c r="CM177" s="486">
        <v>500</v>
      </c>
      <c r="CN177" s="549"/>
      <c r="CO177" s="548"/>
      <c r="CP177" s="549"/>
      <c r="CQ177" s="481">
        <v>21</v>
      </c>
      <c r="CW177" s="1936"/>
      <c r="CX177" s="1936"/>
      <c r="CY177" s="1936"/>
      <c r="DB177" s="484"/>
      <c r="DD177" s="108"/>
      <c r="DE177" s="109">
        <v>1</v>
      </c>
      <c r="DF177" s="109"/>
      <c r="DG177" s="108"/>
      <c r="DI177" s="481">
        <v>2</v>
      </c>
    </row>
    <row r="178" spans="21:117" s="481" customFormat="1" ht="15" hidden="1">
      <c r="U178" s="483"/>
      <c r="V178" s="483"/>
      <c r="W178" s="483"/>
      <c r="X178" s="106"/>
      <c r="Y178" s="106"/>
      <c r="Z178" s="106"/>
      <c r="AA178" s="106"/>
      <c r="AB178" s="106"/>
      <c r="AC178" s="483"/>
      <c r="AD178" s="483"/>
      <c r="AE178" s="483"/>
      <c r="AF178" s="483"/>
      <c r="AG178" s="483"/>
      <c r="AH178" s="483"/>
      <c r="AT178" s="481">
        <v>26</v>
      </c>
      <c r="AU178" s="514">
        <v>44013</v>
      </c>
      <c r="AW178" s="481">
        <f>'DA Table'!Z232</f>
        <v>21230</v>
      </c>
      <c r="AX178" s="481">
        <v>5</v>
      </c>
      <c r="AY178" s="496">
        <v>44317</v>
      </c>
      <c r="BC178" s="486">
        <f t="shared" si="15"/>
        <v>668</v>
      </c>
      <c r="BH178" s="481">
        <v>13</v>
      </c>
      <c r="BI178" s="481" t="s">
        <v>96</v>
      </c>
      <c r="BP178" s="481">
        <v>28</v>
      </c>
      <c r="BR178" s="481">
        <v>35</v>
      </c>
      <c r="BS178" s="529">
        <v>17540</v>
      </c>
      <c r="BT178" s="529">
        <v>18030</v>
      </c>
      <c r="BU178" s="529">
        <v>18520</v>
      </c>
      <c r="BV178" s="517">
        <v>22430</v>
      </c>
      <c r="BW178" s="517">
        <v>23040</v>
      </c>
      <c r="BX178" s="517">
        <v>23650</v>
      </c>
      <c r="BZ178" s="517">
        <v>22430</v>
      </c>
      <c r="CA178" s="517">
        <v>23650</v>
      </c>
      <c r="CB178" s="517">
        <v>23650</v>
      </c>
      <c r="CD178" s="506"/>
      <c r="CE178" s="553">
        <v>1</v>
      </c>
      <c r="CF178" s="507"/>
      <c r="CH178" s="554" t="str">
        <f>VLOOKUP(CJ175,CG175:CH177,2,0)</f>
        <v xml:space="preserve">Not Applicable </v>
      </c>
      <c r="CI178" s="486" t="str">
        <f>IF(CI177=0,"",CI177)</f>
        <v/>
      </c>
      <c r="CJ178" s="490">
        <f>IF(CI178="",0,CI176)</f>
        <v>0</v>
      </c>
      <c r="CK178" s="489"/>
      <c r="CL178" s="548">
        <v>4</v>
      </c>
      <c r="CM178" s="486">
        <v>600</v>
      </c>
      <c r="CN178" s="549"/>
      <c r="CO178" s="548"/>
      <c r="CP178" s="555">
        <v>1</v>
      </c>
      <c r="CQ178" s="481">
        <v>22</v>
      </c>
      <c r="CS178" s="540">
        <v>12</v>
      </c>
      <c r="CT178" s="540">
        <v>7</v>
      </c>
      <c r="CU178" s="505" t="str">
        <f>IF(CT193=1,"",VLOOKUP(CT178,BO154:BQ165,3,FALSE))</f>
        <v/>
      </c>
      <c r="CW178" s="1936"/>
      <c r="CX178" s="1936"/>
      <c r="CY178" s="1936"/>
      <c r="CZ178" s="514">
        <v>44256</v>
      </c>
      <c r="DA178" s="481">
        <f>CE283</f>
        <v>21230</v>
      </c>
      <c r="DB178" s="484"/>
      <c r="DD178" s="108"/>
      <c r="DE178" s="109"/>
      <c r="DF178" s="109"/>
      <c r="DG178" s="108"/>
      <c r="DJ178" s="481">
        <f>IF(CZ178=CU$178,CV$195,CV$192)</f>
        <v>0</v>
      </c>
      <c r="DK178" s="481">
        <f>IF(CZ178=CU$178,CV$184,DJ178)</f>
        <v>0</v>
      </c>
      <c r="DL178" s="481" t="str">
        <f>IF(DK178=0,"",DK178)</f>
        <v/>
      </c>
    </row>
    <row r="179" spans="21:117" s="481" customFormat="1" ht="15" hidden="1">
      <c r="U179" s="483"/>
      <c r="V179" s="483"/>
      <c r="W179" s="483"/>
      <c r="X179" s="106"/>
      <c r="Y179" s="106"/>
      <c r="Z179" s="106"/>
      <c r="AA179" s="106"/>
      <c r="AB179" s="106"/>
      <c r="AC179" s="483"/>
      <c r="AD179" s="483"/>
      <c r="AE179" s="483"/>
      <c r="AF179" s="483"/>
      <c r="AG179" s="483"/>
      <c r="AH179" s="483"/>
      <c r="AT179" s="481">
        <v>27</v>
      </c>
      <c r="AU179" s="514">
        <v>44044</v>
      </c>
      <c r="AW179" s="481">
        <f>'DA Table'!Z233</f>
        <v>21230</v>
      </c>
      <c r="AX179" s="481">
        <v>6</v>
      </c>
      <c r="AY179" s="496">
        <v>44348</v>
      </c>
      <c r="BC179" s="486">
        <f t="shared" si="15"/>
        <v>668</v>
      </c>
      <c r="BH179" s="481">
        <v>14</v>
      </c>
      <c r="BI179" s="481" t="s">
        <v>375</v>
      </c>
      <c r="BN179" s="556">
        <v>3</v>
      </c>
      <c r="BO179" s="557">
        <f>VLOOKUP(BN179,BN173:BO177,2,0)</f>
        <v>20</v>
      </c>
      <c r="BP179" s="481">
        <v>29</v>
      </c>
      <c r="BR179" s="481">
        <v>36</v>
      </c>
      <c r="BS179" s="529">
        <v>18030</v>
      </c>
      <c r="BT179" s="529">
        <v>18520</v>
      </c>
      <c r="BU179" s="529">
        <v>19050</v>
      </c>
      <c r="BV179" s="517">
        <v>23040</v>
      </c>
      <c r="BW179" s="517">
        <v>23650</v>
      </c>
      <c r="BX179" s="517">
        <v>24300</v>
      </c>
      <c r="BZ179" s="517">
        <v>23040</v>
      </c>
      <c r="CA179" s="517">
        <v>24300</v>
      </c>
      <c r="CB179" s="517">
        <v>24300</v>
      </c>
      <c r="CD179" s="487" t="s">
        <v>4</v>
      </c>
      <c r="CE179" s="509"/>
      <c r="CF179" s="488" t="s">
        <v>97</v>
      </c>
      <c r="CH179" s="558">
        <v>44287</v>
      </c>
      <c r="CI179" s="486">
        <v>23</v>
      </c>
      <c r="CJ179" s="490">
        <f>IF(CJ$178="","",ROUND(CJ$178/30*CI179,0))</f>
        <v>0</v>
      </c>
      <c r="CK179" s="489">
        <f>IF(CJ$175=1,0,IF(CJ$175=2,CJ179,IF(CJ$175=3,CI176)))</f>
        <v>0</v>
      </c>
      <c r="CL179" s="548"/>
      <c r="CM179" s="486"/>
      <c r="CN179" s="549"/>
      <c r="CO179" s="559"/>
      <c r="CP179" s="560" t="str">
        <f>VLOOKUP(CP178,CO174:CP175,2,FALSE)</f>
        <v>Not Applicaple</v>
      </c>
      <c r="CQ179" s="481">
        <v>23</v>
      </c>
      <c r="CS179" s="481" t="str">
        <f>IF(CT193=1,"",MONTH(CU178))</f>
        <v/>
      </c>
      <c r="CT179" s="481" t="str">
        <f>IF(CT193=1,"",YEAR(CU178))</f>
        <v/>
      </c>
      <c r="CU179" s="504" t="str">
        <f>IF(CT193=1,"",DATE(CT179,CS179,CS178))</f>
        <v/>
      </c>
      <c r="CW179" s="481">
        <v>200</v>
      </c>
      <c r="CX179" s="481">
        <v>120</v>
      </c>
      <c r="CY179" s="481">
        <v>100</v>
      </c>
      <c r="CZ179" s="514">
        <v>44287</v>
      </c>
      <c r="DA179" s="481">
        <f t="shared" ref="DA179:DA189" si="23">CE284</f>
        <v>21230</v>
      </c>
      <c r="DB179" s="484"/>
      <c r="DD179" s="108"/>
      <c r="DE179" s="109"/>
      <c r="DF179" s="109"/>
      <c r="DG179" s="108"/>
      <c r="DJ179" s="481">
        <f>IF(CZ179=CU$178,CV$195,DJ178)</f>
        <v>0</v>
      </c>
      <c r="DK179" s="481">
        <f t="shared" ref="DK179:DK189" si="24">IF(CZ179=CU$178,CV$184,DJ179)</f>
        <v>0</v>
      </c>
      <c r="DL179" s="481" t="str">
        <f t="shared" ref="DL179:DL189" si="25">IF(DK179=0,"",DK179)</f>
        <v/>
      </c>
    </row>
    <row r="180" spans="21:117" s="481" customFormat="1" ht="15" hidden="1">
      <c r="U180" s="483"/>
      <c r="V180" s="483"/>
      <c r="W180" s="483"/>
      <c r="X180" s="106"/>
      <c r="Y180" s="106"/>
      <c r="Z180" s="106"/>
      <c r="AA180" s="106"/>
      <c r="AB180" s="106"/>
      <c r="AC180" s="483"/>
      <c r="AD180" s="483"/>
      <c r="AE180" s="483"/>
      <c r="AF180" s="483"/>
      <c r="AG180" s="483"/>
      <c r="AH180" s="483"/>
      <c r="AM180" s="1889"/>
      <c r="AN180" s="1889"/>
      <c r="AT180" s="481">
        <v>28</v>
      </c>
      <c r="AU180" s="514">
        <v>44075</v>
      </c>
      <c r="AW180" s="481">
        <f>'DA Table'!Z234</f>
        <v>21230</v>
      </c>
      <c r="AX180" s="481">
        <v>7</v>
      </c>
      <c r="AY180" s="496">
        <v>44378</v>
      </c>
      <c r="BC180" s="486"/>
      <c r="BH180" s="481">
        <v>15</v>
      </c>
      <c r="BI180" s="481" t="s">
        <v>702</v>
      </c>
      <c r="BN180" s="561">
        <v>2</v>
      </c>
      <c r="BO180" s="562">
        <f>VLOOKUP(BN180,BN173:BO176,2,0)</f>
        <v>14.5</v>
      </c>
      <c r="BP180" s="481">
        <v>30</v>
      </c>
      <c r="BR180" s="481">
        <v>37</v>
      </c>
      <c r="BS180" s="529">
        <v>18520</v>
      </c>
      <c r="BT180" s="529">
        <v>19050</v>
      </c>
      <c r="BU180" s="529">
        <v>19580</v>
      </c>
      <c r="BV180" s="517">
        <v>23650</v>
      </c>
      <c r="BW180" s="517">
        <v>24300</v>
      </c>
      <c r="BX180" s="517">
        <v>24950</v>
      </c>
      <c r="BZ180" s="517">
        <v>23650</v>
      </c>
      <c r="CA180" s="517">
        <v>24950</v>
      </c>
      <c r="CB180" s="517">
        <v>24950</v>
      </c>
      <c r="CD180" s="489" t="s">
        <v>98</v>
      </c>
      <c r="CE180" s="486"/>
      <c r="CF180" s="490">
        <f>L23</f>
        <v>0</v>
      </c>
      <c r="CH180" s="558">
        <v>44348</v>
      </c>
      <c r="CI180" s="486">
        <v>18</v>
      </c>
      <c r="CJ180" s="490">
        <f>IF(CJ$178="","",ROUND(CJ$178/30*CI180,0))</f>
        <v>0</v>
      </c>
      <c r="CK180" s="489">
        <f>IF(CJ$175=1,0,IF(CJ$175=2,CJ180,IF(CJ$175=3,CI176)))</f>
        <v>0</v>
      </c>
      <c r="CL180" s="548"/>
      <c r="CM180" s="486"/>
      <c r="CN180" s="549"/>
      <c r="CP180" s="481">
        <f>IF(CP178=2,Bill!N25,0)</f>
        <v>0</v>
      </c>
      <c r="CQ180" s="481">
        <v>24</v>
      </c>
      <c r="CS180" s="481">
        <f>CV192</f>
        <v>0</v>
      </c>
      <c r="CT180" s="504" t="str">
        <f>IF(CS181="","",CU179)</f>
        <v/>
      </c>
      <c r="CV180" s="481" t="str">
        <f>IF(CS181="","",(CV181-CS178+1))</f>
        <v/>
      </c>
      <c r="CW180" s="481">
        <v>300</v>
      </c>
      <c r="CX180" s="481">
        <v>160</v>
      </c>
      <c r="CY180" s="481">
        <v>120</v>
      </c>
      <c r="CZ180" s="514">
        <v>44317</v>
      </c>
      <c r="DA180" s="481">
        <f t="shared" si="23"/>
        <v>21230</v>
      </c>
      <c r="DB180" s="484"/>
      <c r="DD180" s="108"/>
      <c r="DE180" s="109"/>
      <c r="DF180" s="109"/>
      <c r="DG180" s="108"/>
      <c r="DJ180" s="481">
        <f t="shared" ref="DJ180:DJ189" si="26">IF(CZ180=CU$178,CV$195,DJ179)</f>
        <v>0</v>
      </c>
      <c r="DK180" s="481">
        <f t="shared" si="24"/>
        <v>0</v>
      </c>
      <c r="DL180" s="481" t="str">
        <f t="shared" si="25"/>
        <v/>
      </c>
    </row>
    <row r="181" spans="21:117" s="481" customFormat="1" ht="15" hidden="1">
      <c r="U181" s="483"/>
      <c r="V181" s="483"/>
      <c r="W181" s="483"/>
      <c r="X181" s="106"/>
      <c r="Y181" s="106"/>
      <c r="Z181" s="106"/>
      <c r="AA181" s="106"/>
      <c r="AB181" s="106"/>
      <c r="AC181" s="483"/>
      <c r="AD181" s="483"/>
      <c r="AE181" s="483"/>
      <c r="AF181" s="483"/>
      <c r="AG181" s="483"/>
      <c r="AH181" s="483"/>
      <c r="AM181" s="563"/>
      <c r="AN181" s="564"/>
      <c r="AO181" s="481">
        <f>ROUND(AQ181*10%,0)</f>
        <v>0</v>
      </c>
      <c r="AP181" s="502">
        <v>43282</v>
      </c>
      <c r="AQ181" s="481">
        <f>IF(AY189=1,0,IF(AY189=2,BB190,IF(AY189=3,(BB190+BB191),BB193)))</f>
        <v>0</v>
      </c>
      <c r="AR181" s="481" t="s">
        <v>577</v>
      </c>
      <c r="AS181" s="481">
        <f>SUM(AQ181:AQ183)</f>
        <v>0</v>
      </c>
      <c r="AT181" s="481">
        <v>29</v>
      </c>
      <c r="AU181" s="514">
        <v>44105</v>
      </c>
      <c r="AW181" s="481">
        <f>'DA Table'!Z235</f>
        <v>21820</v>
      </c>
      <c r="AX181" s="481">
        <v>8</v>
      </c>
      <c r="AY181" s="496">
        <v>44409</v>
      </c>
      <c r="BH181" s="481">
        <v>16</v>
      </c>
      <c r="BI181" s="481" t="s">
        <v>99</v>
      </c>
      <c r="BP181" s="481">
        <v>31</v>
      </c>
      <c r="BR181" s="481">
        <v>38</v>
      </c>
      <c r="BS181" s="529">
        <v>19050</v>
      </c>
      <c r="BT181" s="529">
        <v>19580</v>
      </c>
      <c r="BU181" s="529">
        <v>20110</v>
      </c>
      <c r="BV181" s="517">
        <v>24300</v>
      </c>
      <c r="BW181" s="517">
        <v>24950</v>
      </c>
      <c r="BX181" s="517">
        <v>25600</v>
      </c>
      <c r="BZ181" s="517">
        <v>24300</v>
      </c>
      <c r="CA181" s="517">
        <v>25600</v>
      </c>
      <c r="CB181" s="517">
        <v>25600</v>
      </c>
      <c r="CD181" s="506"/>
      <c r="CE181" s="519"/>
      <c r="CF181" s="507">
        <f>IF(CF180=0,0,CF180)</f>
        <v>0</v>
      </c>
      <c r="CH181" s="558">
        <v>44470</v>
      </c>
      <c r="CI181" s="486">
        <v>18</v>
      </c>
      <c r="CJ181" s="490">
        <f>IF(CJ$178="","",ROUND(CJ$178/31*CI181,0))</f>
        <v>0</v>
      </c>
      <c r="CK181" s="489">
        <f>IF(CJ$175=1,0,IF(CJ$175=2,CJ181,IF(CJ$175=3,CI176)))</f>
        <v>0</v>
      </c>
      <c r="CL181" s="548"/>
      <c r="CM181" s="565">
        <v>2</v>
      </c>
      <c r="CN181" s="549"/>
      <c r="CQ181" s="481">
        <v>25</v>
      </c>
      <c r="CR181" s="505" t="str">
        <f>CU178</f>
        <v/>
      </c>
      <c r="CS181" s="481" t="str">
        <f>IF(CT193=1,"",CV195)</f>
        <v/>
      </c>
      <c r="CT181" s="504"/>
      <c r="CU181" s="504" t="e">
        <f>CT176</f>
        <v>#N/A</v>
      </c>
      <c r="CV181" s="481" t="str">
        <f>IF(CS181="","",DAY(CU181))</f>
        <v/>
      </c>
      <c r="CW181" s="481">
        <v>350</v>
      </c>
      <c r="CX181" s="481">
        <v>220</v>
      </c>
      <c r="CY181" s="481">
        <v>130</v>
      </c>
      <c r="CZ181" s="514">
        <v>44348</v>
      </c>
      <c r="DA181" s="481">
        <f t="shared" si="23"/>
        <v>21230</v>
      </c>
      <c r="DB181" s="484"/>
      <c r="DD181" s="108"/>
      <c r="DE181" s="109"/>
      <c r="DF181" s="109"/>
      <c r="DG181" s="108"/>
      <c r="DJ181" s="481">
        <f t="shared" si="26"/>
        <v>0</v>
      </c>
      <c r="DK181" s="481">
        <f t="shared" si="24"/>
        <v>0</v>
      </c>
      <c r="DL181" s="481" t="str">
        <f t="shared" si="25"/>
        <v/>
      </c>
    </row>
    <row r="182" spans="21:117" s="481" customFormat="1" ht="15" hidden="1">
      <c r="U182" s="483"/>
      <c r="V182" s="483"/>
      <c r="W182" s="483"/>
      <c r="X182" s="106"/>
      <c r="Y182" s="106"/>
      <c r="Z182" s="106"/>
      <c r="AA182" s="106"/>
      <c r="AB182" s="106"/>
      <c r="AC182" s="483"/>
      <c r="AD182" s="483"/>
      <c r="AE182" s="483"/>
      <c r="AF182" s="483"/>
      <c r="AG182" s="483"/>
      <c r="AH182" s="483"/>
      <c r="AN182" s="566"/>
      <c r="AO182" s="481">
        <f>ROUND(AQ182*10%,0)</f>
        <v>0</v>
      </c>
      <c r="AP182" s="502">
        <v>43466</v>
      </c>
      <c r="AQ182" s="481">
        <f>IF(AY190=1,0,IF(AY190=2,BC190,IF(AY190=3,(BC190+BC191),BC193)))</f>
        <v>0</v>
      </c>
      <c r="AR182" s="481" t="s">
        <v>627</v>
      </c>
      <c r="AS182" s="481">
        <f>SUM(BA174:BA175)</f>
        <v>0</v>
      </c>
      <c r="AT182" s="481">
        <v>30</v>
      </c>
      <c r="AU182" s="514">
        <v>44136</v>
      </c>
      <c r="AW182" s="481">
        <f>'DA Table'!Z236</f>
        <v>21820</v>
      </c>
      <c r="AX182" s="481">
        <v>9</v>
      </c>
      <c r="AY182" s="496">
        <v>44440</v>
      </c>
      <c r="BH182" s="481">
        <v>17</v>
      </c>
      <c r="BI182" s="481" t="s">
        <v>100</v>
      </c>
      <c r="BP182" s="481">
        <v>0</v>
      </c>
      <c r="BR182" s="481">
        <v>39</v>
      </c>
      <c r="BS182" s="529">
        <v>19580</v>
      </c>
      <c r="BT182" s="529">
        <v>20110</v>
      </c>
      <c r="BU182" s="529">
        <v>20680</v>
      </c>
      <c r="BV182" s="517">
        <v>24950</v>
      </c>
      <c r="BW182" s="517">
        <v>25600</v>
      </c>
      <c r="BX182" s="517">
        <v>26300</v>
      </c>
      <c r="BZ182" s="517">
        <v>24950</v>
      </c>
      <c r="CA182" s="517">
        <v>26300</v>
      </c>
      <c r="CB182" s="517">
        <v>26300</v>
      </c>
      <c r="CC182" s="481">
        <v>1</v>
      </c>
      <c r="CD182" s="487" t="s">
        <v>7</v>
      </c>
      <c r="CE182" s="509"/>
      <c r="CF182" s="567">
        <v>1</v>
      </c>
      <c r="CH182" s="568">
        <v>44562</v>
      </c>
      <c r="CI182" s="519">
        <v>21</v>
      </c>
      <c r="CJ182" s="507">
        <f>IF(CJ$178="","",ROUND(CJ$178/31*CI182,0))</f>
        <v>0</v>
      </c>
      <c r="CK182" s="506">
        <f>IF(CJ$175=1,0,IF(CJ$175=2,CJ182,IF(CJ$175=3,CI176)))</f>
        <v>0</v>
      </c>
      <c r="CL182" s="559"/>
      <c r="CM182" s="569">
        <f>L19</f>
        <v>0</v>
      </c>
      <c r="CN182" s="560"/>
      <c r="CQ182" s="481">
        <v>26</v>
      </c>
      <c r="CV182" s="481" t="str">
        <f>IF(CS181="","",(CV181-CV180))</f>
        <v/>
      </c>
      <c r="CW182" s="481">
        <v>525</v>
      </c>
      <c r="CX182" s="481">
        <v>350</v>
      </c>
      <c r="CY182" s="481">
        <v>140</v>
      </c>
      <c r="CZ182" s="514">
        <v>44378</v>
      </c>
      <c r="DA182" s="481">
        <f t="shared" si="23"/>
        <v>21230</v>
      </c>
      <c r="DB182" s="484"/>
      <c r="DD182" s="108"/>
      <c r="DE182" s="109"/>
      <c r="DF182" s="109"/>
      <c r="DG182" s="108"/>
      <c r="DJ182" s="481">
        <f t="shared" si="26"/>
        <v>0</v>
      </c>
      <c r="DK182" s="481">
        <f t="shared" si="24"/>
        <v>0</v>
      </c>
      <c r="DL182" s="481" t="str">
        <f t="shared" si="25"/>
        <v/>
      </c>
    </row>
    <row r="183" spans="21:117" s="481" customFormat="1" ht="15" hidden="1">
      <c r="U183" s="483"/>
      <c r="V183" s="483"/>
      <c r="W183" s="483"/>
      <c r="X183" s="106"/>
      <c r="Y183" s="106"/>
      <c r="Z183" s="106"/>
      <c r="AA183" s="106"/>
      <c r="AB183" s="106"/>
      <c r="AC183" s="483"/>
      <c r="AD183" s="483"/>
      <c r="AE183" s="483"/>
      <c r="AF183" s="483"/>
      <c r="AG183" s="483"/>
      <c r="AH183" s="483"/>
      <c r="AM183" s="563"/>
      <c r="AN183" s="566"/>
      <c r="AR183" s="481" t="s">
        <v>628</v>
      </c>
      <c r="AS183" s="481">
        <v>0</v>
      </c>
      <c r="AT183" s="481">
        <v>31</v>
      </c>
      <c r="AU183" s="514">
        <v>44166</v>
      </c>
      <c r="AW183" s="481">
        <f>'DA Table'!Z237</f>
        <v>21820</v>
      </c>
      <c r="AX183" s="481">
        <v>10</v>
      </c>
      <c r="AY183" s="496">
        <v>44470</v>
      </c>
      <c r="BH183" s="481">
        <v>18</v>
      </c>
      <c r="BI183" s="481" t="s">
        <v>21</v>
      </c>
      <c r="BQ183" s="494">
        <v>31</v>
      </c>
      <c r="BR183" s="481">
        <v>40</v>
      </c>
      <c r="BS183" s="529">
        <v>20110</v>
      </c>
      <c r="BT183" s="529">
        <v>20680</v>
      </c>
      <c r="BU183" s="529">
        <v>21250</v>
      </c>
      <c r="BV183" s="517">
        <v>25600</v>
      </c>
      <c r="BW183" s="517">
        <v>26300</v>
      </c>
      <c r="BX183" s="517">
        <v>27000</v>
      </c>
      <c r="BZ183" s="517">
        <v>25600</v>
      </c>
      <c r="CA183" s="517">
        <v>27000</v>
      </c>
      <c r="CB183" s="517">
        <v>27000</v>
      </c>
      <c r="CC183" s="481">
        <v>2</v>
      </c>
      <c r="CD183" s="489" t="s">
        <v>249</v>
      </c>
      <c r="CE183" s="486"/>
      <c r="CF183" s="490"/>
      <c r="CG183" s="540">
        <v>2</v>
      </c>
      <c r="CI183" s="481">
        <f>IF(CF182=2,Bill!Y25,0)</f>
        <v>0</v>
      </c>
      <c r="CJ183" s="481">
        <f>IF(CG183=1,CI183+CI183,CI183)</f>
        <v>0</v>
      </c>
      <c r="CQ183" s="481">
        <v>27</v>
      </c>
      <c r="CR183" s="505" t="str">
        <f>CU178</f>
        <v/>
      </c>
      <c r="CS183" s="481" t="str">
        <f>IF(CS181="","",VLOOKUP(CR183,CD281:CE294,2,FALSE))</f>
        <v/>
      </c>
      <c r="CT183" s="481" t="str">
        <f>CS181</f>
        <v/>
      </c>
      <c r="CU183" s="481" t="str">
        <f>IF(CS181="","",ROUND(CS180*CV180/CV181,0))</f>
        <v/>
      </c>
      <c r="CV183" s="481" t="str">
        <f>IF(CS181="","",ROUND(CS181*CV182/CV181,0))</f>
        <v/>
      </c>
      <c r="CZ183" s="514">
        <v>44409</v>
      </c>
      <c r="DA183" s="481">
        <f t="shared" si="23"/>
        <v>21820</v>
      </c>
      <c r="DB183" s="484"/>
      <c r="DD183" s="108"/>
      <c r="DE183" s="109"/>
      <c r="DF183" s="109"/>
      <c r="DG183" s="108"/>
      <c r="DJ183" s="481">
        <f t="shared" si="26"/>
        <v>0</v>
      </c>
      <c r="DK183" s="481">
        <f t="shared" si="24"/>
        <v>0</v>
      </c>
      <c r="DL183" s="481" t="str">
        <f t="shared" si="25"/>
        <v/>
      </c>
    </row>
    <row r="184" spans="21:117" s="481" customFormat="1" ht="15" hidden="1">
      <c r="U184" s="483"/>
      <c r="V184" s="483"/>
      <c r="W184" s="483"/>
      <c r="X184" s="106"/>
      <c r="Y184" s="106"/>
      <c r="Z184" s="106"/>
      <c r="AA184" s="106"/>
      <c r="AB184" s="106"/>
      <c r="AC184" s="483"/>
      <c r="AD184" s="483"/>
      <c r="AE184" s="483"/>
      <c r="AF184" s="483"/>
      <c r="AG184" s="483"/>
      <c r="AH184" s="483"/>
      <c r="AN184" s="566"/>
      <c r="AP184" s="481">
        <f>AQ181+AQ182</f>
        <v>0</v>
      </c>
      <c r="AU184" s="514"/>
      <c r="AW184" s="481">
        <f>'DA Table'!Z238</f>
        <v>21820</v>
      </c>
      <c r="AX184" s="481">
        <v>11</v>
      </c>
      <c r="AY184" s="496">
        <v>44501</v>
      </c>
      <c r="BH184" s="481">
        <v>19</v>
      </c>
      <c r="BI184" s="481" t="s">
        <v>101</v>
      </c>
      <c r="BR184" s="481">
        <v>41</v>
      </c>
      <c r="BS184" s="529">
        <v>20680</v>
      </c>
      <c r="BT184" s="529">
        <v>21250</v>
      </c>
      <c r="BU184" s="529">
        <v>21820</v>
      </c>
      <c r="BV184" s="517">
        <v>26300</v>
      </c>
      <c r="BW184" s="517">
        <v>27000</v>
      </c>
      <c r="BX184" s="517">
        <v>27700</v>
      </c>
      <c r="BZ184" s="517">
        <v>26300</v>
      </c>
      <c r="CA184" s="517">
        <v>27700</v>
      </c>
      <c r="CB184" s="517">
        <v>27700</v>
      </c>
      <c r="CD184" s="554" t="str">
        <f>VLOOKUP(CF182,CC182:CD183,2,0)</f>
        <v>PF</v>
      </c>
      <c r="CE184" s="486" t="str">
        <f>IF(CD184=CD182,"PF",IF(CD184=CD183,"CPS"))</f>
        <v>PF</v>
      </c>
      <c r="CF184" s="490"/>
      <c r="CQ184" s="481">
        <v>28</v>
      </c>
      <c r="CV184" s="481" t="str">
        <f>IF(CS181="","",(CU183+CV183))</f>
        <v/>
      </c>
      <c r="CZ184" s="514">
        <v>44440</v>
      </c>
      <c r="DA184" s="481">
        <f t="shared" si="23"/>
        <v>21820</v>
      </c>
      <c r="DB184" s="484"/>
      <c r="DD184" s="108"/>
      <c r="DE184" s="109"/>
      <c r="DF184" s="109"/>
      <c r="DG184" s="108"/>
      <c r="DJ184" s="481">
        <f t="shared" si="26"/>
        <v>0</v>
      </c>
      <c r="DK184" s="481">
        <f t="shared" si="24"/>
        <v>0</v>
      </c>
      <c r="DL184" s="481" t="str">
        <f>IF(DK184=0,"",DK184)</f>
        <v/>
      </c>
    </row>
    <row r="185" spans="21:117" s="481" customFormat="1" ht="15" hidden="1">
      <c r="U185" s="483"/>
      <c r="V185" s="483"/>
      <c r="W185" s="483"/>
      <c r="X185" s="106"/>
      <c r="Y185" s="106"/>
      <c r="Z185" s="106"/>
      <c r="AA185" s="106"/>
      <c r="AB185" s="106"/>
      <c r="AC185" s="483"/>
      <c r="AD185" s="483"/>
      <c r="AE185" s="483"/>
      <c r="AF185" s="483"/>
      <c r="AG185" s="483"/>
      <c r="AH185" s="483"/>
      <c r="AM185" s="563"/>
      <c r="AN185" s="566"/>
      <c r="AU185" s="514"/>
      <c r="AW185" s="481">
        <f>'DA Table'!Z239</f>
        <v>21820</v>
      </c>
      <c r="AX185" s="481">
        <v>12</v>
      </c>
      <c r="AY185" s="496">
        <v>44531</v>
      </c>
      <c r="BH185" s="481">
        <v>20</v>
      </c>
      <c r="BI185" s="481" t="s">
        <v>554</v>
      </c>
      <c r="BR185" s="481">
        <v>42</v>
      </c>
      <c r="BS185" s="529">
        <v>21250</v>
      </c>
      <c r="BT185" s="529">
        <v>21820</v>
      </c>
      <c r="BU185" s="529">
        <v>22430</v>
      </c>
      <c r="BV185" s="517">
        <v>27000</v>
      </c>
      <c r="BW185" s="517">
        <v>27700</v>
      </c>
      <c r="BX185" s="517">
        <v>28450</v>
      </c>
      <c r="BZ185" s="517">
        <v>27000</v>
      </c>
      <c r="CA185" s="517">
        <v>28450</v>
      </c>
      <c r="CB185" s="517">
        <v>28450</v>
      </c>
      <c r="CC185" s="570">
        <v>1</v>
      </c>
      <c r="CD185" s="571" t="s">
        <v>4</v>
      </c>
      <c r="CE185" s="571"/>
      <c r="CF185" s="571" t="s">
        <v>102</v>
      </c>
      <c r="CG185" s="572">
        <f>L15</f>
        <v>0</v>
      </c>
      <c r="CH185" s="481">
        <v>1</v>
      </c>
      <c r="CI185" s="481" t="s">
        <v>3</v>
      </c>
      <c r="CK185" s="481">
        <v>1</v>
      </c>
      <c r="CL185" s="481" t="s">
        <v>395</v>
      </c>
      <c r="CO185" s="573" t="str">
        <f>IF(CF182=1,"","With NPS")</f>
        <v/>
      </c>
      <c r="CQ185" s="481">
        <v>29</v>
      </c>
      <c r="CZ185" s="514">
        <v>44470</v>
      </c>
      <c r="DA185" s="481">
        <f t="shared" si="23"/>
        <v>21820</v>
      </c>
      <c r="DB185" s="484"/>
      <c r="DD185" s="108"/>
      <c r="DE185" s="109"/>
      <c r="DF185" s="109"/>
      <c r="DG185" s="108"/>
      <c r="DJ185" s="481">
        <f t="shared" si="26"/>
        <v>0</v>
      </c>
      <c r="DK185" s="481">
        <f t="shared" si="24"/>
        <v>0</v>
      </c>
      <c r="DL185" s="481" t="str">
        <f t="shared" si="25"/>
        <v/>
      </c>
    </row>
    <row r="186" spans="21:117" s="481" customFormat="1" ht="15" hidden="1">
      <c r="U186" s="483"/>
      <c r="V186" s="483"/>
      <c r="W186" s="483"/>
      <c r="X186" s="106"/>
      <c r="Y186" s="106"/>
      <c r="Z186" s="106"/>
      <c r="AA186" s="106"/>
      <c r="AB186" s="106"/>
      <c r="AC186" s="483"/>
      <c r="AD186" s="483"/>
      <c r="AE186" s="483"/>
      <c r="AF186" s="483"/>
      <c r="AG186" s="483"/>
      <c r="AH186" s="483"/>
      <c r="AN186" s="566"/>
      <c r="AW186" s="481">
        <f>'DA Table'!Z240</f>
        <v>21820</v>
      </c>
      <c r="AX186" s="481">
        <v>1</v>
      </c>
      <c r="AY186" s="496">
        <v>44562</v>
      </c>
      <c r="BH186" s="481">
        <v>21</v>
      </c>
      <c r="BI186" s="481" t="s">
        <v>103</v>
      </c>
      <c r="BR186" s="481">
        <v>43</v>
      </c>
      <c r="BS186" s="529">
        <v>21820</v>
      </c>
      <c r="BT186" s="529">
        <v>22430</v>
      </c>
      <c r="BU186" s="529">
        <v>23040</v>
      </c>
      <c r="BV186" s="517">
        <v>27700</v>
      </c>
      <c r="BW186" s="517">
        <v>28450</v>
      </c>
      <c r="BX186" s="517">
        <v>29200</v>
      </c>
      <c r="BZ186" s="517">
        <v>27700</v>
      </c>
      <c r="CA186" s="517">
        <v>29200</v>
      </c>
      <c r="CB186" s="517">
        <v>29200</v>
      </c>
      <c r="CC186" s="574">
        <v>2</v>
      </c>
      <c r="CD186" s="486">
        <v>1000</v>
      </c>
      <c r="CE186" s="575">
        <v>1</v>
      </c>
      <c r="CF186" s="486"/>
      <c r="CG186" s="576" t="str">
        <f>IF(CE187=CD185,"",IF(CE187=1000,1000,IF(CE187=2000,2000)))</f>
        <v/>
      </c>
      <c r="CH186" s="481">
        <v>2</v>
      </c>
      <c r="CI186" s="481" t="s">
        <v>388</v>
      </c>
      <c r="CK186" s="481">
        <v>2</v>
      </c>
      <c r="CL186" s="481" t="s">
        <v>396</v>
      </c>
      <c r="CO186" s="573" t="str">
        <f>IF(CF182=1,"","Without NPS")</f>
        <v/>
      </c>
      <c r="CQ186" s="481">
        <v>30</v>
      </c>
      <c r="CX186" s="481">
        <v>10900</v>
      </c>
      <c r="CY186" s="481">
        <v>13270</v>
      </c>
      <c r="CZ186" s="514">
        <v>44501</v>
      </c>
      <c r="DA186" s="481">
        <f t="shared" si="23"/>
        <v>21820</v>
      </c>
      <c r="DB186" s="484"/>
      <c r="DD186" s="108"/>
      <c r="DE186" s="109"/>
      <c r="DF186" s="109"/>
      <c r="DG186" s="108"/>
      <c r="DJ186" s="481">
        <f t="shared" si="26"/>
        <v>0</v>
      </c>
      <c r="DK186" s="481">
        <f t="shared" si="24"/>
        <v>0</v>
      </c>
      <c r="DL186" s="481" t="str">
        <f t="shared" si="25"/>
        <v/>
      </c>
    </row>
    <row r="187" spans="21:117" s="481" customFormat="1" ht="15" hidden="1">
      <c r="U187" s="483"/>
      <c r="V187" s="483"/>
      <c r="W187" s="483"/>
      <c r="X187" s="106"/>
      <c r="Y187" s="106"/>
      <c r="Z187" s="106"/>
      <c r="AA187" s="106"/>
      <c r="AB187" s="106"/>
      <c r="AC187" s="483"/>
      <c r="AD187" s="483"/>
      <c r="AE187" s="483"/>
      <c r="AF187" s="483"/>
      <c r="AG187" s="483"/>
      <c r="AH187" s="483"/>
      <c r="AM187" s="563"/>
      <c r="AN187" s="566"/>
      <c r="AW187" s="481">
        <f>'DA Table'!Z241</f>
        <v>21820</v>
      </c>
      <c r="AX187" s="481">
        <v>2</v>
      </c>
      <c r="AY187" s="496">
        <v>44593</v>
      </c>
      <c r="BH187" s="481">
        <v>22</v>
      </c>
      <c r="BI187" s="481" t="s">
        <v>104</v>
      </c>
      <c r="BR187" s="481">
        <v>44</v>
      </c>
      <c r="BS187" s="529">
        <v>22430</v>
      </c>
      <c r="BT187" s="529">
        <v>23040</v>
      </c>
      <c r="BU187" s="529">
        <v>23650</v>
      </c>
      <c r="BV187" s="517">
        <v>28450</v>
      </c>
      <c r="BW187" s="517">
        <v>29200</v>
      </c>
      <c r="BX187" s="517">
        <v>29950</v>
      </c>
      <c r="BZ187" s="517">
        <v>28450</v>
      </c>
      <c r="CA187" s="517">
        <v>29950</v>
      </c>
      <c r="CB187" s="517">
        <v>29950</v>
      </c>
      <c r="CC187" s="577">
        <v>3</v>
      </c>
      <c r="CD187" s="578">
        <v>2000</v>
      </c>
      <c r="CE187" s="579" t="str">
        <f>VLOOKUP(CE186,CC185:CD187,2,0)</f>
        <v xml:space="preserve">Not Applicable </v>
      </c>
      <c r="CF187" s="578" t="str">
        <f>IF(CE187=CD185,"",CE187)</f>
        <v/>
      </c>
      <c r="CG187" s="580"/>
      <c r="CH187" s="481">
        <v>3</v>
      </c>
      <c r="CI187" s="481" t="s">
        <v>359</v>
      </c>
      <c r="CO187" s="581">
        <v>1</v>
      </c>
      <c r="CQ187" s="481">
        <v>31</v>
      </c>
      <c r="CR187" s="481">
        <v>1</v>
      </c>
      <c r="CS187" s="481" t="s">
        <v>3</v>
      </c>
      <c r="CX187" s="481">
        <v>13270</v>
      </c>
      <c r="CY187" s="481">
        <v>18030</v>
      </c>
      <c r="CZ187" s="514">
        <v>44531</v>
      </c>
      <c r="DA187" s="481">
        <f t="shared" si="23"/>
        <v>21820</v>
      </c>
      <c r="DB187" s="484"/>
      <c r="DD187" s="108"/>
      <c r="DE187" s="109"/>
      <c r="DF187" s="109"/>
      <c r="DG187" s="108"/>
      <c r="DJ187" s="481">
        <f t="shared" si="26"/>
        <v>0</v>
      </c>
      <c r="DK187" s="481">
        <f t="shared" si="24"/>
        <v>0</v>
      </c>
      <c r="DL187" s="481" t="str">
        <f t="shared" si="25"/>
        <v/>
      </c>
    </row>
    <row r="188" spans="21:117" s="481" customFormat="1" ht="15" hidden="1">
      <c r="U188" s="483"/>
      <c r="V188" s="483"/>
      <c r="W188" s="483"/>
      <c r="X188" s="106"/>
      <c r="Y188" s="106"/>
      <c r="Z188" s="106"/>
      <c r="AA188" s="106"/>
      <c r="AB188" s="106"/>
      <c r="AC188" s="483"/>
      <c r="AD188" s="483"/>
      <c r="AE188" s="483"/>
      <c r="AF188" s="483"/>
      <c r="AG188" s="483"/>
      <c r="AH188" s="483"/>
      <c r="AN188" s="566"/>
      <c r="AT188" s="504">
        <v>42736</v>
      </c>
      <c r="BH188" s="481">
        <v>23</v>
      </c>
      <c r="BI188" s="481" t="s">
        <v>105</v>
      </c>
      <c r="BO188" s="494">
        <v>1</v>
      </c>
      <c r="BP188" s="494">
        <v>14</v>
      </c>
      <c r="BQ188" s="494">
        <v>15</v>
      </c>
      <c r="BR188" s="481">
        <v>45</v>
      </c>
      <c r="BS188" s="529">
        <v>23040</v>
      </c>
      <c r="BT188" s="529">
        <v>23650</v>
      </c>
      <c r="BU188" s="529">
        <v>24300</v>
      </c>
      <c r="BV188" s="517">
        <v>29200</v>
      </c>
      <c r="BW188" s="517">
        <v>29950</v>
      </c>
      <c r="BX188" s="517">
        <v>30750</v>
      </c>
      <c r="BZ188" s="517">
        <v>29200</v>
      </c>
      <c r="CA188" s="517">
        <v>30750</v>
      </c>
      <c r="CB188" s="517">
        <v>30750</v>
      </c>
      <c r="CH188" s="481">
        <v>4</v>
      </c>
      <c r="CI188" s="481" t="s">
        <v>389</v>
      </c>
      <c r="CL188" s="540">
        <v>1</v>
      </c>
      <c r="CQ188" s="481">
        <v>32</v>
      </c>
      <c r="CR188" s="481">
        <v>2</v>
      </c>
      <c r="CS188" s="481" t="s">
        <v>367</v>
      </c>
      <c r="CY188" s="481">
        <v>18030</v>
      </c>
      <c r="CZ188" s="514">
        <v>44562</v>
      </c>
      <c r="DA188" s="481">
        <f t="shared" si="23"/>
        <v>21820</v>
      </c>
      <c r="DB188" s="484"/>
      <c r="DD188" s="108"/>
      <c r="DE188" s="109"/>
      <c r="DF188" s="109"/>
      <c r="DG188" s="108"/>
      <c r="DJ188" s="481">
        <f t="shared" si="26"/>
        <v>0</v>
      </c>
      <c r="DK188" s="481">
        <f t="shared" si="24"/>
        <v>0</v>
      </c>
      <c r="DL188" s="481" t="str">
        <f t="shared" si="25"/>
        <v/>
      </c>
    </row>
    <row r="189" spans="21:117" s="481" customFormat="1" ht="15" hidden="1">
      <c r="U189" s="483"/>
      <c r="V189" s="483"/>
      <c r="W189" s="483"/>
      <c r="X189" s="106"/>
      <c r="Y189" s="106"/>
      <c r="Z189" s="106"/>
      <c r="AA189" s="106"/>
      <c r="AB189" s="106"/>
      <c r="AC189" s="483"/>
      <c r="AD189" s="483"/>
      <c r="AE189" s="483"/>
      <c r="AF189" s="483"/>
      <c r="AG189" s="483"/>
      <c r="AH189" s="483"/>
      <c r="AN189" s="532"/>
      <c r="AS189" s="581">
        <v>1</v>
      </c>
      <c r="AT189" s="582" t="str">
        <f>VLOOKUP(AS189,AT153:AU183,2,0)</f>
        <v>Select</v>
      </c>
      <c r="AU189" s="583">
        <f>IF(AT189=AU153,AT188,AT189)</f>
        <v>42736</v>
      </c>
      <c r="AX189" s="502">
        <v>43282</v>
      </c>
      <c r="AY189" s="581">
        <v>1</v>
      </c>
      <c r="AZ189" s="481" t="s">
        <v>397</v>
      </c>
      <c r="BB189" s="502">
        <v>43282</v>
      </c>
      <c r="BC189" s="502">
        <v>43466</v>
      </c>
      <c r="BF189" s="556">
        <v>20</v>
      </c>
      <c r="BG189" s="557" t="str">
        <f>VLOOKUP(BF189,BH$166:BI$188,2,0)</f>
        <v>Sukanya Samruddhi Yojana</v>
      </c>
      <c r="BH189" s="556">
        <v>4</v>
      </c>
      <c r="BI189" s="557" t="str">
        <f>VLOOKUP(BH189,BH166:BI188,2,0)</f>
        <v>LIC Policies premium - Yearly</v>
      </c>
      <c r="BO189" s="481" t="str">
        <f>VLOOKUP(BO188,BH166:BK168,4,0)</f>
        <v>Interest of Housing Loan Section 24</v>
      </c>
      <c r="BR189" s="481">
        <v>46</v>
      </c>
      <c r="BS189" s="529">
        <v>23650</v>
      </c>
      <c r="BT189" s="529">
        <v>24300</v>
      </c>
      <c r="BU189" s="529">
        <v>24950</v>
      </c>
      <c r="BV189" s="517">
        <v>29950</v>
      </c>
      <c r="BW189" s="517">
        <v>30750</v>
      </c>
      <c r="BX189" s="517">
        <v>31550</v>
      </c>
      <c r="BZ189" s="517">
        <v>29950</v>
      </c>
      <c r="CA189" s="517">
        <v>31550</v>
      </c>
      <c r="CB189" s="517">
        <v>31550</v>
      </c>
      <c r="CD189" s="481" t="s">
        <v>8</v>
      </c>
      <c r="CL189" s="481" t="str">
        <f>VLOOKUP(CL188,CK185:CL186,2,FALSE)</f>
        <v>Teachers ( Vacation Dept.)</v>
      </c>
      <c r="CQ189" s="481">
        <v>33</v>
      </c>
      <c r="CR189" s="481">
        <v>3</v>
      </c>
      <c r="CS189" s="481" t="s">
        <v>368</v>
      </c>
      <c r="CW189" s="584">
        <f>IF(AND(CT$191=2,CE283&gt;CX$186,CE283&lt;=CY$186),CW$180,IF(AND(CT$191=3,CE283&gt;CX$186,CE283&lt;=CY$186),CX$180,IF(AND(CT$191=4,CE283&gt;CX$186,CE283&lt;=CY$186),CY$180,0)))</f>
        <v>0</v>
      </c>
      <c r="CZ189" s="514">
        <v>44593</v>
      </c>
      <c r="DA189" s="481">
        <f t="shared" si="23"/>
        <v>21820</v>
      </c>
      <c r="DB189" s="484"/>
      <c r="DD189" s="108"/>
      <c r="DE189" s="109"/>
      <c r="DF189" s="109"/>
      <c r="DG189" s="108"/>
      <c r="DJ189" s="481">
        <f t="shared" si="26"/>
        <v>0</v>
      </c>
      <c r="DK189" s="481">
        <f t="shared" si="24"/>
        <v>0</v>
      </c>
      <c r="DL189" s="481" t="str">
        <f t="shared" si="25"/>
        <v/>
      </c>
    </row>
    <row r="190" spans="21:117" s="481" customFormat="1" ht="15" hidden="1">
      <c r="U190" s="483"/>
      <c r="V190" s="483"/>
      <c r="W190" s="483"/>
      <c r="X190" s="106"/>
      <c r="Y190" s="106"/>
      <c r="Z190" s="106"/>
      <c r="AA190" s="106"/>
      <c r="AB190" s="106"/>
      <c r="AC190" s="483"/>
      <c r="AD190" s="483"/>
      <c r="AE190" s="483"/>
      <c r="AF190" s="483"/>
      <c r="AG190" s="483"/>
      <c r="AH190" s="483"/>
      <c r="AN190" s="482"/>
      <c r="AS190" s="522"/>
      <c r="AU190" s="504"/>
      <c r="AX190" s="502">
        <v>43466</v>
      </c>
      <c r="AY190" s="581">
        <v>1</v>
      </c>
      <c r="AZ190" s="481" t="s">
        <v>990</v>
      </c>
      <c r="BB190" s="481">
        <f>SUM(BA144:BA153)</f>
        <v>6292</v>
      </c>
      <c r="BC190" s="481">
        <f>SUM(BC150:BC159)</f>
        <v>6357</v>
      </c>
      <c r="BF190" s="556">
        <v>15</v>
      </c>
      <c r="BG190" s="557" t="str">
        <f>VLOOKUP(BF190,BH$166:BI$188,2,0)</f>
        <v>PLI (Postal Life Insurance)</v>
      </c>
      <c r="BH190" s="556">
        <v>8</v>
      </c>
      <c r="BI190" s="557" t="str">
        <f>VLOOKUP(BH190,BH166:BI189,2,0)</f>
        <v>Exide Life Insurance</v>
      </c>
      <c r="BO190" s="481" t="str">
        <f>VLOOKUP(BP188,BG193:BI206,3,0)</f>
        <v>Interest of Housing Loan 80EE</v>
      </c>
      <c r="BR190" s="481">
        <v>47</v>
      </c>
      <c r="BS190" s="529">
        <v>24300</v>
      </c>
      <c r="BT190" s="529">
        <v>24950</v>
      </c>
      <c r="BU190" s="529">
        <v>25600</v>
      </c>
      <c r="BV190" s="517">
        <v>30750</v>
      </c>
      <c r="BW190" s="517">
        <v>31550</v>
      </c>
      <c r="BX190" s="517">
        <v>32350</v>
      </c>
      <c r="BZ190" s="517">
        <v>30750</v>
      </c>
      <c r="CA190" s="517">
        <v>32350</v>
      </c>
      <c r="CB190" s="517">
        <v>32350</v>
      </c>
      <c r="CD190" s="481" t="s">
        <v>9</v>
      </c>
      <c r="CE190" s="481">
        <v>1</v>
      </c>
      <c r="CI190" s="540">
        <v>2</v>
      </c>
      <c r="CQ190" s="481">
        <v>34</v>
      </c>
      <c r="CR190" s="481">
        <v>4</v>
      </c>
      <c r="CS190" s="481" t="s">
        <v>369</v>
      </c>
      <c r="CW190" s="584">
        <f>IF(AND(CT$191=2,CE283&gt;CX$187,CE283&lt;=CY$187),CW$181,IF(AND(CT$191=3,CE283&gt;CX$187,CE283&lt;=CY$187),CX$181,IF(AND(CT$191=4,CE283&gt;CX$187,CE283&lt;=CY$187),CY$181,0)))</f>
        <v>0</v>
      </c>
      <c r="DB190" s="484"/>
      <c r="DD190" s="108"/>
      <c r="DE190" s="109"/>
      <c r="DF190" s="109"/>
      <c r="DG190" s="108"/>
    </row>
    <row r="191" spans="21:117" s="481" customFormat="1" ht="15" hidden="1">
      <c r="U191" s="483"/>
      <c r="V191" s="483"/>
      <c r="W191" s="483"/>
      <c r="X191" s="106"/>
      <c r="Y191" s="106"/>
      <c r="Z191" s="106"/>
      <c r="AA191" s="106"/>
      <c r="AB191" s="106"/>
      <c r="AC191" s="483"/>
      <c r="AD191" s="483"/>
      <c r="AE191" s="483"/>
      <c r="AF191" s="483"/>
      <c r="AG191" s="483"/>
      <c r="AH191" s="483"/>
      <c r="AN191" s="532"/>
      <c r="AQ191" s="581">
        <v>10</v>
      </c>
      <c r="AR191" s="481" t="e">
        <f>MONTH(AT189)</f>
        <v>#VALUE!</v>
      </c>
      <c r="AS191" s="481" t="e">
        <f>YEAR(AT189)</f>
        <v>#VALUE!</v>
      </c>
      <c r="AT191" s="582" t="e">
        <f>DATE(AS191,AR192,AS192)</f>
        <v>#VALUE!</v>
      </c>
      <c r="AU191" s="481" t="e">
        <f>VLOOKUP(AR191,AR155:AS166,2,0)</f>
        <v>#VALUE!</v>
      </c>
      <c r="AZ191" s="481" t="s">
        <v>991</v>
      </c>
      <c r="BB191" s="481">
        <f>SUM(BA154:BA163)</f>
        <v>6436</v>
      </c>
      <c r="BC191" s="481">
        <f>SUM(BC160:BC169)</f>
        <v>6509</v>
      </c>
      <c r="BF191" s="585">
        <v>5</v>
      </c>
      <c r="BG191" s="481" t="str">
        <f>VLOOKUP(BF191,BH$166:BI$188,2,0)</f>
        <v>Housing Loan Principal Amount</v>
      </c>
      <c r="BO191" s="481" t="str">
        <f>VLOOKUP(BQ188,BG193:BI207,3,0)</f>
        <v>Interest of HBA Loan 80EEA</v>
      </c>
      <c r="BR191" s="481">
        <v>48</v>
      </c>
      <c r="BS191" s="529">
        <v>24950</v>
      </c>
      <c r="BT191" s="529">
        <v>25600</v>
      </c>
      <c r="BU191" s="529">
        <v>26300</v>
      </c>
      <c r="BV191" s="517">
        <v>31550</v>
      </c>
      <c r="BW191" s="517">
        <v>32350</v>
      </c>
      <c r="BX191" s="517">
        <v>33200</v>
      </c>
      <c r="BZ191" s="517">
        <v>31550</v>
      </c>
      <c r="CA191" s="517">
        <v>33200</v>
      </c>
      <c r="CB191" s="517">
        <v>33200</v>
      </c>
      <c r="CI191" s="481" t="str">
        <f>VLOOKUP(CI190,CH185:CI188,2,FALSE)</f>
        <v>Non mandal</v>
      </c>
      <c r="CQ191" s="481">
        <v>35</v>
      </c>
      <c r="CT191" s="540">
        <v>3</v>
      </c>
      <c r="CW191" s="584">
        <f>IF(AND(CT$191=2,CE283&gt;CY$188),CW$182,IF(AND(CT$191=3,CE283&gt;CY$188),CX$182,IF(AND(CT$191=4,CE283&gt;CY$188),CY182,0)))</f>
        <v>350</v>
      </c>
      <c r="DB191" s="484"/>
      <c r="DD191" s="108"/>
      <c r="DE191" s="109"/>
      <c r="DF191" s="109"/>
      <c r="DG191" s="108"/>
    </row>
    <row r="192" spans="21:117" s="481" customFormat="1" ht="15" hidden="1">
      <c r="U192" s="483"/>
      <c r="V192" s="483"/>
      <c r="W192" s="483"/>
      <c r="X192" s="106"/>
      <c r="Y192" s="106"/>
      <c r="Z192" s="106"/>
      <c r="AA192" s="106"/>
      <c r="AB192" s="106"/>
      <c r="AC192" s="483"/>
      <c r="AD192" s="483"/>
      <c r="AE192" s="483"/>
      <c r="AF192" s="483"/>
      <c r="AG192" s="483"/>
      <c r="AH192" s="483"/>
      <c r="AQ192" s="481">
        <f>AQ191-1</f>
        <v>9</v>
      </c>
      <c r="AR192" s="481" t="e">
        <f>IF(AR191=12,1,(AR191+1))</f>
        <v>#VALUE!</v>
      </c>
      <c r="AS192" s="481">
        <v>1</v>
      </c>
      <c r="AU192" s="586" t="e">
        <f>AU191-AQ192</f>
        <v>#VALUE!</v>
      </c>
      <c r="AZ192" s="481" t="s">
        <v>992</v>
      </c>
      <c r="BB192" s="481">
        <f>SUM(BA164:BA173)</f>
        <v>6580</v>
      </c>
      <c r="BC192" s="481">
        <f>SUM(BC170:BC179)</f>
        <v>6680</v>
      </c>
      <c r="BH192" s="481">
        <v>1</v>
      </c>
      <c r="BI192" s="481" t="s">
        <v>383</v>
      </c>
      <c r="BK192" s="481">
        <f>IF(BQ238=1,"",IF(G$33&lt;=BN192,G$33,IF(G$33&gt;BN192,BN192)))</f>
        <v>0</v>
      </c>
      <c r="BL192" s="481">
        <f t="shared" ref="BL192:BL207" si="27">IF(G$34&lt;=BN192,G$34,IF(G$34&gt;BN192,BN192))</f>
        <v>0</v>
      </c>
      <c r="BM192" s="481">
        <v>2</v>
      </c>
      <c r="BN192" s="481">
        <f>BO213</f>
        <v>250000</v>
      </c>
      <c r="BO192" s="481">
        <f>IF(G$35&lt;=BN192,G$35,IF(G$35&gt;BN192,BN192))</f>
        <v>0</v>
      </c>
      <c r="BP192" s="481">
        <f>IF(G33="",0,BL174)</f>
        <v>0</v>
      </c>
      <c r="BQ192" s="481">
        <f>IF(BQ238=1,"",BP192)</f>
        <v>0</v>
      </c>
      <c r="BR192" s="481">
        <v>49</v>
      </c>
      <c r="BS192" s="529">
        <v>25600</v>
      </c>
      <c r="BT192" s="529">
        <v>26300</v>
      </c>
      <c r="BU192" s="529">
        <v>27000</v>
      </c>
      <c r="BV192" s="517">
        <v>32350</v>
      </c>
      <c r="BW192" s="517">
        <v>33200</v>
      </c>
      <c r="BX192" s="517">
        <v>34050</v>
      </c>
      <c r="BZ192" s="517">
        <v>32350</v>
      </c>
      <c r="CA192" s="517">
        <v>34050</v>
      </c>
      <c r="CB192" s="517">
        <v>34050</v>
      </c>
      <c r="CC192" s="570">
        <v>1</v>
      </c>
      <c r="CD192" s="571">
        <v>15</v>
      </c>
      <c r="CE192" s="587" t="s">
        <v>106</v>
      </c>
      <c r="CF192" s="572"/>
      <c r="CQ192" s="481">
        <v>36</v>
      </c>
      <c r="CS192" s="481" t="str">
        <f>VLOOKUP(CT191,CR187:CS190,2,FALSE)</f>
        <v>Greater Vishaka &amp; Vijayawada</v>
      </c>
      <c r="CV192" s="481">
        <f>L20</f>
        <v>0</v>
      </c>
      <c r="DB192" s="484"/>
      <c r="DD192" s="108"/>
      <c r="DE192" s="109"/>
      <c r="DF192" s="109"/>
      <c r="DG192" s="108"/>
      <c r="DI192" s="481" t="str">
        <f t="shared" ref="DI192:DJ194" si="28">CF253</f>
        <v>Increment after Jan-21</v>
      </c>
      <c r="DJ192" s="505">
        <f t="shared" si="28"/>
        <v>44409</v>
      </c>
      <c r="DK192" s="481">
        <f>VLOOKUP(DJ192,CZ$182:DK$189,12,FALSE)</f>
        <v>0</v>
      </c>
      <c r="DL192" s="481">
        <f>IF(DJ192&gt;=CS$204,ROUND(DK192*CT$203%,0),"")</f>
        <v>0</v>
      </c>
      <c r="DM192" s="481">
        <f>IF(DL192="","",ROUND(DL192*BR254/BP257,0))</f>
        <v>0</v>
      </c>
    </row>
    <row r="193" spans="21:120" s="481" customFormat="1" ht="15" hidden="1">
      <c r="U193" s="483"/>
      <c r="V193" s="483"/>
      <c r="W193" s="483"/>
      <c r="X193" s="106"/>
      <c r="Y193" s="106"/>
      <c r="Z193" s="106"/>
      <c r="AA193" s="106"/>
      <c r="AB193" s="106"/>
      <c r="AC193" s="483"/>
      <c r="AD193" s="483"/>
      <c r="AE193" s="483"/>
      <c r="AF193" s="483"/>
      <c r="AG193" s="483"/>
      <c r="AH193" s="483"/>
      <c r="BB193" s="586">
        <f>SUM(BB190:BB192)</f>
        <v>19308</v>
      </c>
      <c r="BC193" s="586">
        <f>SUM(BC190:BC192)</f>
        <v>19546</v>
      </c>
      <c r="BG193" s="481">
        <v>1</v>
      </c>
      <c r="BH193" s="481">
        <v>2</v>
      </c>
      <c r="BI193" s="481" t="s">
        <v>107</v>
      </c>
      <c r="BK193" s="481">
        <f t="shared" ref="BK193:BK205" si="29">IF(G$33&lt;=BN193,G$33,IF(G$33&gt;BN193,BN193))</f>
        <v>0</v>
      </c>
      <c r="BL193" s="481">
        <f t="shared" si="27"/>
        <v>0</v>
      </c>
      <c r="BM193" s="481">
        <v>2</v>
      </c>
      <c r="BN193" s="481">
        <v>1000000</v>
      </c>
      <c r="BO193" s="481">
        <f>IF(G$35&lt;=BN193,G$35,IF(G$35&gt;BN193,BN193))</f>
        <v>0</v>
      </c>
      <c r="BP193" s="481">
        <f>VLOOKUP(BO190,BI192:BO207,4,0)</f>
        <v>0</v>
      </c>
      <c r="BR193" s="481">
        <v>50</v>
      </c>
      <c r="BS193" s="529">
        <v>26300</v>
      </c>
      <c r="BT193" s="529">
        <v>27000</v>
      </c>
      <c r="BU193" s="529">
        <v>27700</v>
      </c>
      <c r="BV193" s="517">
        <v>33200</v>
      </c>
      <c r="BW193" s="517">
        <v>34050</v>
      </c>
      <c r="BX193" s="517">
        <v>34900</v>
      </c>
      <c r="BZ193" s="517">
        <v>33200</v>
      </c>
      <c r="CA193" s="517">
        <v>34900</v>
      </c>
      <c r="CB193" s="517">
        <v>34900</v>
      </c>
      <c r="CC193" s="574">
        <v>2</v>
      </c>
      <c r="CD193" s="486">
        <v>30</v>
      </c>
      <c r="CE193" s="541">
        <v>3</v>
      </c>
      <c r="CF193" s="588">
        <v>3</v>
      </c>
      <c r="CQ193" s="481">
        <v>37</v>
      </c>
      <c r="CT193" s="540">
        <v>1</v>
      </c>
      <c r="CW193" s="589">
        <f>IF(AND(CT$193=2,CE283&gt;CX$186,CE283&lt;=CY$186),CW$180,IF(AND(CT$193=3,CE283&gt;CX$186,CE283&lt;=CY$186),CX$180,IF(AND(CT$193=4,CE283&gt;CX$186,CE283&lt;=CY$186),CY$180,0)))</f>
        <v>0</v>
      </c>
      <c r="DB193" s="484"/>
      <c r="DD193" s="108"/>
      <c r="DE193" s="109"/>
      <c r="DF193" s="109"/>
      <c r="DG193" s="108"/>
      <c r="DI193" s="481" t="str">
        <f t="shared" si="28"/>
        <v>No Change</v>
      </c>
      <c r="DJ193" s="505">
        <f t="shared" si="28"/>
        <v>44470</v>
      </c>
      <c r="DK193" s="481">
        <f>VLOOKUP(DJ193,CZ$182:DK$189,12,FALSE)</f>
        <v>0</v>
      </c>
      <c r="DL193" s="481">
        <f>IF(DJ193&gt;=CS$204,ROUND(DK193*CT$203%,0),"")</f>
        <v>0</v>
      </c>
      <c r="DM193" s="481">
        <f>IF(DL193="","",ROUND(DL193*BR255/BP258,0))</f>
        <v>0</v>
      </c>
    </row>
    <row r="194" spans="21:120" s="481" customFormat="1" ht="15" hidden="1">
      <c r="U194" s="483"/>
      <c r="V194" s="483"/>
      <c r="W194" s="483"/>
      <c r="X194" s="106"/>
      <c r="Y194" s="106"/>
      <c r="Z194" s="106"/>
      <c r="AA194" s="106"/>
      <c r="AB194" s="106"/>
      <c r="AC194" s="483"/>
      <c r="AD194" s="483"/>
      <c r="AE194" s="483"/>
      <c r="AF194" s="483"/>
      <c r="AG194" s="483"/>
      <c r="AH194" s="483"/>
      <c r="AQ194" s="590">
        <v>43282</v>
      </c>
      <c r="AR194" s="481" t="e">
        <f>VLOOKUP(AT189,AY144:BA173,3,0)</f>
        <v>#N/A</v>
      </c>
      <c r="AS194" s="481" t="e">
        <f>ROUND(AR194*AQ192/AU191,0)</f>
        <v>#N/A</v>
      </c>
      <c r="AT194" s="591" t="e">
        <f>AS194+AS195</f>
        <v>#N/A</v>
      </c>
      <c r="BG194" s="481">
        <v>2</v>
      </c>
      <c r="BH194" s="481">
        <v>3</v>
      </c>
      <c r="BI194" s="481" t="s">
        <v>555</v>
      </c>
      <c r="BK194" s="481">
        <f t="shared" si="29"/>
        <v>0</v>
      </c>
      <c r="BL194" s="481">
        <f t="shared" si="27"/>
        <v>0</v>
      </c>
      <c r="BM194" s="481">
        <v>3</v>
      </c>
      <c r="BN194" s="481">
        <v>75000</v>
      </c>
      <c r="BO194" s="481">
        <f>IF(G$35&lt;=BN194,G$35,IF(G$35&gt;BN194,BN194))</f>
        <v>0</v>
      </c>
      <c r="BP194" s="481">
        <f>VLOOKUP(BO191,BI192:BO207,7,0)</f>
        <v>0</v>
      </c>
      <c r="BR194" s="481">
        <v>51</v>
      </c>
      <c r="BS194" s="529">
        <v>27000</v>
      </c>
      <c r="BT194" s="529">
        <v>27700</v>
      </c>
      <c r="BU194" s="529">
        <v>28450</v>
      </c>
      <c r="BV194" s="517">
        <v>34050</v>
      </c>
      <c r="BW194" s="517">
        <v>34900</v>
      </c>
      <c r="BX194" s="517">
        <v>35800</v>
      </c>
      <c r="BZ194" s="517">
        <v>34050</v>
      </c>
      <c r="CA194" s="517">
        <v>35800</v>
      </c>
      <c r="CB194" s="517">
        <v>35800</v>
      </c>
      <c r="CC194" s="574">
        <v>3</v>
      </c>
      <c r="CD194" s="486">
        <v>60</v>
      </c>
      <c r="CE194" s="544">
        <f>P22</f>
        <v>120</v>
      </c>
      <c r="CF194" s="592">
        <f>S22</f>
        <v>0</v>
      </c>
      <c r="CQ194" s="481">
        <v>38</v>
      </c>
      <c r="CS194" s="481" t="str">
        <f>VLOOKUP(CT193,CR187:CS190,2,FALSE)</f>
        <v>Not Applicable</v>
      </c>
      <c r="CW194" s="589">
        <f>IF(AND(CT$193=2,CE283&gt;CX$187,CE283&lt;=CY$187),CW$181,IF(AND(CT$193=3,CE283&gt;CX$187,CE283&lt;=CY$187),CX$181,IF(AND(CT$193=4,CE283&gt;CX$187,CE283&lt;=CY$187),CY$181,0)))</f>
        <v>0</v>
      </c>
      <c r="CZ194" s="505"/>
      <c r="DB194" s="484"/>
      <c r="DD194" s="108"/>
      <c r="DE194" s="109"/>
      <c r="DF194" s="109"/>
      <c r="DG194" s="108"/>
      <c r="DI194" s="481" t="str">
        <f t="shared" si="28"/>
        <v>No Change</v>
      </c>
      <c r="DJ194" s="505">
        <f t="shared" si="28"/>
        <v>44531</v>
      </c>
      <c r="DK194" s="481">
        <f>VLOOKUP(DJ194,CZ$182:DK$189,12,FALSE)</f>
        <v>0</v>
      </c>
      <c r="DL194" s="481">
        <f>IF(DJ194&gt;=CS$204,ROUND(DK194*CT$203%,0),"")</f>
        <v>0</v>
      </c>
      <c r="DM194" s="481">
        <f>IF(DL194="","",ROUND(DL194*BR256/BP259,0))</f>
        <v>0</v>
      </c>
    </row>
    <row r="195" spans="21:120" s="481" customFormat="1" ht="15" hidden="1">
      <c r="U195" s="483"/>
      <c r="V195" s="483"/>
      <c r="W195" s="483"/>
      <c r="X195" s="106"/>
      <c r="Y195" s="106"/>
      <c r="Z195" s="106"/>
      <c r="AA195" s="106"/>
      <c r="AB195" s="106"/>
      <c r="AC195" s="483"/>
      <c r="AD195" s="483"/>
      <c r="AE195" s="483"/>
      <c r="AF195" s="483"/>
      <c r="AG195" s="483"/>
      <c r="AH195" s="483"/>
      <c r="AQ195" s="566" t="s">
        <v>1008</v>
      </c>
      <c r="AR195" s="481" t="e">
        <f>VLOOKUP(AT191,AY144:BA173,3,0)</f>
        <v>#VALUE!</v>
      </c>
      <c r="AS195" s="481" t="e">
        <f>ROUND(AR195*AU192/AU191,0)</f>
        <v>#VALUE!</v>
      </c>
      <c r="AZ195" s="593"/>
      <c r="BA195" s="594"/>
      <c r="BB195" s="594"/>
      <c r="BC195" s="594">
        <f>G31</f>
        <v>0</v>
      </c>
      <c r="BD195" s="481">
        <v>50000</v>
      </c>
      <c r="BG195" s="481">
        <v>3</v>
      </c>
      <c r="BH195" s="481">
        <v>4</v>
      </c>
      <c r="BI195" s="481" t="s">
        <v>556</v>
      </c>
      <c r="BK195" s="481">
        <f t="shared" si="29"/>
        <v>0</v>
      </c>
      <c r="BL195" s="481">
        <f t="shared" si="27"/>
        <v>0</v>
      </c>
      <c r="BM195" s="481">
        <v>3</v>
      </c>
      <c r="BN195" s="481">
        <v>125000</v>
      </c>
      <c r="BO195" s="481">
        <f t="shared" ref="BO195:BO205" si="30">IF(G$35&lt;=BN195,G$35,IF(G$35&gt;BN195,BN195))</f>
        <v>0</v>
      </c>
      <c r="BR195" s="481">
        <v>52</v>
      </c>
      <c r="BS195" s="529">
        <v>27700</v>
      </c>
      <c r="BT195" s="529">
        <v>28450</v>
      </c>
      <c r="BU195" s="529">
        <v>29200</v>
      </c>
      <c r="BV195" s="517">
        <v>34900</v>
      </c>
      <c r="BW195" s="517">
        <v>35800</v>
      </c>
      <c r="BX195" s="517">
        <v>36700</v>
      </c>
      <c r="BZ195" s="517">
        <v>34900</v>
      </c>
      <c r="CA195" s="517">
        <v>36700</v>
      </c>
      <c r="CB195" s="517">
        <v>36700</v>
      </c>
      <c r="CC195" s="577">
        <v>4</v>
      </c>
      <c r="CD195" s="578">
        <v>120</v>
      </c>
      <c r="CE195" s="578"/>
      <c r="CF195" s="580"/>
      <c r="CH195" s="570">
        <v>1</v>
      </c>
      <c r="CI195" s="571">
        <v>0</v>
      </c>
      <c r="CJ195" s="571" t="s">
        <v>108</v>
      </c>
      <c r="CK195" s="572"/>
      <c r="CQ195" s="481">
        <v>39</v>
      </c>
      <c r="CV195" s="481">
        <f>MAX(CW193:CW195)</f>
        <v>0</v>
      </c>
      <c r="CW195" s="589">
        <f>IF(AND(CT$193=2,CE283&gt;CY$188),CW$182,IF(AND(CT$193=3,CE283&gt;CY$188),CX$182,IF(AND(CT$193=4,CE283&gt;CY$188),CY182,0)))</f>
        <v>0</v>
      </c>
      <c r="CZ195" s="505"/>
      <c r="DB195" s="484"/>
      <c r="DD195" s="108"/>
      <c r="DE195" s="109"/>
      <c r="DF195" s="109"/>
      <c r="DG195" s="108"/>
    </row>
    <row r="196" spans="21:120" s="481" customFormat="1" ht="15" hidden="1">
      <c r="U196" s="483"/>
      <c r="V196" s="483"/>
      <c r="W196" s="483"/>
      <c r="X196" s="106"/>
      <c r="Y196" s="106"/>
      <c r="Z196" s="106"/>
      <c r="AA196" s="106"/>
      <c r="AB196" s="106"/>
      <c r="AC196" s="483"/>
      <c r="AD196" s="483"/>
      <c r="AE196" s="483"/>
      <c r="AF196" s="483"/>
      <c r="AG196" s="483"/>
      <c r="AH196" s="483"/>
      <c r="AR196" s="532"/>
      <c r="AS196" s="595"/>
      <c r="AT196" s="596"/>
      <c r="AU196" s="597"/>
      <c r="AV196" s="482"/>
      <c r="AW196" s="482"/>
      <c r="AX196" s="482"/>
      <c r="AZ196" s="598">
        <f>ROUND(BC195/2,0)</f>
        <v>0</v>
      </c>
      <c r="BA196" s="486">
        <v>25000</v>
      </c>
      <c r="BB196" s="486">
        <v>1</v>
      </c>
      <c r="BC196" s="486" t="s">
        <v>22</v>
      </c>
      <c r="BE196" s="481" t="s">
        <v>617</v>
      </c>
      <c r="BF196" s="481">
        <f>IF(BC195&gt;BD195,BA196,AZ196)</f>
        <v>0</v>
      </c>
      <c r="BG196" s="481">
        <v>4</v>
      </c>
      <c r="BH196" s="481">
        <v>5</v>
      </c>
      <c r="BI196" s="481" t="s">
        <v>109</v>
      </c>
      <c r="BK196" s="481">
        <f t="shared" si="29"/>
        <v>0</v>
      </c>
      <c r="BL196" s="481">
        <f t="shared" si="27"/>
        <v>0</v>
      </c>
      <c r="BM196" s="481">
        <v>1</v>
      </c>
      <c r="BN196" s="481">
        <v>40000</v>
      </c>
      <c r="BO196" s="481">
        <f t="shared" si="30"/>
        <v>0</v>
      </c>
      <c r="BR196" s="481">
        <v>53</v>
      </c>
      <c r="BS196" s="529">
        <v>28450</v>
      </c>
      <c r="BT196" s="529">
        <v>29200</v>
      </c>
      <c r="BU196" s="529">
        <v>29950</v>
      </c>
      <c r="BV196" s="517">
        <v>35800</v>
      </c>
      <c r="BW196" s="517">
        <v>36700</v>
      </c>
      <c r="BX196" s="517">
        <v>37600</v>
      </c>
      <c r="BZ196" s="517">
        <v>35800</v>
      </c>
      <c r="CA196" s="517">
        <v>37600</v>
      </c>
      <c r="CB196" s="517">
        <v>37600</v>
      </c>
      <c r="CH196" s="574">
        <v>2</v>
      </c>
      <c r="CI196" s="486">
        <v>20</v>
      </c>
      <c r="CJ196" s="575">
        <v>3</v>
      </c>
      <c r="CK196" s="599">
        <v>3</v>
      </c>
      <c r="CN196" s="532"/>
      <c r="CQ196" s="481">
        <v>40</v>
      </c>
      <c r="CZ196" s="505"/>
      <c r="DB196" s="484"/>
      <c r="DD196" s="108"/>
      <c r="DE196" s="109"/>
      <c r="DF196" s="109"/>
      <c r="DG196" s="108"/>
    </row>
    <row r="197" spans="21:120" s="481" customFormat="1" ht="15" hidden="1">
      <c r="U197" s="483"/>
      <c r="V197" s="483"/>
      <c r="W197" s="483"/>
      <c r="X197" s="106"/>
      <c r="Y197" s="106"/>
      <c r="Z197" s="106"/>
      <c r="AA197" s="106"/>
      <c r="AB197" s="106"/>
      <c r="AC197" s="483"/>
      <c r="AD197" s="483"/>
      <c r="AE197" s="483"/>
      <c r="AF197" s="483"/>
      <c r="AG197" s="483"/>
      <c r="AH197" s="483"/>
      <c r="AQ197" s="590">
        <v>43466</v>
      </c>
      <c r="AR197" s="481" t="e">
        <f>VLOOKUP(AT189,AY144:BC179,5,0)</f>
        <v>#N/A</v>
      </c>
      <c r="AS197" s="481" t="e">
        <f>ROUND(AR197*AQ192/AU191,0)</f>
        <v>#N/A</v>
      </c>
      <c r="AT197" s="591" t="e">
        <f>AS197+AS198</f>
        <v>#N/A</v>
      </c>
      <c r="AU197" s="482"/>
      <c r="AV197" s="482"/>
      <c r="AW197" s="482"/>
      <c r="AX197" s="482"/>
      <c r="AZ197" s="598"/>
      <c r="BA197" s="486">
        <v>20000</v>
      </c>
      <c r="BB197" s="486">
        <v>2</v>
      </c>
      <c r="BC197" s="486" t="s">
        <v>615</v>
      </c>
      <c r="BE197" s="481" t="s">
        <v>618</v>
      </c>
      <c r="BF197" s="481">
        <f>IF(BC195&lt;=BA197,BC195,IF(BC195&gt;=BA197,BA197))</f>
        <v>0</v>
      </c>
      <c r="BG197" s="481">
        <v>5</v>
      </c>
      <c r="BH197" s="481">
        <v>6</v>
      </c>
      <c r="BI197" s="481" t="s">
        <v>24</v>
      </c>
      <c r="BK197" s="481">
        <f t="shared" si="29"/>
        <v>0</v>
      </c>
      <c r="BL197" s="481">
        <f t="shared" si="27"/>
        <v>0</v>
      </c>
      <c r="BM197" s="481">
        <v>1</v>
      </c>
      <c r="BN197" s="481">
        <v>60000</v>
      </c>
      <c r="BO197" s="481">
        <f t="shared" si="30"/>
        <v>0</v>
      </c>
      <c r="BR197" s="481">
        <v>54</v>
      </c>
      <c r="BS197" s="529">
        <v>29200</v>
      </c>
      <c r="BT197" s="529">
        <v>29950</v>
      </c>
      <c r="BU197" s="529">
        <v>30750</v>
      </c>
      <c r="BV197" s="517">
        <v>36700</v>
      </c>
      <c r="BW197" s="517">
        <v>37600</v>
      </c>
      <c r="BX197" s="517">
        <v>38570</v>
      </c>
      <c r="BZ197" s="517">
        <v>36700</v>
      </c>
      <c r="CA197" s="517">
        <v>38570</v>
      </c>
      <c r="CB197" s="517">
        <v>38570</v>
      </c>
      <c r="CH197" s="574">
        <v>3</v>
      </c>
      <c r="CI197" s="486">
        <v>50</v>
      </c>
      <c r="CJ197" s="600">
        <f>P25</f>
        <v>50</v>
      </c>
      <c r="CK197" s="601">
        <f>T25</f>
        <v>0</v>
      </c>
      <c r="CN197" s="532"/>
      <c r="CZ197" s="505"/>
      <c r="DB197" s="484"/>
      <c r="DD197" s="108"/>
      <c r="DE197" s="109"/>
      <c r="DF197" s="109"/>
      <c r="DG197" s="108"/>
    </row>
    <row r="198" spans="21:120" s="481" customFormat="1" ht="15" hidden="1">
      <c r="U198" s="483"/>
      <c r="V198" s="483"/>
      <c r="W198" s="483"/>
      <c r="X198" s="106"/>
      <c r="Y198" s="106"/>
      <c r="Z198" s="106"/>
      <c r="AA198" s="106"/>
      <c r="AB198" s="106"/>
      <c r="AC198" s="483"/>
      <c r="AD198" s="483"/>
      <c r="AE198" s="483"/>
      <c r="AF198" s="483"/>
      <c r="AG198" s="483"/>
      <c r="AH198" s="483"/>
      <c r="AQ198" s="566" t="s">
        <v>1008</v>
      </c>
      <c r="AR198" s="481" t="e">
        <f>VLOOKUP(AT191,AY144:BC179,5,0)</f>
        <v>#VALUE!</v>
      </c>
      <c r="AS198" s="481" t="e">
        <f>ROUND(AR198*AU192/AU191,0)</f>
        <v>#VALUE!</v>
      </c>
      <c r="AU198" s="482"/>
      <c r="AV198" s="482"/>
      <c r="AW198" s="482"/>
      <c r="AX198" s="482"/>
      <c r="AZ198" s="598"/>
      <c r="BA198" s="486">
        <v>10000</v>
      </c>
      <c r="BB198" s="486">
        <v>3</v>
      </c>
      <c r="BC198" s="486" t="s">
        <v>616</v>
      </c>
      <c r="BE198" s="481" t="s">
        <v>619</v>
      </c>
      <c r="BF198" s="481">
        <f>IF(BC195&lt;=BA198,BC195,IF(BC195&gt;=BA198,BA198))</f>
        <v>0</v>
      </c>
      <c r="BG198" s="481">
        <v>6</v>
      </c>
      <c r="BH198" s="481">
        <v>7</v>
      </c>
      <c r="BI198" s="481" t="s">
        <v>564</v>
      </c>
      <c r="BK198" s="481">
        <f t="shared" si="29"/>
        <v>0</v>
      </c>
      <c r="BL198" s="481">
        <f t="shared" si="27"/>
        <v>0</v>
      </c>
      <c r="BM198" s="481">
        <v>4</v>
      </c>
      <c r="BN198" s="481">
        <v>25000</v>
      </c>
      <c r="BO198" s="481">
        <f t="shared" si="30"/>
        <v>0</v>
      </c>
      <c r="BR198" s="481">
        <v>55</v>
      </c>
      <c r="BS198" s="529">
        <v>29950</v>
      </c>
      <c r="BT198" s="529">
        <v>30750</v>
      </c>
      <c r="BU198" s="529">
        <v>31550</v>
      </c>
      <c r="BV198" s="517">
        <v>37600</v>
      </c>
      <c r="BW198" s="517">
        <v>38570</v>
      </c>
      <c r="BX198" s="517">
        <v>39540</v>
      </c>
      <c r="BZ198" s="517">
        <v>37600</v>
      </c>
      <c r="CA198" s="517">
        <v>39540</v>
      </c>
      <c r="CB198" s="517">
        <v>39540</v>
      </c>
      <c r="CH198" s="577">
        <v>4</v>
      </c>
      <c r="CI198" s="578">
        <v>150</v>
      </c>
      <c r="CJ198" s="578"/>
      <c r="CK198" s="580"/>
      <c r="CZ198" s="505"/>
      <c r="DB198" s="484"/>
      <c r="DD198" s="108"/>
      <c r="DE198" s="109"/>
      <c r="DF198" s="109"/>
      <c r="DG198" s="108"/>
    </row>
    <row r="199" spans="21:120" s="481" customFormat="1" ht="15" hidden="1">
      <c r="U199" s="483"/>
      <c r="V199" s="483"/>
      <c r="W199" s="483"/>
      <c r="X199" s="106"/>
      <c r="Y199" s="106"/>
      <c r="Z199" s="106"/>
      <c r="AA199" s="106"/>
      <c r="AB199" s="106"/>
      <c r="AC199" s="483"/>
      <c r="AD199" s="483"/>
      <c r="AE199" s="483"/>
      <c r="AF199" s="483"/>
      <c r="AG199" s="483"/>
      <c r="AH199" s="483"/>
      <c r="AR199" s="532"/>
      <c r="AS199" s="596"/>
      <c r="AT199" s="596"/>
      <c r="AU199" s="482"/>
      <c r="AV199" s="482"/>
      <c r="AW199" s="482"/>
      <c r="AX199" s="482"/>
      <c r="AZ199" s="598">
        <f>G37</f>
        <v>0</v>
      </c>
      <c r="BA199" s="602">
        <v>50000</v>
      </c>
      <c r="BB199" s="602">
        <v>4</v>
      </c>
      <c r="BC199" s="602" t="s">
        <v>704</v>
      </c>
      <c r="BD199" s="603"/>
      <c r="BE199" s="603" t="s">
        <v>703</v>
      </c>
      <c r="BF199" s="603">
        <f>IF(AZ199&lt;=BA199,AZ199,IF(AZ199&gt;=BA199,BA199))</f>
        <v>0</v>
      </c>
      <c r="BG199" s="481">
        <v>7</v>
      </c>
      <c r="BH199" s="481">
        <v>8</v>
      </c>
      <c r="BI199" s="481" t="s">
        <v>110</v>
      </c>
      <c r="BK199" s="481">
        <f t="shared" si="29"/>
        <v>0</v>
      </c>
      <c r="BL199" s="481">
        <f t="shared" si="27"/>
        <v>0</v>
      </c>
      <c r="BM199" s="481">
        <v>4</v>
      </c>
      <c r="BN199" s="481">
        <v>30000</v>
      </c>
      <c r="BO199" s="481">
        <f t="shared" si="30"/>
        <v>0</v>
      </c>
      <c r="BR199" s="481">
        <v>56</v>
      </c>
      <c r="BS199" s="529">
        <v>30750</v>
      </c>
      <c r="BT199" s="529">
        <v>31550</v>
      </c>
      <c r="BU199" s="529">
        <v>32350</v>
      </c>
      <c r="BV199" s="517">
        <v>38570</v>
      </c>
      <c r="BW199" s="517">
        <v>39540</v>
      </c>
      <c r="BX199" s="517">
        <v>40510</v>
      </c>
      <c r="BZ199" s="517">
        <v>38570</v>
      </c>
      <c r="CA199" s="517">
        <v>40510</v>
      </c>
      <c r="CB199" s="517">
        <v>40510</v>
      </c>
      <c r="CC199" s="481">
        <v>1</v>
      </c>
      <c r="CD199" s="604" t="s">
        <v>111</v>
      </c>
      <c r="CQ199" s="481">
        <v>1</v>
      </c>
      <c r="CR199" s="505">
        <v>44378</v>
      </c>
      <c r="CS199" s="605"/>
      <c r="CT199" s="606"/>
      <c r="CU199" s="606"/>
      <c r="CV199" s="545"/>
      <c r="CZ199" s="505"/>
      <c r="DB199" s="484"/>
      <c r="DD199" s="108"/>
      <c r="DE199" s="109"/>
      <c r="DF199" s="109"/>
      <c r="DG199" s="108"/>
    </row>
    <row r="200" spans="21:120" s="481" customFormat="1" ht="15" hidden="1">
      <c r="U200" s="483"/>
      <c r="V200" s="483"/>
      <c r="W200" s="483"/>
      <c r="X200" s="106"/>
      <c r="Y200" s="106"/>
      <c r="Z200" s="106"/>
      <c r="AA200" s="106"/>
      <c r="AB200" s="106"/>
      <c r="AC200" s="483"/>
      <c r="AD200" s="483"/>
      <c r="AE200" s="483"/>
      <c r="AF200" s="483"/>
      <c r="AG200" s="483"/>
      <c r="AH200" s="483"/>
      <c r="AR200" s="532"/>
      <c r="AS200" s="596"/>
      <c r="AT200" s="596"/>
      <c r="AU200" s="482"/>
      <c r="AV200" s="482"/>
      <c r="AW200" s="482"/>
      <c r="AX200" s="482"/>
      <c r="AZ200" s="607"/>
      <c r="BA200" s="608"/>
      <c r="BB200" s="609">
        <v>3</v>
      </c>
      <c r="BC200" s="608" t="str">
        <f>VLOOKUP(BB200,BB196:BC198,2,TRUE)</f>
        <v>Intrest on Saving Account ( Not Fixed Deposit )</v>
      </c>
      <c r="BE200" s="481" t="str">
        <f>VLOOKUP(BB200,BB196:BE198,4,TRUE)</f>
        <v>80TTA</v>
      </c>
      <c r="BF200" s="481">
        <f>VLOOKUP(BB200,BB196:BF198,5,TRUE)</f>
        <v>0</v>
      </c>
      <c r="BG200" s="481">
        <v>8</v>
      </c>
      <c r="BH200" s="481">
        <v>9</v>
      </c>
      <c r="BI200" s="481" t="s">
        <v>832</v>
      </c>
      <c r="BK200" s="481">
        <f t="shared" si="29"/>
        <v>0</v>
      </c>
      <c r="BL200" s="481">
        <f t="shared" si="27"/>
        <v>0</v>
      </c>
      <c r="BM200" s="481">
        <v>5</v>
      </c>
      <c r="BN200" s="481">
        <v>75000</v>
      </c>
      <c r="BO200" s="481">
        <f t="shared" si="30"/>
        <v>0</v>
      </c>
      <c r="BR200" s="481">
        <v>57</v>
      </c>
      <c r="BS200" s="529">
        <v>31550</v>
      </c>
      <c r="BT200" s="529">
        <v>32350</v>
      </c>
      <c r="BU200" s="529">
        <v>33200</v>
      </c>
      <c r="BV200" s="517">
        <v>39540</v>
      </c>
      <c r="BW200" s="517">
        <v>40510</v>
      </c>
      <c r="BX200" s="517">
        <v>41550</v>
      </c>
      <c r="BZ200" s="517">
        <v>39540</v>
      </c>
      <c r="CA200" s="517">
        <v>41550</v>
      </c>
      <c r="CB200" s="517">
        <v>41550</v>
      </c>
      <c r="CC200" s="481">
        <v>2</v>
      </c>
      <c r="CD200" s="551" t="s">
        <v>49</v>
      </c>
      <c r="CE200" s="509"/>
      <c r="CF200" s="509"/>
      <c r="CG200" s="509"/>
      <c r="CH200" s="488"/>
      <c r="CQ200" s="481">
        <v>2</v>
      </c>
      <c r="CR200" s="505">
        <v>44409</v>
      </c>
      <c r="CS200" s="548"/>
      <c r="CT200" s="486"/>
      <c r="CU200" s="486"/>
      <c r="CV200" s="549"/>
      <c r="CZ200" s="505"/>
      <c r="DB200" s="484"/>
      <c r="DD200" s="108"/>
      <c r="DE200" s="109"/>
      <c r="DF200" s="109"/>
      <c r="DG200" s="108"/>
    </row>
    <row r="201" spans="21:120" s="481" customFormat="1" ht="15" hidden="1">
      <c r="U201" s="483"/>
      <c r="V201" s="483"/>
      <c r="W201" s="483"/>
      <c r="X201" s="106"/>
      <c r="Y201" s="106"/>
      <c r="Z201" s="106"/>
      <c r="AA201" s="106"/>
      <c r="AB201" s="106"/>
      <c r="AC201" s="483"/>
      <c r="AD201" s="483"/>
      <c r="AE201" s="483"/>
      <c r="AF201" s="483"/>
      <c r="AG201" s="483"/>
      <c r="AH201" s="483"/>
      <c r="AR201" s="482"/>
      <c r="AS201" s="482"/>
      <c r="AT201" s="482"/>
      <c r="AU201" s="610"/>
      <c r="AV201" s="610"/>
      <c r="AW201" s="610"/>
      <c r="AX201" s="482"/>
      <c r="BG201" s="481">
        <v>9</v>
      </c>
      <c r="BH201" s="481">
        <v>10</v>
      </c>
      <c r="BI201" s="481" t="s">
        <v>833</v>
      </c>
      <c r="BK201" s="481">
        <f t="shared" si="29"/>
        <v>0</v>
      </c>
      <c r="BL201" s="481">
        <f t="shared" si="27"/>
        <v>0</v>
      </c>
      <c r="BM201" s="481">
        <v>5</v>
      </c>
      <c r="BN201" s="481">
        <v>125000</v>
      </c>
      <c r="BO201" s="481">
        <f>IF(G$35&lt;=BN201,G$35,IF(G$35&gt;BN201,BN201))</f>
        <v>0</v>
      </c>
      <c r="BQ201" s="481" t="s">
        <v>112</v>
      </c>
      <c r="BR201" s="481">
        <v>58</v>
      </c>
      <c r="BS201" s="529">
        <v>32350</v>
      </c>
      <c r="BT201" s="529">
        <v>33200</v>
      </c>
      <c r="BU201" s="529">
        <v>34050</v>
      </c>
      <c r="BV201" s="517">
        <v>40510</v>
      </c>
      <c r="BW201" s="517">
        <v>41550</v>
      </c>
      <c r="BX201" s="517">
        <v>42590</v>
      </c>
      <c r="BZ201" s="517">
        <v>40510</v>
      </c>
      <c r="CA201" s="517">
        <v>42590</v>
      </c>
      <c r="CB201" s="517">
        <v>42590</v>
      </c>
      <c r="CC201" s="481">
        <v>3</v>
      </c>
      <c r="CD201" s="611" t="s">
        <v>87</v>
      </c>
      <c r="CE201" s="519"/>
      <c r="CF201" s="519"/>
      <c r="CG201" s="519"/>
      <c r="CH201" s="507"/>
      <c r="CQ201" s="481">
        <v>3</v>
      </c>
      <c r="CR201" s="505">
        <v>44440</v>
      </c>
      <c r="CS201" s="548"/>
      <c r="CT201" s="486"/>
      <c r="CU201" s="486"/>
      <c r="CV201" s="549"/>
      <c r="CZ201" s="505"/>
      <c r="DB201" s="484"/>
      <c r="DD201" s="108"/>
      <c r="DE201" s="109"/>
      <c r="DF201" s="109"/>
      <c r="DG201" s="108"/>
      <c r="DO201" s="481">
        <v>1</v>
      </c>
      <c r="DP201" s="481" t="e">
        <f>IF(AND(BG254=2,BI248=1),VLOOKUP(BI252,#REF!,2,0),IF(AND(BG254=3,BI248=1),VLOOKUP(BI252,#REF!,2,0),IF(AND(BG254=4,BI248=1),VLOOKUP(BI252,#REF!,2,0),IF(AND(BG254=5,BI248=1),VLOOKUP(BI252,BV152:BW204,2,0),IF(AND(BG254=6,BI248=1),VLOOKUP(BI252,BZ152:CA204,2,0),IF(AND(BG254=7,BI248=1),VLOOKUP(BI252,#REF!,2,0),IF(AND(BG254=1,BI248=2),BI252,BI252)))))))</f>
        <v>#REF!</v>
      </c>
    </row>
    <row r="202" spans="21:120" s="481" customFormat="1" ht="15" hidden="1">
      <c r="U202" s="483"/>
      <c r="V202" s="483"/>
      <c r="W202" s="483"/>
      <c r="X202" s="106"/>
      <c r="Y202" s="106"/>
      <c r="Z202" s="106"/>
      <c r="AA202" s="106"/>
      <c r="AB202" s="106"/>
      <c r="AC202" s="483"/>
      <c r="AD202" s="483"/>
      <c r="AE202" s="483"/>
      <c r="AF202" s="483"/>
      <c r="AG202" s="483"/>
      <c r="AH202" s="483"/>
      <c r="BD202" s="612">
        <v>2</v>
      </c>
      <c r="BG202" s="481">
        <v>10</v>
      </c>
      <c r="BH202" s="481">
        <v>11</v>
      </c>
      <c r="BI202" s="481" t="s">
        <v>113</v>
      </c>
      <c r="BK202" s="481">
        <f t="shared" si="29"/>
        <v>0</v>
      </c>
      <c r="BL202" s="481">
        <f t="shared" si="27"/>
        <v>0</v>
      </c>
      <c r="BM202" s="481">
        <v>6</v>
      </c>
      <c r="BN202" s="481">
        <v>500000</v>
      </c>
      <c r="BO202" s="481">
        <f t="shared" si="30"/>
        <v>0</v>
      </c>
      <c r="BQ202" s="551">
        <v>450</v>
      </c>
      <c r="BR202" s="481">
        <v>59</v>
      </c>
      <c r="BS202" s="529">
        <v>33200</v>
      </c>
      <c r="BT202" s="529">
        <v>34050</v>
      </c>
      <c r="BU202" s="529">
        <v>34900</v>
      </c>
      <c r="BV202" s="517">
        <v>41550</v>
      </c>
      <c r="BW202" s="517">
        <v>42590</v>
      </c>
      <c r="BX202" s="517">
        <v>43630</v>
      </c>
      <c r="BZ202" s="517">
        <v>41550</v>
      </c>
      <c r="CA202" s="517">
        <v>43630</v>
      </c>
      <c r="CB202" s="517">
        <v>43630</v>
      </c>
      <c r="CQ202" s="481">
        <v>4</v>
      </c>
      <c r="CR202" s="505">
        <v>44470</v>
      </c>
      <c r="CS202" s="548"/>
      <c r="CT202" s="613">
        <v>5</v>
      </c>
      <c r="CU202" s="486"/>
      <c r="CV202" s="549"/>
      <c r="CZ202" s="505"/>
      <c r="DB202" s="484"/>
      <c r="DD202" s="108"/>
      <c r="DE202" s="109"/>
      <c r="DF202" s="109"/>
      <c r="DG202" s="108"/>
      <c r="DO202" s="481">
        <v>2</v>
      </c>
      <c r="DP202" s="481" t="b">
        <f>IF(AND(BG255=2,BK248=1),VLOOKUP(DP201,BS150:BT212,2,0),IF(AND(BG255=3,BK248=1),VLOOKUP(DP201,BS150:BT212,2,0),IF(AND(BG255=4,BK248=1),VLOOKUP(DP201,BS150:BT212,2,0),IF(AND(BG255=5,BK248=1),VLOOKUP(DP201,BV152:BW204,2,0),IF(AND(BG255=6,BK248=1),VLOOKUP(DP201,BZ152:CB204,2,0),IF(AND(BG255=7,BK248=1),VLOOKUP(DP201,BS150:BT212,2,0),IF(AND(BG255=1,BK248=2),"")))))))</f>
        <v>0</v>
      </c>
    </row>
    <row r="203" spans="21:120" s="481" customFormat="1" ht="15" hidden="1">
      <c r="U203" s="483"/>
      <c r="V203" s="483"/>
      <c r="W203" s="483"/>
      <c r="X203" s="106"/>
      <c r="Y203" s="106"/>
      <c r="Z203" s="106"/>
      <c r="AA203" s="106"/>
      <c r="AB203" s="106"/>
      <c r="AC203" s="483"/>
      <c r="AD203" s="483"/>
      <c r="AE203" s="483"/>
      <c r="AF203" s="483"/>
      <c r="AG203" s="483"/>
      <c r="AH203" s="483"/>
      <c r="AU203" s="614"/>
      <c r="AW203" s="614"/>
      <c r="BG203" s="481">
        <v>11</v>
      </c>
      <c r="BH203" s="481">
        <v>12</v>
      </c>
      <c r="BI203" s="481" t="s">
        <v>114</v>
      </c>
      <c r="BK203" s="481">
        <f t="shared" si="29"/>
        <v>0</v>
      </c>
      <c r="BL203" s="481">
        <f t="shared" si="27"/>
        <v>0</v>
      </c>
      <c r="BM203" s="481">
        <v>6</v>
      </c>
      <c r="BN203" s="481">
        <v>250000</v>
      </c>
      <c r="BO203" s="481">
        <f t="shared" si="30"/>
        <v>0</v>
      </c>
      <c r="BQ203" s="615">
        <v>100000</v>
      </c>
      <c r="BR203" s="481">
        <v>60</v>
      </c>
      <c r="BS203" s="529">
        <v>34050</v>
      </c>
      <c r="BT203" s="529">
        <v>34900</v>
      </c>
      <c r="BU203" s="529">
        <v>35800</v>
      </c>
      <c r="BV203" s="517">
        <v>42590</v>
      </c>
      <c r="BW203" s="517">
        <v>43630</v>
      </c>
      <c r="BX203" s="517">
        <v>44740</v>
      </c>
      <c r="BZ203" s="517">
        <v>42590</v>
      </c>
      <c r="CA203" s="517">
        <v>44740</v>
      </c>
      <c r="CB203" s="517">
        <v>44740</v>
      </c>
      <c r="CQ203" s="481">
        <v>5</v>
      </c>
      <c r="CR203" s="505">
        <v>44501</v>
      </c>
      <c r="CS203" s="616">
        <v>5</v>
      </c>
      <c r="CT203" s="486">
        <v>27</v>
      </c>
      <c r="CU203" s="486"/>
      <c r="CV203" s="549"/>
      <c r="CZ203" s="505"/>
      <c r="DB203" s="484"/>
      <c r="DD203" s="108"/>
      <c r="DE203" s="109"/>
      <c r="DF203" s="109"/>
      <c r="DG203" s="108"/>
      <c r="DO203" s="481">
        <v>3</v>
      </c>
      <c r="DP203" s="481">
        <f>IF(AND(BG256=2,BM248=1),VLOOKUP(IF(BH255="",BH254,BH255),BS150:BT212,2,0),IF(AND(BG256=3,BM248=1),VLOOKUP(IF(BH255="",BH254,BH255),BS150:BT212,2,0),IF(AND(BG256=4,BM248=1),VLOOKUP(IF(BH255="",BH254,BH255),BS150:BT212,2,0),IF(AND(BG256=5,BM248=1),VLOOKUP(IF(BH255="",BH254,BH255),BV152:BW204,2,0),IF(AND(BG256=6,BM248=1),VLOOKUP(IF(BH255="",BH254,BH255),BZ152:CB204,2,0),IF(AND(BG256=7,BM248=1),VLOOKUP(IF(BH255="",BH254,BH255),BS150:BT212,2,0),IF(AND(BG256=1,BM248=2),"",BH254)))))))</f>
        <v>10300</v>
      </c>
    </row>
    <row r="204" spans="21:120" s="481" customFormat="1" ht="15.75" hidden="1">
      <c r="U204" s="483"/>
      <c r="V204" s="483"/>
      <c r="W204" s="483"/>
      <c r="X204" s="106"/>
      <c r="Y204" s="106"/>
      <c r="Z204" s="106"/>
      <c r="AA204" s="106"/>
      <c r="AB204" s="106"/>
      <c r="AC204" s="483"/>
      <c r="AD204" s="483"/>
      <c r="AE204" s="483"/>
      <c r="AF204" s="483"/>
      <c r="AG204" s="483"/>
      <c r="AH204" s="483"/>
      <c r="BA204" s="1921" t="s">
        <v>748</v>
      </c>
      <c r="BB204" s="1921"/>
      <c r="BC204" s="1921"/>
      <c r="BG204" s="481">
        <v>12</v>
      </c>
      <c r="BH204" s="481">
        <v>13</v>
      </c>
      <c r="BI204" s="481" t="s">
        <v>115</v>
      </c>
      <c r="BK204" s="481">
        <f t="shared" si="29"/>
        <v>0</v>
      </c>
      <c r="BL204" s="481">
        <f t="shared" si="27"/>
        <v>0</v>
      </c>
      <c r="BM204" s="481">
        <v>6</v>
      </c>
      <c r="BN204" s="481">
        <v>500000</v>
      </c>
      <c r="BO204" s="481">
        <f t="shared" si="30"/>
        <v>0</v>
      </c>
      <c r="BQ204" s="615">
        <v>100000</v>
      </c>
      <c r="BR204" s="481">
        <v>61</v>
      </c>
      <c r="BS204" s="529">
        <v>34900</v>
      </c>
      <c r="BT204" s="529">
        <v>35800</v>
      </c>
      <c r="BU204" s="529">
        <v>36700</v>
      </c>
      <c r="BV204" s="517">
        <v>43630</v>
      </c>
      <c r="BW204" s="517">
        <v>44740</v>
      </c>
      <c r="BX204" s="604">
        <v>45850</v>
      </c>
      <c r="BZ204" s="517">
        <v>43630</v>
      </c>
      <c r="CA204" s="517">
        <v>45850</v>
      </c>
      <c r="CB204" s="517">
        <v>45850</v>
      </c>
      <c r="CQ204" s="481">
        <v>6</v>
      </c>
      <c r="CR204" s="505">
        <v>44531</v>
      </c>
      <c r="CS204" s="617">
        <v>43831</v>
      </c>
      <c r="CT204" s="496">
        <f>VLOOKUP(CS203,CQ199:CR207,2,FALSE)</f>
        <v>44501</v>
      </c>
      <c r="CU204" s="486"/>
      <c r="CV204" s="549"/>
      <c r="CZ204" s="505"/>
      <c r="DB204" s="484"/>
      <c r="DD204" s="108"/>
      <c r="DE204" s="109"/>
      <c r="DF204" s="109"/>
      <c r="DG204" s="108"/>
    </row>
    <row r="205" spans="21:120" s="481" customFormat="1" ht="15" hidden="1">
      <c r="U205" s="483"/>
      <c r="V205" s="483"/>
      <c r="W205" s="483"/>
      <c r="X205" s="106"/>
      <c r="Y205" s="106"/>
      <c r="Z205" s="106"/>
      <c r="AA205" s="106"/>
      <c r="AB205" s="106"/>
      <c r="AC205" s="483"/>
      <c r="AD205" s="483"/>
      <c r="AE205" s="483"/>
      <c r="AF205" s="483"/>
      <c r="AG205" s="483"/>
      <c r="AH205" s="483"/>
      <c r="AT205" s="532"/>
      <c r="AZ205" s="481">
        <v>1</v>
      </c>
      <c r="BA205" s="618" t="s">
        <v>743</v>
      </c>
      <c r="BG205" s="481">
        <v>13</v>
      </c>
      <c r="BH205" s="481">
        <v>14</v>
      </c>
      <c r="BI205" s="481" t="s">
        <v>116</v>
      </c>
      <c r="BK205" s="481">
        <f t="shared" si="29"/>
        <v>0</v>
      </c>
      <c r="BL205" s="481">
        <f t="shared" si="27"/>
        <v>0</v>
      </c>
      <c r="BM205" s="481">
        <v>7</v>
      </c>
      <c r="BN205" s="481">
        <v>500000</v>
      </c>
      <c r="BO205" s="481">
        <f t="shared" si="30"/>
        <v>0</v>
      </c>
      <c r="BQ205" s="615">
        <v>100000</v>
      </c>
      <c r="BR205" s="481">
        <v>62</v>
      </c>
      <c r="BS205" s="529">
        <v>35800</v>
      </c>
      <c r="BT205" s="529">
        <v>36700</v>
      </c>
      <c r="BU205" s="529">
        <v>37600</v>
      </c>
      <c r="BV205" s="619"/>
      <c r="BW205" s="619"/>
      <c r="BX205" s="619"/>
      <c r="BZ205" s="619"/>
      <c r="CA205" s="619"/>
      <c r="CB205" s="619"/>
      <c r="CQ205" s="481">
        <v>7</v>
      </c>
      <c r="CR205" s="505">
        <v>44562</v>
      </c>
      <c r="CS205" s="548"/>
      <c r="CT205" s="486"/>
      <c r="CU205" s="486"/>
      <c r="CV205" s="549"/>
      <c r="CZ205" s="505"/>
      <c r="DB205" s="484"/>
      <c r="DD205" s="108"/>
      <c r="DE205" s="109"/>
      <c r="DF205" s="109"/>
      <c r="DG205" s="108"/>
    </row>
    <row r="206" spans="21:120" s="481" customFormat="1" ht="15" hidden="1">
      <c r="U206" s="483"/>
      <c r="V206" s="483"/>
      <c r="W206" s="483"/>
      <c r="X206" s="106"/>
      <c r="Y206" s="106"/>
      <c r="Z206" s="106"/>
      <c r="AA206" s="106"/>
      <c r="AB206" s="106"/>
      <c r="AC206" s="483"/>
      <c r="AD206" s="483"/>
      <c r="AE206" s="483"/>
      <c r="AF206" s="483"/>
      <c r="AG206" s="483"/>
      <c r="AH206" s="483"/>
      <c r="AT206" s="620"/>
      <c r="AU206" s="620"/>
      <c r="AZ206" s="481">
        <v>2</v>
      </c>
      <c r="BA206" s="618" t="s">
        <v>744</v>
      </c>
      <c r="BG206" s="481">
        <v>14</v>
      </c>
      <c r="BH206" s="481">
        <v>15</v>
      </c>
      <c r="BI206" s="481" t="s">
        <v>850</v>
      </c>
      <c r="BK206" s="481">
        <f>IF(G$33&lt;=BN206,G$33,IF(G$33&gt;BN206,BN206))</f>
        <v>0</v>
      </c>
      <c r="BL206" s="481">
        <f t="shared" si="27"/>
        <v>0</v>
      </c>
      <c r="BM206" s="481">
        <v>8</v>
      </c>
      <c r="BN206" s="481">
        <v>50000</v>
      </c>
      <c r="BO206" s="481">
        <f>IF(G$35&lt;=BN206,G$35,IF(G$35&gt;BN206,BN206))</f>
        <v>0</v>
      </c>
      <c r="BQ206" s="615">
        <v>100000</v>
      </c>
      <c r="BR206" s="481">
        <v>63</v>
      </c>
      <c r="BS206" s="529">
        <v>36700</v>
      </c>
      <c r="BT206" s="529">
        <v>37600</v>
      </c>
      <c r="BU206" s="529">
        <v>38570</v>
      </c>
      <c r="BZ206" s="621"/>
      <c r="CA206" s="621"/>
      <c r="CB206" s="621"/>
      <c r="CQ206" s="481">
        <v>8</v>
      </c>
      <c r="CR206" s="505">
        <v>44593</v>
      </c>
      <c r="CS206" s="548"/>
      <c r="CT206" s="486"/>
      <c r="CU206" s="486"/>
      <c r="CV206" s="549"/>
      <c r="DB206" s="484"/>
      <c r="DD206" s="108"/>
      <c r="DE206" s="109"/>
      <c r="DF206" s="109"/>
      <c r="DG206" s="108"/>
    </row>
    <row r="207" spans="21:120" s="481" customFormat="1" ht="15" hidden="1">
      <c r="U207" s="483"/>
      <c r="V207" s="483"/>
      <c r="W207" s="483"/>
      <c r="X207" s="106"/>
      <c r="Y207" s="106"/>
      <c r="Z207" s="106"/>
      <c r="AA207" s="106"/>
      <c r="AB207" s="106"/>
      <c r="AC207" s="483"/>
      <c r="AD207" s="483"/>
      <c r="AE207" s="483"/>
      <c r="AF207" s="483"/>
      <c r="AG207" s="483"/>
      <c r="AH207" s="483"/>
      <c r="AR207" s="505"/>
      <c r="AZ207" s="481">
        <v>3</v>
      </c>
      <c r="BA207" s="481" t="s">
        <v>745</v>
      </c>
      <c r="BG207" s="481">
        <v>15</v>
      </c>
      <c r="BH207" s="481">
        <v>16</v>
      </c>
      <c r="BI207" s="481" t="s">
        <v>851</v>
      </c>
      <c r="BJ207" s="486"/>
      <c r="BK207" s="486">
        <f>IF(G$33&lt;=BN207,G$33,IF(G$33&gt;BN207,BN207))</f>
        <v>0</v>
      </c>
      <c r="BL207" s="486">
        <f t="shared" si="27"/>
        <v>0</v>
      </c>
      <c r="BM207" s="486">
        <v>9</v>
      </c>
      <c r="BN207" s="481">
        <v>150000</v>
      </c>
      <c r="BO207" s="481">
        <f>IF(G$35&lt;=BN207,G$35,IF(G$35&gt;BN207,BN207))</f>
        <v>0</v>
      </c>
      <c r="BQ207" s="615">
        <v>100000</v>
      </c>
      <c r="BR207" s="481">
        <v>64</v>
      </c>
      <c r="BS207" s="529">
        <v>37600</v>
      </c>
      <c r="BT207" s="529">
        <v>38570</v>
      </c>
      <c r="BU207" s="529">
        <v>39540</v>
      </c>
      <c r="CQ207" s="481">
        <v>9</v>
      </c>
      <c r="CR207" s="505" t="s">
        <v>376</v>
      </c>
      <c r="CS207" s="559"/>
      <c r="CT207" s="569"/>
      <c r="CU207" s="569"/>
      <c r="CV207" s="560"/>
      <c r="DB207" s="484"/>
      <c r="DD207" s="108"/>
      <c r="DE207" s="109"/>
      <c r="DF207" s="109"/>
      <c r="DG207" s="108"/>
    </row>
    <row r="208" spans="21:120" s="481" customFormat="1" ht="15" hidden="1">
      <c r="U208" s="483"/>
      <c r="V208" s="483"/>
      <c r="W208" s="483"/>
      <c r="X208" s="106"/>
      <c r="Y208" s="106"/>
      <c r="Z208" s="106"/>
      <c r="AA208" s="106"/>
      <c r="AB208" s="106"/>
      <c r="AC208" s="483"/>
      <c r="AD208" s="483"/>
      <c r="AE208" s="483"/>
      <c r="AF208" s="483"/>
      <c r="AG208" s="483"/>
      <c r="AH208" s="483"/>
      <c r="AR208" s="505"/>
      <c r="AZ208" s="481">
        <v>4</v>
      </c>
      <c r="BA208" s="481" t="s">
        <v>746</v>
      </c>
      <c r="BJ208" s="486"/>
      <c r="BK208" s="486"/>
      <c r="BL208" s="486"/>
      <c r="BM208" s="486"/>
      <c r="BQ208" s="615">
        <v>100000</v>
      </c>
      <c r="BR208" s="481">
        <v>65</v>
      </c>
      <c r="BS208" s="529">
        <v>38570</v>
      </c>
      <c r="BT208" s="529">
        <v>39540</v>
      </c>
      <c r="BU208" s="529">
        <v>40510</v>
      </c>
      <c r="DB208" s="484"/>
      <c r="DD208" s="108"/>
      <c r="DE208" s="109"/>
      <c r="DF208" s="109"/>
      <c r="DG208" s="108"/>
    </row>
    <row r="209" spans="21:174" s="481" customFormat="1" ht="15" hidden="1">
      <c r="U209" s="483"/>
      <c r="V209" s="483"/>
      <c r="W209" s="483"/>
      <c r="X209" s="106"/>
      <c r="Y209" s="106"/>
      <c r="Z209" s="106"/>
      <c r="AA209" s="106"/>
      <c r="AB209" s="106"/>
      <c r="AC209" s="483"/>
      <c r="AD209" s="483"/>
      <c r="AE209" s="483"/>
      <c r="AF209" s="483"/>
      <c r="AG209" s="483"/>
      <c r="AH209" s="483"/>
      <c r="AR209" s="505"/>
      <c r="BA209" s="581">
        <v>1</v>
      </c>
      <c r="BB209" s="481" t="str">
        <f>VLOOKUP(BA209,AZ205:BA208,2,TRUE)</f>
        <v>Income From other sources</v>
      </c>
      <c r="BQ209" s="615">
        <v>100000</v>
      </c>
      <c r="BR209" s="481">
        <v>66</v>
      </c>
      <c r="BS209" s="529">
        <v>39540</v>
      </c>
      <c r="BT209" s="529">
        <v>40510</v>
      </c>
      <c r="BU209" s="529">
        <v>41550</v>
      </c>
      <c r="DB209" s="484"/>
      <c r="DD209" s="108"/>
      <c r="DE209" s="109"/>
      <c r="DF209" s="109"/>
      <c r="DG209" s="108"/>
    </row>
    <row r="210" spans="21:174" s="481" customFormat="1" ht="15" hidden="1">
      <c r="U210" s="483"/>
      <c r="V210" s="483"/>
      <c r="W210" s="483"/>
      <c r="X210" s="106"/>
      <c r="Y210" s="106"/>
      <c r="Z210" s="106"/>
      <c r="AA210" s="106"/>
      <c r="AB210" s="106"/>
      <c r="AC210" s="483"/>
      <c r="AD210" s="483"/>
      <c r="AE210" s="483"/>
      <c r="AF210" s="483"/>
      <c r="AG210" s="483"/>
      <c r="AH210" s="483"/>
      <c r="AR210" s="505"/>
      <c r="BA210" s="581">
        <v>2</v>
      </c>
      <c r="BB210" s="481" t="str">
        <f>VLOOKUP(BA210,AZ205:BA208,2,TRUE)</f>
        <v>Income From Capital Gains</v>
      </c>
      <c r="BF210" s="622"/>
      <c r="BI210" s="487">
        <v>2</v>
      </c>
      <c r="BJ210" s="509" t="s">
        <v>117</v>
      </c>
      <c r="BK210" s="509" t="e">
        <f>VLOOKUP(BO189,BI192:BM207,5,0)</f>
        <v>#N/A</v>
      </c>
      <c r="BL210" s="488" t="e">
        <f>VLOOKUP(BK210,BI$210:BJ$218,2,0)</f>
        <v>#N/A</v>
      </c>
      <c r="BQ210" s="615">
        <v>100000</v>
      </c>
      <c r="BR210" s="481">
        <v>67</v>
      </c>
      <c r="BS210" s="529">
        <v>40510</v>
      </c>
      <c r="BT210" s="529">
        <v>41550</v>
      </c>
      <c r="BU210" s="623">
        <v>42590</v>
      </c>
      <c r="DB210" s="484"/>
      <c r="DD210" s="108"/>
      <c r="DE210" s="109"/>
      <c r="DF210" s="109"/>
      <c r="DG210" s="108"/>
    </row>
    <row r="211" spans="21:174" s="481" customFormat="1" ht="15" hidden="1">
      <c r="U211" s="483"/>
      <c r="V211" s="483"/>
      <c r="W211" s="483"/>
      <c r="X211" s="106"/>
      <c r="Y211" s="106"/>
      <c r="Z211" s="106"/>
      <c r="AA211" s="106"/>
      <c r="AB211" s="106"/>
      <c r="AC211" s="483"/>
      <c r="AD211" s="483"/>
      <c r="AE211" s="483"/>
      <c r="AF211" s="483"/>
      <c r="AG211" s="483"/>
      <c r="AH211" s="483"/>
      <c r="AR211" s="505"/>
      <c r="BI211" s="489">
        <v>3</v>
      </c>
      <c r="BJ211" s="486" t="s">
        <v>118</v>
      </c>
      <c r="BK211" s="486">
        <f>VLOOKUP(BO190,BI192:BN207,5,0)</f>
        <v>8</v>
      </c>
      <c r="BL211" s="490" t="str">
        <f>VLOOKUP(BK211,BI$210:BJ$218,2,0)</f>
        <v>80EE</v>
      </c>
      <c r="BQ211" s="615"/>
      <c r="BR211" s="481">
        <v>68</v>
      </c>
      <c r="BS211" s="529">
        <v>41550</v>
      </c>
      <c r="BT211" s="624">
        <v>42590</v>
      </c>
      <c r="BU211" s="500">
        <v>43630</v>
      </c>
      <c r="DB211" s="484"/>
      <c r="DD211" s="108"/>
      <c r="DE211" s="109"/>
      <c r="DF211" s="109"/>
      <c r="DG211" s="108"/>
    </row>
    <row r="212" spans="21:174" s="481" customFormat="1" ht="15" hidden="1">
      <c r="U212" s="483"/>
      <c r="V212" s="483"/>
      <c r="W212" s="483"/>
      <c r="X212" s="106"/>
      <c r="Y212" s="106"/>
      <c r="Z212" s="106"/>
      <c r="AA212" s="106"/>
      <c r="AB212" s="106"/>
      <c r="AC212" s="483"/>
      <c r="AD212" s="483"/>
      <c r="AE212" s="483"/>
      <c r="AF212" s="483"/>
      <c r="AG212" s="483"/>
      <c r="AH212" s="483"/>
      <c r="AR212" s="505"/>
      <c r="BI212" s="489">
        <v>4</v>
      </c>
      <c r="BJ212" s="486" t="s">
        <v>119</v>
      </c>
      <c r="BK212" s="486">
        <f>VLOOKUP(BO191,BI192:BN207,5,0)</f>
        <v>9</v>
      </c>
      <c r="BL212" s="490" t="str">
        <f>VLOOKUP(BK212,BI$210:BJ$218,2,0)</f>
        <v>80EEA</v>
      </c>
      <c r="BO212" s="581">
        <v>2</v>
      </c>
      <c r="BQ212" s="611">
        <v>150000</v>
      </c>
      <c r="BR212" s="481">
        <v>69</v>
      </c>
      <c r="BS212" s="529">
        <v>42590</v>
      </c>
      <c r="BT212" s="625">
        <v>43630</v>
      </c>
      <c r="BU212" s="500">
        <v>44740</v>
      </c>
      <c r="DB212" s="484"/>
      <c r="DD212" s="108"/>
      <c r="DE212" s="109"/>
      <c r="DF212" s="109"/>
      <c r="DG212" s="108"/>
    </row>
    <row r="213" spans="21:174" s="481" customFormat="1" ht="15" hidden="1">
      <c r="U213" s="483"/>
      <c r="V213" s="483"/>
      <c r="W213" s="483"/>
      <c r="X213" s="106"/>
      <c r="Y213" s="106"/>
      <c r="Z213" s="106"/>
      <c r="AA213" s="106"/>
      <c r="AB213" s="106"/>
      <c r="AC213" s="483"/>
      <c r="AD213" s="483"/>
      <c r="AE213" s="483"/>
      <c r="AF213" s="483"/>
      <c r="AG213" s="483"/>
      <c r="AH213" s="483"/>
      <c r="AR213" s="505"/>
      <c r="BI213" s="489">
        <v>5</v>
      </c>
      <c r="BJ213" s="486" t="s">
        <v>120</v>
      </c>
      <c r="BK213" s="486"/>
      <c r="BL213" s="490"/>
      <c r="BO213" s="481">
        <f>IF(BO212=1,200000,IF(BO212=2,250000,350000))</f>
        <v>250000</v>
      </c>
      <c r="BR213" s="481">
        <v>70</v>
      </c>
      <c r="BS213" s="626">
        <v>43630</v>
      </c>
      <c r="BT213" s="626">
        <v>44740</v>
      </c>
      <c r="BU213" s="627">
        <v>45850</v>
      </c>
      <c r="DB213" s="484"/>
      <c r="DD213" s="108"/>
      <c r="DE213" s="109"/>
      <c r="DF213" s="109"/>
      <c r="DG213" s="108"/>
    </row>
    <row r="214" spans="21:174" s="481" customFormat="1" ht="15" hidden="1">
      <c r="U214" s="483"/>
      <c r="V214" s="483"/>
      <c r="W214" s="483"/>
      <c r="X214" s="106"/>
      <c r="Y214" s="106"/>
      <c r="Z214" s="106"/>
      <c r="AA214" s="106"/>
      <c r="AB214" s="106"/>
      <c r="AC214" s="483"/>
      <c r="AD214" s="483"/>
      <c r="AE214" s="483"/>
      <c r="AF214" s="483"/>
      <c r="AG214" s="483"/>
      <c r="AH214" s="483"/>
      <c r="AR214" s="505"/>
      <c r="BI214" s="489">
        <v>6</v>
      </c>
      <c r="BJ214" s="486" t="s">
        <v>121</v>
      </c>
      <c r="BK214" s="486"/>
      <c r="BL214" s="490"/>
      <c r="BR214" s="481">
        <v>71</v>
      </c>
      <c r="BS214" s="626">
        <v>44740</v>
      </c>
      <c r="BT214" s="627">
        <v>45850</v>
      </c>
      <c r="BU214" s="626">
        <v>46960</v>
      </c>
      <c r="BW214" s="481">
        <v>0</v>
      </c>
      <c r="BX214" s="481">
        <v>1</v>
      </c>
      <c r="BY214" s="481">
        <v>2</v>
      </c>
      <c r="BZ214" s="481">
        <v>3</v>
      </c>
      <c r="CA214" s="481">
        <v>4</v>
      </c>
      <c r="CB214" s="481">
        <v>5</v>
      </c>
      <c r="CC214" s="481">
        <v>6</v>
      </c>
      <c r="CD214" s="481">
        <v>7</v>
      </c>
      <c r="CE214" s="481">
        <v>8</v>
      </c>
      <c r="CF214" s="481">
        <v>9</v>
      </c>
      <c r="CG214" s="481">
        <v>10</v>
      </c>
      <c r="CH214" s="481">
        <v>11</v>
      </c>
      <c r="CI214" s="481">
        <v>12</v>
      </c>
      <c r="CJ214" s="481">
        <v>13</v>
      </c>
      <c r="CK214" s="481">
        <v>14</v>
      </c>
      <c r="CL214" s="481">
        <v>15</v>
      </c>
      <c r="CM214" s="481">
        <v>16</v>
      </c>
      <c r="CN214" s="481">
        <v>17</v>
      </c>
      <c r="CO214" s="481">
        <v>18</v>
      </c>
      <c r="CP214" s="481">
        <v>19</v>
      </c>
      <c r="CQ214" s="481">
        <v>20</v>
      </c>
      <c r="CR214" s="481">
        <v>21</v>
      </c>
      <c r="CS214" s="481">
        <v>22</v>
      </c>
      <c r="CT214" s="481">
        <v>23</v>
      </c>
      <c r="CU214" s="481">
        <v>24</v>
      </c>
      <c r="CV214" s="481">
        <v>25</v>
      </c>
      <c r="CW214" s="481">
        <v>26</v>
      </c>
      <c r="CX214" s="481">
        <v>27</v>
      </c>
      <c r="CY214" s="481">
        <v>28</v>
      </c>
      <c r="CZ214" s="481">
        <v>29</v>
      </c>
      <c r="DA214" s="481">
        <v>30</v>
      </c>
      <c r="DB214" s="484">
        <v>31</v>
      </c>
      <c r="DC214" s="481">
        <v>32</v>
      </c>
      <c r="DD214" s="108">
        <v>33</v>
      </c>
      <c r="DE214" s="109">
        <v>34</v>
      </c>
      <c r="DF214" s="109">
        <v>35</v>
      </c>
      <c r="DG214" s="108">
        <v>36</v>
      </c>
      <c r="DH214" s="481">
        <v>37</v>
      </c>
      <c r="DI214" s="481">
        <v>38</v>
      </c>
      <c r="DJ214" s="481">
        <v>39</v>
      </c>
      <c r="DK214" s="481">
        <v>40</v>
      </c>
      <c r="DL214" s="481">
        <v>41</v>
      </c>
      <c r="DM214" s="481">
        <v>42</v>
      </c>
      <c r="DN214" s="481">
        <v>43</v>
      </c>
      <c r="DO214" s="481">
        <v>44</v>
      </c>
      <c r="DP214" s="481">
        <v>45</v>
      </c>
      <c r="DQ214" s="481">
        <v>46</v>
      </c>
      <c r="DR214" s="481">
        <v>47</v>
      </c>
      <c r="DS214" s="481">
        <v>48</v>
      </c>
      <c r="DT214" s="481">
        <v>49</v>
      </c>
      <c r="DU214" s="481">
        <v>50</v>
      </c>
      <c r="DV214" s="481">
        <v>51</v>
      </c>
      <c r="DW214" s="481">
        <v>52</v>
      </c>
      <c r="DX214" s="481">
        <v>53</v>
      </c>
      <c r="DY214" s="481">
        <v>54</v>
      </c>
      <c r="DZ214" s="481">
        <v>55</v>
      </c>
      <c r="EA214" s="481">
        <v>56</v>
      </c>
      <c r="EB214" s="481">
        <v>57</v>
      </c>
      <c r="EC214" s="481">
        <v>58</v>
      </c>
      <c r="ED214" s="481">
        <v>59</v>
      </c>
      <c r="EE214" s="481">
        <v>60</v>
      </c>
      <c r="EF214" s="481">
        <v>61</v>
      </c>
      <c r="EG214" s="481">
        <v>62</v>
      </c>
      <c r="EH214" s="481">
        <v>63</v>
      </c>
      <c r="EI214" s="481">
        <v>64</v>
      </c>
      <c r="EJ214" s="481">
        <v>65</v>
      </c>
      <c r="EK214" s="481">
        <v>66</v>
      </c>
      <c r="EL214" s="481">
        <v>67</v>
      </c>
      <c r="EM214" s="481">
        <v>68</v>
      </c>
      <c r="EN214" s="481">
        <v>69</v>
      </c>
      <c r="EO214" s="481">
        <v>70</v>
      </c>
      <c r="EP214" s="481">
        <v>71</v>
      </c>
      <c r="EQ214" s="481">
        <v>72</v>
      </c>
      <c r="ER214" s="481">
        <v>73</v>
      </c>
      <c r="ES214" s="481">
        <v>74</v>
      </c>
      <c r="ET214" s="481">
        <v>75</v>
      </c>
      <c r="EU214" s="481">
        <v>76</v>
      </c>
      <c r="EV214" s="481">
        <v>77</v>
      </c>
      <c r="EW214" s="481">
        <v>78</v>
      </c>
      <c r="EX214" s="481">
        <v>79</v>
      </c>
      <c r="EY214" s="481">
        <v>80</v>
      </c>
      <c r="EZ214" s="481">
        <v>81</v>
      </c>
      <c r="FA214" s="481">
        <v>82</v>
      </c>
      <c r="FB214" s="481">
        <v>83</v>
      </c>
      <c r="FC214" s="481">
        <v>84</v>
      </c>
      <c r="FD214" s="481">
        <v>85</v>
      </c>
      <c r="FE214" s="481">
        <v>86</v>
      </c>
      <c r="FF214" s="481">
        <v>87</v>
      </c>
      <c r="FG214" s="481">
        <v>88</v>
      </c>
      <c r="FH214" s="481">
        <v>89</v>
      </c>
      <c r="FI214" s="481">
        <v>90</v>
      </c>
      <c r="FJ214" s="481">
        <v>91</v>
      </c>
      <c r="FK214" s="481">
        <v>92</v>
      </c>
      <c r="FL214" s="481">
        <v>93</v>
      </c>
      <c r="FM214" s="481">
        <v>94</v>
      </c>
      <c r="FN214" s="481">
        <v>95</v>
      </c>
      <c r="FO214" s="481">
        <v>96</v>
      </c>
      <c r="FP214" s="481">
        <v>97</v>
      </c>
      <c r="FQ214" s="481">
        <v>98</v>
      </c>
      <c r="FR214" s="481">
        <v>99</v>
      </c>
    </row>
    <row r="215" spans="21:174" s="481" customFormat="1" ht="15" hidden="1">
      <c r="U215" s="483"/>
      <c r="V215" s="483"/>
      <c r="W215" s="483"/>
      <c r="X215" s="106"/>
      <c r="Y215" s="106"/>
      <c r="Z215" s="106"/>
      <c r="AA215" s="106"/>
      <c r="AB215" s="106"/>
      <c r="AC215" s="483"/>
      <c r="AD215" s="483"/>
      <c r="AE215" s="483"/>
      <c r="AF215" s="483"/>
      <c r="AG215" s="483"/>
      <c r="AH215" s="483"/>
      <c r="AR215" s="505"/>
      <c r="BI215" s="506">
        <v>7</v>
      </c>
      <c r="BJ215" s="519" t="s">
        <v>122</v>
      </c>
      <c r="BK215" s="519"/>
      <c r="BL215" s="507"/>
      <c r="BR215" s="481">
        <v>72</v>
      </c>
      <c r="BS215" s="627">
        <v>45850</v>
      </c>
      <c r="BT215" s="626">
        <v>46960</v>
      </c>
      <c r="BU215" s="627">
        <v>48070</v>
      </c>
      <c r="BW215" s="481" t="s">
        <v>123</v>
      </c>
      <c r="BX215" s="481" t="s">
        <v>124</v>
      </c>
      <c r="BY215" s="481" t="s">
        <v>125</v>
      </c>
      <c r="BZ215" s="481" t="s">
        <v>126</v>
      </c>
      <c r="CA215" s="481" t="s">
        <v>127</v>
      </c>
      <c r="CB215" s="481" t="s">
        <v>128</v>
      </c>
      <c r="CC215" s="481" t="s">
        <v>129</v>
      </c>
      <c r="CD215" s="481" t="s">
        <v>130</v>
      </c>
      <c r="CE215" s="481" t="s">
        <v>131</v>
      </c>
      <c r="CF215" s="481" t="s">
        <v>132</v>
      </c>
      <c r="CG215" s="481" t="s">
        <v>133</v>
      </c>
      <c r="CH215" s="481" t="s">
        <v>134</v>
      </c>
      <c r="CI215" s="481" t="s">
        <v>135</v>
      </c>
      <c r="CJ215" s="481" t="s">
        <v>136</v>
      </c>
      <c r="CK215" s="481" t="s">
        <v>137</v>
      </c>
      <c r="CL215" s="481" t="s">
        <v>138</v>
      </c>
      <c r="CM215" s="481" t="s">
        <v>139</v>
      </c>
      <c r="CN215" s="481" t="s">
        <v>140</v>
      </c>
      <c r="CO215" s="481" t="s">
        <v>141</v>
      </c>
      <c r="CP215" s="481" t="s">
        <v>142</v>
      </c>
      <c r="CQ215" s="481" t="s">
        <v>143</v>
      </c>
      <c r="CR215" s="481" t="s">
        <v>144</v>
      </c>
      <c r="CS215" s="481" t="s">
        <v>145</v>
      </c>
      <c r="CT215" s="481" t="s">
        <v>146</v>
      </c>
      <c r="CU215" s="481" t="s">
        <v>147</v>
      </c>
      <c r="CV215" s="481" t="s">
        <v>148</v>
      </c>
      <c r="CW215" s="481" t="s">
        <v>149</v>
      </c>
      <c r="CX215" s="481" t="s">
        <v>150</v>
      </c>
      <c r="CY215" s="481" t="s">
        <v>151</v>
      </c>
      <c r="CZ215" s="481" t="s">
        <v>152</v>
      </c>
      <c r="DA215" s="481" t="s">
        <v>153</v>
      </c>
      <c r="DB215" s="484" t="s">
        <v>154</v>
      </c>
      <c r="DC215" s="481" t="s">
        <v>155</v>
      </c>
      <c r="DD215" s="108" t="s">
        <v>156</v>
      </c>
      <c r="DE215" s="109" t="s">
        <v>157</v>
      </c>
      <c r="DF215" s="109" t="s">
        <v>158</v>
      </c>
      <c r="DG215" s="108" t="s">
        <v>159</v>
      </c>
      <c r="DH215" s="481" t="s">
        <v>160</v>
      </c>
      <c r="DI215" s="481" t="s">
        <v>161</v>
      </c>
      <c r="DJ215" s="481" t="s">
        <v>162</v>
      </c>
      <c r="DK215" s="481" t="s">
        <v>163</v>
      </c>
      <c r="DL215" s="481" t="s">
        <v>164</v>
      </c>
      <c r="DM215" s="481" t="s">
        <v>165</v>
      </c>
      <c r="DN215" s="481" t="s">
        <v>166</v>
      </c>
      <c r="DO215" s="481" t="s">
        <v>167</v>
      </c>
      <c r="DP215" s="481" t="s">
        <v>168</v>
      </c>
      <c r="DQ215" s="481" t="s">
        <v>169</v>
      </c>
      <c r="DR215" s="481" t="s">
        <v>780</v>
      </c>
      <c r="DS215" s="481" t="s">
        <v>781</v>
      </c>
      <c r="DT215" s="481" t="s">
        <v>782</v>
      </c>
      <c r="DU215" s="481" t="s">
        <v>170</v>
      </c>
      <c r="DV215" s="481" t="s">
        <v>171</v>
      </c>
      <c r="DW215" s="481" t="s">
        <v>172</v>
      </c>
      <c r="DX215" s="481" t="s">
        <v>173</v>
      </c>
      <c r="DY215" s="481" t="s">
        <v>174</v>
      </c>
      <c r="DZ215" s="481" t="s">
        <v>175</v>
      </c>
      <c r="EA215" s="481" t="s">
        <v>176</v>
      </c>
      <c r="EB215" s="481" t="s">
        <v>177</v>
      </c>
      <c r="EC215" s="481" t="s">
        <v>178</v>
      </c>
      <c r="ED215" s="481" t="s">
        <v>179</v>
      </c>
      <c r="EE215" s="481" t="s">
        <v>180</v>
      </c>
      <c r="EF215" s="481" t="s">
        <v>181</v>
      </c>
      <c r="EG215" s="481" t="s">
        <v>182</v>
      </c>
      <c r="EH215" s="481" t="s">
        <v>183</v>
      </c>
      <c r="EI215" s="481" t="s">
        <v>184</v>
      </c>
      <c r="EJ215" s="481" t="s">
        <v>185</v>
      </c>
      <c r="EK215" s="481" t="s">
        <v>186</v>
      </c>
      <c r="EL215" s="481" t="s">
        <v>187</v>
      </c>
      <c r="EM215" s="481" t="s">
        <v>188</v>
      </c>
      <c r="EN215" s="481" t="s">
        <v>189</v>
      </c>
      <c r="EO215" s="481" t="s">
        <v>190</v>
      </c>
      <c r="EP215" s="481" t="s">
        <v>191</v>
      </c>
      <c r="EQ215" s="481" t="s">
        <v>192</v>
      </c>
      <c r="ER215" s="481" t="s">
        <v>193</v>
      </c>
      <c r="ES215" s="481" t="s">
        <v>194</v>
      </c>
      <c r="ET215" s="481" t="s">
        <v>195</v>
      </c>
      <c r="EU215" s="481" t="s">
        <v>196</v>
      </c>
      <c r="EV215" s="481" t="s">
        <v>197</v>
      </c>
      <c r="EW215" s="481" t="s">
        <v>198</v>
      </c>
      <c r="EX215" s="481" t="s">
        <v>199</v>
      </c>
      <c r="EY215" s="481" t="s">
        <v>200</v>
      </c>
      <c r="EZ215" s="481" t="s">
        <v>201</v>
      </c>
      <c r="FA215" s="481" t="s">
        <v>202</v>
      </c>
      <c r="FB215" s="481" t="s">
        <v>203</v>
      </c>
      <c r="FC215" s="481" t="s">
        <v>204</v>
      </c>
      <c r="FD215" s="481" t="s">
        <v>205</v>
      </c>
      <c r="FE215" s="481" t="s">
        <v>206</v>
      </c>
      <c r="FF215" s="481" t="s">
        <v>207</v>
      </c>
      <c r="FG215" s="481" t="s">
        <v>208</v>
      </c>
      <c r="FH215" s="481" t="s">
        <v>209</v>
      </c>
      <c r="FI215" s="481" t="s">
        <v>210</v>
      </c>
      <c r="FJ215" s="481" t="s">
        <v>211</v>
      </c>
      <c r="FK215" s="481" t="s">
        <v>212</v>
      </c>
      <c r="FL215" s="481" t="s">
        <v>213</v>
      </c>
      <c r="FM215" s="481" t="s">
        <v>214</v>
      </c>
      <c r="FN215" s="481" t="s">
        <v>215</v>
      </c>
      <c r="FO215" s="481" t="s">
        <v>216</v>
      </c>
      <c r="FP215" s="481" t="s">
        <v>217</v>
      </c>
      <c r="FQ215" s="481" t="s">
        <v>218</v>
      </c>
      <c r="FR215" s="481" t="s">
        <v>219</v>
      </c>
    </row>
    <row r="216" spans="21:174" s="481" customFormat="1" ht="15" hidden="1">
      <c r="U216" s="483"/>
      <c r="V216" s="483"/>
      <c r="W216" s="483"/>
      <c r="X216" s="106"/>
      <c r="Y216" s="106"/>
      <c r="Z216" s="106"/>
      <c r="AA216" s="106"/>
      <c r="AB216" s="106"/>
      <c r="AC216" s="483"/>
      <c r="AD216" s="483"/>
      <c r="AE216" s="483"/>
      <c r="AF216" s="483"/>
      <c r="AG216" s="483"/>
      <c r="AH216" s="483"/>
      <c r="AR216" s="505"/>
      <c r="BI216" s="481">
        <v>1</v>
      </c>
      <c r="BJ216" s="481" t="s">
        <v>406</v>
      </c>
      <c r="DB216" s="484"/>
      <c r="DD216" s="108"/>
      <c r="DE216" s="109"/>
      <c r="DF216" s="109"/>
      <c r="DG216" s="108"/>
    </row>
    <row r="217" spans="21:174" s="481" customFormat="1" ht="15" hidden="1">
      <c r="U217" s="483"/>
      <c r="V217" s="483"/>
      <c r="W217" s="483"/>
      <c r="X217" s="106"/>
      <c r="Y217" s="106"/>
      <c r="Z217" s="106"/>
      <c r="AA217" s="106"/>
      <c r="AB217" s="106"/>
      <c r="AC217" s="483"/>
      <c r="AD217" s="483"/>
      <c r="AE217" s="483"/>
      <c r="AF217" s="483"/>
      <c r="AG217" s="483"/>
      <c r="AH217" s="483"/>
      <c r="AR217" s="505"/>
      <c r="BC217" s="482"/>
      <c r="BD217" s="482"/>
      <c r="BI217" s="481">
        <v>8</v>
      </c>
      <c r="BJ217" s="481" t="s">
        <v>737</v>
      </c>
      <c r="DB217" s="484"/>
      <c r="DD217" s="108"/>
      <c r="DE217" s="109"/>
      <c r="DF217" s="109"/>
      <c r="DG217" s="108"/>
    </row>
    <row r="218" spans="21:174" s="481" customFormat="1" ht="15" hidden="1">
      <c r="U218" s="483"/>
      <c r="V218" s="483"/>
      <c r="W218" s="483"/>
      <c r="X218" s="106"/>
      <c r="Y218" s="106"/>
      <c r="Z218" s="106"/>
      <c r="AA218" s="106"/>
      <c r="AB218" s="106"/>
      <c r="AC218" s="483"/>
      <c r="AD218" s="483"/>
      <c r="AE218" s="483"/>
      <c r="AF218" s="483"/>
      <c r="AG218" s="483"/>
      <c r="AH218" s="483"/>
      <c r="AR218" s="505"/>
      <c r="BI218" s="481">
        <v>9</v>
      </c>
      <c r="BJ218" s="481" t="s">
        <v>856</v>
      </c>
      <c r="DB218" s="484"/>
      <c r="DD218" s="108"/>
      <c r="DE218" s="109"/>
      <c r="DF218" s="109"/>
      <c r="DG218" s="108"/>
    </row>
    <row r="219" spans="21:174" s="481" customFormat="1" ht="15" hidden="1">
      <c r="U219" s="483"/>
      <c r="V219" s="483"/>
      <c r="W219" s="483"/>
      <c r="X219" s="106"/>
      <c r="Y219" s="106"/>
      <c r="Z219" s="106"/>
      <c r="AA219" s="106"/>
      <c r="AB219" s="106"/>
      <c r="AC219" s="483"/>
      <c r="AD219" s="483"/>
      <c r="AE219" s="483"/>
      <c r="AF219" s="483"/>
      <c r="AG219" s="483"/>
      <c r="AH219" s="483"/>
      <c r="AR219" s="505"/>
      <c r="BN219" s="504"/>
      <c r="BX219" s="481" t="str">
        <f>IF(BX221=0," ",IF(BX221=1,"One Lakh",CONCATENATE(BX220," ",BX222)))</f>
        <v>One Lakh</v>
      </c>
      <c r="BY219" s="481" t="str">
        <f>IF(BY221=0," ",IF(BY221=1,"One Thousand",CONCATENATE(BY220," ",BY222)))</f>
        <v>Thirty Four Thousands</v>
      </c>
      <c r="BZ219" s="481" t="str">
        <f>IF(BZ221=0," ",IF(BZ221=1,"One Hundred",CONCATENATE(BZ220," ",BZ222)))</f>
        <v>Nine Hundred</v>
      </c>
      <c r="CA219" s="481" t="str">
        <f>IF(CA221=0," ",IF(AND(BX221=0,BY221=0,BZ221=0),CA220,CONCATENATE("and"," ",CA220)))</f>
        <v>and Ninty Six</v>
      </c>
      <c r="DB219" s="484"/>
      <c r="DD219" s="108"/>
      <c r="DE219" s="109"/>
      <c r="DF219" s="109"/>
      <c r="DG219" s="108"/>
    </row>
    <row r="220" spans="21:174" s="481" customFormat="1" ht="15" hidden="1">
      <c r="U220" s="483"/>
      <c r="V220" s="483"/>
      <c r="W220" s="483"/>
      <c r="X220" s="106"/>
      <c r="Y220" s="106"/>
      <c r="Z220" s="106"/>
      <c r="AA220" s="106"/>
      <c r="AB220" s="106"/>
      <c r="AC220" s="483"/>
      <c r="AD220" s="483"/>
      <c r="AE220" s="483"/>
      <c r="AF220" s="483"/>
      <c r="AG220" s="483"/>
      <c r="AH220" s="483"/>
      <c r="AR220" s="505"/>
      <c r="BC220" s="481" t="s">
        <v>220</v>
      </c>
      <c r="BI220" s="481">
        <v>1</v>
      </c>
      <c r="BJ220" s="481" t="s">
        <v>924</v>
      </c>
      <c r="BN220" s="522">
        <v>75000</v>
      </c>
      <c r="BX220" s="481" t="str">
        <f>HLOOKUP(BX221,BX214:FR215,2,FALSE)</f>
        <v>One</v>
      </c>
      <c r="BY220" s="481" t="str">
        <f>HLOOKUP(BY221,BX214:FR215,2,FALSE)</f>
        <v>Thirty Four</v>
      </c>
      <c r="BZ220" s="481" t="str">
        <f>HLOOKUP(BZ221,BX214:FR215,2,FALSE)</f>
        <v>Nine</v>
      </c>
      <c r="CA220" s="481" t="str">
        <f>HLOOKUP(CA221,BW214:FR215,2,FALSE)</f>
        <v>Ninty Six</v>
      </c>
      <c r="DB220" s="484"/>
      <c r="DD220" s="108"/>
      <c r="DE220" s="109"/>
      <c r="DF220" s="109"/>
      <c r="DG220" s="108"/>
    </row>
    <row r="221" spans="21:174" s="481" customFormat="1" ht="15" hidden="1">
      <c r="U221" s="483"/>
      <c r="V221" s="483"/>
      <c r="W221" s="483"/>
      <c r="X221" s="106"/>
      <c r="Y221" s="106"/>
      <c r="Z221" s="106"/>
      <c r="AA221" s="106"/>
      <c r="AB221" s="106"/>
      <c r="AC221" s="483"/>
      <c r="AD221" s="483"/>
      <c r="AE221" s="483"/>
      <c r="AF221" s="483"/>
      <c r="AG221" s="483"/>
      <c r="AH221" s="483"/>
      <c r="AR221" s="505"/>
      <c r="BI221" s="481">
        <v>2</v>
      </c>
      <c r="BJ221" s="481" t="s">
        <v>925</v>
      </c>
      <c r="BN221" s="481">
        <v>125000</v>
      </c>
      <c r="BX221" s="481">
        <f>INT(BX223/100000)</f>
        <v>1</v>
      </c>
      <c r="BY221" s="481">
        <f>INT(BX223/1000)-(BX221*100)</f>
        <v>34</v>
      </c>
      <c r="BZ221" s="481">
        <f>INT(BX223/100)-(BX221*1000)-(BY221*10)</f>
        <v>9</v>
      </c>
      <c r="CA221" s="481">
        <f>BX223-(BX221*100000)-(BY221*1000)-(BZ221*100)</f>
        <v>96</v>
      </c>
      <c r="DB221" s="484"/>
      <c r="DD221" s="108"/>
      <c r="DE221" s="109"/>
      <c r="DF221" s="109"/>
      <c r="DG221" s="108"/>
    </row>
    <row r="222" spans="21:174" s="481" customFormat="1" ht="15" hidden="1">
      <c r="U222" s="483"/>
      <c r="V222" s="483"/>
      <c r="W222" s="483"/>
      <c r="X222" s="106"/>
      <c r="Y222" s="106"/>
      <c r="Z222" s="106"/>
      <c r="AA222" s="106"/>
      <c r="AB222" s="106"/>
      <c r="AC222" s="483"/>
      <c r="AD222" s="483"/>
      <c r="AE222" s="483"/>
      <c r="AF222" s="483"/>
      <c r="AG222" s="483"/>
      <c r="AH222" s="483"/>
      <c r="AR222" s="505"/>
      <c r="BX222" s="481" t="s">
        <v>221</v>
      </c>
      <c r="BY222" s="481" t="s">
        <v>222</v>
      </c>
      <c r="BZ222" s="481" t="s">
        <v>223</v>
      </c>
      <c r="DB222" s="484"/>
      <c r="DD222" s="108"/>
      <c r="DE222" s="109"/>
      <c r="DF222" s="109"/>
      <c r="DG222" s="108"/>
    </row>
    <row r="223" spans="21:174" s="481" customFormat="1" ht="15" hidden="1">
      <c r="U223" s="483"/>
      <c r="V223" s="483"/>
      <c r="W223" s="483"/>
      <c r="X223" s="106"/>
      <c r="Y223" s="106"/>
      <c r="Z223" s="106"/>
      <c r="AA223" s="106"/>
      <c r="AB223" s="106"/>
      <c r="AC223" s="483"/>
      <c r="AD223" s="483"/>
      <c r="AE223" s="483"/>
      <c r="AF223" s="483"/>
      <c r="AG223" s="483"/>
      <c r="AH223" s="483"/>
      <c r="AR223" s="505"/>
      <c r="BB223" s="504"/>
      <c r="BD223" s="481" t="s">
        <v>224</v>
      </c>
      <c r="BF223" s="628"/>
      <c r="BG223" s="629"/>
      <c r="BH223" s="628"/>
      <c r="BI223" s="628"/>
      <c r="BJ223" s="630">
        <v>1</v>
      </c>
      <c r="BK223" s="629"/>
      <c r="BL223" s="629" t="str">
        <f>VLOOKUP(BJ223,BI220:BJ221,2,FALSE)</f>
        <v>Disabled Person (PH)-above 40% disability ( Rule 11A)</v>
      </c>
      <c r="BM223" s="631"/>
      <c r="BN223" s="631"/>
      <c r="BO223" s="629"/>
      <c r="BP223" s="629"/>
      <c r="BQ223" s="629"/>
      <c r="BR223" s="629"/>
      <c r="BS223" s="629"/>
      <c r="BW223" s="481">
        <f>ROUND(IF('Annexure -I I'!L63="",0,'Annexure -I I'!L63),0)</f>
        <v>134996</v>
      </c>
      <c r="BX223" s="632">
        <f>IF(BW223="No Tax",0,BW223)</f>
        <v>134996</v>
      </c>
      <c r="BY223" s="481" t="str">
        <f>IF(BX223=0,"Zero",CONCATENATE(BX219," ",BY219," ",BZ219," ",CA219))</f>
        <v>One Lakh Thirty Four Thousands Nine Hundred and Ninty Six</v>
      </c>
      <c r="CD223" s="481" t="str">
        <f>CONCATENATE(BY223,"  only")</f>
        <v>One Lakh Thirty Four Thousands Nine Hundred and Ninty Six  only</v>
      </c>
      <c r="DB223" s="484"/>
      <c r="DD223" s="108"/>
      <c r="DE223" s="109"/>
      <c r="DF223" s="109"/>
      <c r="DG223" s="108"/>
    </row>
    <row r="224" spans="21:174" s="481" customFormat="1" ht="15" hidden="1">
      <c r="U224" s="483"/>
      <c r="V224" s="483"/>
      <c r="W224" s="483"/>
      <c r="X224" s="106"/>
      <c r="Y224" s="106"/>
      <c r="Z224" s="106"/>
      <c r="AA224" s="106"/>
      <c r="AB224" s="106"/>
      <c r="AC224" s="483"/>
      <c r="AD224" s="483"/>
      <c r="AE224" s="483"/>
      <c r="AF224" s="483"/>
      <c r="AG224" s="483"/>
      <c r="AH224" s="483"/>
      <c r="AR224" s="505"/>
      <c r="BB224" s="504"/>
      <c r="BF224" s="629"/>
      <c r="BG224" s="629"/>
      <c r="BH224" s="628"/>
      <c r="BI224" s="628"/>
      <c r="BJ224" s="633"/>
      <c r="BK224" s="629"/>
      <c r="BL224" s="629"/>
      <c r="BM224" s="631"/>
      <c r="BN224" s="631"/>
      <c r="BO224" s="629"/>
      <c r="BP224" s="629"/>
      <c r="BQ224" s="629"/>
      <c r="BR224" s="629"/>
      <c r="BS224" s="629"/>
      <c r="DB224" s="484"/>
      <c r="DD224" s="108"/>
      <c r="DE224" s="109"/>
      <c r="DF224" s="109"/>
      <c r="DG224" s="108"/>
    </row>
    <row r="225" spans="21:111" s="481" customFormat="1" ht="15" hidden="1">
      <c r="U225" s="483"/>
      <c r="V225" s="483"/>
      <c r="W225" s="483"/>
      <c r="X225" s="106"/>
      <c r="Y225" s="106"/>
      <c r="Z225" s="106"/>
      <c r="AA225" s="106"/>
      <c r="AB225" s="106"/>
      <c r="AC225" s="483"/>
      <c r="AD225" s="483"/>
      <c r="AE225" s="483"/>
      <c r="AF225" s="483"/>
      <c r="AG225" s="483"/>
      <c r="AH225" s="483"/>
      <c r="AR225" s="505"/>
      <c r="BB225" s="504"/>
      <c r="BF225" s="629"/>
      <c r="BG225" s="629"/>
      <c r="BH225" s="629"/>
      <c r="BI225" s="634"/>
      <c r="BJ225" s="635">
        <f>IF(BJ223=1,75000,IF(BJ223=2,125000))</f>
        <v>75000</v>
      </c>
      <c r="BK225" s="635"/>
      <c r="BL225" s="635">
        <f>IF(G$36&lt;=BJ225,G$36,IF(G$36&gt;BJ225,BJ225))</f>
        <v>0</v>
      </c>
      <c r="BM225" s="636"/>
      <c r="BN225" s="631"/>
      <c r="BO225" s="629"/>
      <c r="BP225" s="629"/>
      <c r="BQ225" s="629"/>
      <c r="BR225" s="629"/>
      <c r="BS225" s="629"/>
      <c r="BW225" s="481">
        <f>'Rent Receipt'!T9</f>
        <v>144000</v>
      </c>
      <c r="BX225" s="481" t="str">
        <f>IF(BY227=0,"",IF(BY227=1,"One Lakh",CONCATENATE(BY226," ",BY228)))</f>
        <v>One Lakh</v>
      </c>
      <c r="BY225" s="481" t="str">
        <f>IF(BZ227=0," ",IF(BZ227=1,"One Thousand",CONCATENATE(BZ226," ",BZ228)))</f>
        <v>Fourty Four Thousands</v>
      </c>
      <c r="CA225" s="481" t="str">
        <f>IF(CA227=0," ",IF(CA227=1,"One Hundred",CONCATENATE(CA226," ",CA228)))</f>
        <v xml:space="preserve"> </v>
      </c>
      <c r="CB225" s="481" t="str">
        <f>IF(CB227=0," ",IF(AND(BY227=0,BZ227=0,CA227=0),CB226,CONCATENATE("and"," ",CB226)))</f>
        <v xml:space="preserve"> </v>
      </c>
      <c r="DB225" s="484"/>
      <c r="DD225" s="108"/>
      <c r="DE225" s="109"/>
      <c r="DF225" s="109"/>
      <c r="DG225" s="108"/>
    </row>
    <row r="226" spans="21:111" s="481" customFormat="1" ht="15" hidden="1">
      <c r="U226" s="483"/>
      <c r="V226" s="483"/>
      <c r="W226" s="483"/>
      <c r="X226" s="106"/>
      <c r="Y226" s="106"/>
      <c r="Z226" s="106"/>
      <c r="AA226" s="106"/>
      <c r="AB226" s="106"/>
      <c r="AC226" s="483"/>
      <c r="AD226" s="483"/>
      <c r="AE226" s="483"/>
      <c r="AF226" s="483"/>
      <c r="AG226" s="483"/>
      <c r="AH226" s="483"/>
      <c r="AR226" s="505"/>
      <c r="BB226" s="504"/>
      <c r="BC226" s="481" t="s">
        <v>225</v>
      </c>
      <c r="BF226" s="629"/>
      <c r="BG226" s="631"/>
      <c r="BH226" s="628"/>
      <c r="BI226" s="629"/>
      <c r="BJ226" s="633"/>
      <c r="BK226" s="629"/>
      <c r="BL226" s="629"/>
      <c r="BM226" s="631"/>
      <c r="BN226" s="631"/>
      <c r="BO226" s="629"/>
      <c r="BP226" s="629"/>
      <c r="BQ226" s="629"/>
      <c r="BR226" s="629"/>
      <c r="BS226" s="629"/>
      <c r="BY226" s="481" t="str">
        <f>HLOOKUP(BY227,BX214:FR215,2,FALSE)</f>
        <v>One</v>
      </c>
      <c r="BZ226" s="481" t="str">
        <f>HLOOKUP(BZ227,BX214:FR215,2,FALSE)</f>
        <v>Fourty Four</v>
      </c>
      <c r="CA226" s="481" t="e">
        <f>HLOOKUP(CA227,BX214:FR215,2,FALSE)</f>
        <v>#N/A</v>
      </c>
      <c r="CB226" s="481" t="e">
        <f>HLOOKUP(CB227,BX214:FR215,2,FALSE)</f>
        <v>#N/A</v>
      </c>
      <c r="DB226" s="484"/>
      <c r="DD226" s="108"/>
      <c r="DE226" s="109"/>
      <c r="DF226" s="109"/>
      <c r="DG226" s="108"/>
    </row>
    <row r="227" spans="21:111" s="481" customFormat="1" ht="15" hidden="1">
      <c r="U227" s="483"/>
      <c r="V227" s="483"/>
      <c r="W227" s="483"/>
      <c r="X227" s="106"/>
      <c r="Y227" s="106"/>
      <c r="Z227" s="106"/>
      <c r="AA227" s="106"/>
      <c r="AB227" s="106"/>
      <c r="AC227" s="483"/>
      <c r="AD227" s="483"/>
      <c r="AE227" s="483"/>
      <c r="AF227" s="483"/>
      <c r="AG227" s="483"/>
      <c r="AH227" s="483"/>
      <c r="AR227" s="505"/>
      <c r="BB227" s="504"/>
      <c r="BG227" s="504"/>
      <c r="BJ227" s="514"/>
      <c r="BM227" s="504"/>
      <c r="BN227" s="504"/>
      <c r="BO227" s="605"/>
      <c r="BP227" s="606"/>
      <c r="BQ227" s="606"/>
      <c r="BR227" s="606"/>
      <c r="BS227" s="545"/>
      <c r="BY227" s="481">
        <f>INT(BW225/100000)</f>
        <v>1</v>
      </c>
      <c r="BZ227" s="481">
        <f>INT(BW225/1000)-(BY227*100)</f>
        <v>44</v>
      </c>
      <c r="CA227" s="481">
        <f>INT(BW225/100)-(BY227*1000)-(BZ227*10)</f>
        <v>0</v>
      </c>
      <c r="CB227" s="481">
        <f>BW225-(BY227*100000)-(BZ227*1000)-(CA227*100)</f>
        <v>0</v>
      </c>
      <c r="DB227" s="484"/>
      <c r="DD227" s="108"/>
      <c r="DE227" s="109"/>
      <c r="DF227" s="109"/>
      <c r="DG227" s="108"/>
    </row>
    <row r="228" spans="21:111" s="481" customFormat="1" ht="15" hidden="1">
      <c r="U228" s="483"/>
      <c r="V228" s="483"/>
      <c r="W228" s="483"/>
      <c r="X228" s="106"/>
      <c r="Y228" s="106"/>
      <c r="Z228" s="106"/>
      <c r="AA228" s="106"/>
      <c r="AB228" s="106"/>
      <c r="AC228" s="483"/>
      <c r="AD228" s="483"/>
      <c r="AE228" s="483"/>
      <c r="AF228" s="483"/>
      <c r="AG228" s="483"/>
      <c r="AH228" s="483"/>
      <c r="AR228" s="505"/>
      <c r="AZ228" s="481" t="s">
        <v>226</v>
      </c>
      <c r="BE228" s="481" t="s">
        <v>227</v>
      </c>
      <c r="BK228" s="637"/>
      <c r="BL228" s="638"/>
      <c r="BM228" s="638"/>
      <c r="BN228" s="639"/>
      <c r="BO228" s="639"/>
      <c r="BP228" s="638"/>
      <c r="BQ228" s="638"/>
      <c r="BR228" s="638"/>
      <c r="BS228" s="638"/>
      <c r="BT228" s="640"/>
      <c r="BY228" s="481" t="s">
        <v>221</v>
      </c>
      <c r="BZ228" s="481" t="s">
        <v>222</v>
      </c>
      <c r="CA228" s="481" t="s">
        <v>223</v>
      </c>
      <c r="DB228" s="484"/>
      <c r="DD228" s="108"/>
      <c r="DE228" s="109"/>
      <c r="DF228" s="109"/>
      <c r="DG228" s="108"/>
    </row>
    <row r="229" spans="21:111" s="481" customFormat="1" ht="15" hidden="1">
      <c r="U229" s="483"/>
      <c r="V229" s="483"/>
      <c r="W229" s="483"/>
      <c r="X229" s="106"/>
      <c r="Y229" s="106"/>
      <c r="Z229" s="106"/>
      <c r="AA229" s="106"/>
      <c r="AB229" s="106"/>
      <c r="AC229" s="483"/>
      <c r="AD229" s="483"/>
      <c r="AE229" s="483"/>
      <c r="AF229" s="483"/>
      <c r="AG229" s="483"/>
      <c r="AH229" s="483"/>
      <c r="AR229" s="505"/>
      <c r="BF229" s="481" t="s">
        <v>228</v>
      </c>
      <c r="BK229" s="641"/>
      <c r="BL229" s="486"/>
      <c r="BM229" s="486"/>
      <c r="BN229" s="513"/>
      <c r="BO229" s="513"/>
      <c r="BP229" s="605" t="s">
        <v>409</v>
      </c>
      <c r="BQ229" s="606">
        <f>BL171</f>
        <v>0</v>
      </c>
      <c r="BR229" s="606" t="s">
        <v>410</v>
      </c>
      <c r="BS229" s="606">
        <f>Q38</f>
        <v>0</v>
      </c>
      <c r="BT229" s="545"/>
      <c r="BY229" s="481" t="str">
        <f>IF(BW225=0,"Zero",CONCATENATE(BX225," ",BY225," ",BZ225," and ",CA225,"",CB225))</f>
        <v xml:space="preserve">One Lakh Fourty Four Thousands  and   </v>
      </c>
      <c r="CC229" s="481" t="str">
        <f>CONCATENATE(BY229," only")</f>
        <v>One Lakh Fourty Four Thousands  and    only</v>
      </c>
      <c r="CM229" s="481" t="str">
        <f>"Your drawing HRA="&amp;Bill!G25</f>
        <v>Your drawing HRA=83988</v>
      </c>
      <c r="DB229" s="484"/>
      <c r="DD229" s="108"/>
      <c r="DE229" s="109"/>
      <c r="DF229" s="109"/>
      <c r="DG229" s="108"/>
    </row>
    <row r="230" spans="21:111" s="481" customFormat="1" ht="15" hidden="1">
      <c r="U230" s="483"/>
      <c r="V230" s="483"/>
      <c r="W230" s="483"/>
      <c r="X230" s="106"/>
      <c r="Y230" s="106"/>
      <c r="Z230" s="106"/>
      <c r="AA230" s="106"/>
      <c r="AB230" s="106"/>
      <c r="AC230" s="483"/>
      <c r="AD230" s="483"/>
      <c r="AE230" s="483"/>
      <c r="AF230" s="483"/>
      <c r="AG230" s="483"/>
      <c r="AH230" s="483"/>
      <c r="AR230" s="505"/>
      <c r="BC230" s="481" t="s">
        <v>229</v>
      </c>
      <c r="BG230" s="481" t="s">
        <v>230</v>
      </c>
      <c r="BK230" s="548"/>
      <c r="BL230" s="486"/>
      <c r="BM230" s="486"/>
      <c r="BN230" s="486"/>
      <c r="BO230" s="486"/>
      <c r="BP230" s="548"/>
      <c r="BQ230" s="486"/>
      <c r="BR230" s="486" t="s">
        <v>411</v>
      </c>
      <c r="BS230" s="486">
        <f>Q39</f>
        <v>0</v>
      </c>
      <c r="BT230" s="549">
        <f>BS229-BS230</f>
        <v>0</v>
      </c>
      <c r="CM230" s="481" t="str">
        <f>"No need to produce rent receipt due to below 36000 HRA  (for your monthly rent@ Rs."&amp;S11&amp;")"</f>
        <v>No need to produce rent receipt due to below 36000 HRA  (for your monthly rent@ Rs.12000)</v>
      </c>
      <c r="DB230" s="484"/>
      <c r="DD230" s="108"/>
      <c r="DE230" s="109"/>
      <c r="DF230" s="109"/>
      <c r="DG230" s="108"/>
    </row>
    <row r="231" spans="21:111" s="481" customFormat="1" ht="15" hidden="1">
      <c r="U231" s="483"/>
      <c r="V231" s="483"/>
      <c r="W231" s="483"/>
      <c r="X231" s="106"/>
      <c r="Y231" s="106"/>
      <c r="Z231" s="106"/>
      <c r="AA231" s="106"/>
      <c r="AB231" s="106"/>
      <c r="AC231" s="483"/>
      <c r="AD231" s="483"/>
      <c r="AE231" s="483"/>
      <c r="AF231" s="483"/>
      <c r="AG231" s="483"/>
      <c r="AH231" s="483"/>
      <c r="AR231" s="505"/>
      <c r="BB231" s="514"/>
      <c r="BF231" s="504"/>
      <c r="BK231" s="548"/>
      <c r="BL231" s="486"/>
      <c r="BM231" s="486"/>
      <c r="BN231" s="486"/>
      <c r="BO231" s="486"/>
      <c r="BP231" s="548"/>
      <c r="BQ231" s="486"/>
      <c r="BR231" s="486" t="s">
        <v>412</v>
      </c>
      <c r="BS231" s="486">
        <f>ROUND(BT230*30%,0)</f>
        <v>0</v>
      </c>
      <c r="BT231" s="549">
        <f>BS230+BS231</f>
        <v>0</v>
      </c>
      <c r="CH231" s="605" t="s">
        <v>232</v>
      </c>
      <c r="CI231" s="606">
        <f>Bill!D25</f>
        <v>699925</v>
      </c>
      <c r="CJ231" s="545"/>
      <c r="CM231" s="481" t="str">
        <f>"You have to Produce rent receipt due to above 36000 HRA (for your monthly rent@ Rs."&amp;S11&amp;")"</f>
        <v>You have to Produce rent receipt due to above 36000 HRA (for your monthly rent@ Rs.12000)</v>
      </c>
      <c r="DB231" s="484"/>
      <c r="DD231" s="108"/>
      <c r="DE231" s="109"/>
      <c r="DF231" s="109"/>
      <c r="DG231" s="108"/>
    </row>
    <row r="232" spans="21:111" s="481" customFormat="1" ht="15" hidden="1">
      <c r="U232" s="483"/>
      <c r="V232" s="483"/>
      <c r="W232" s="483"/>
      <c r="X232" s="106"/>
      <c r="Y232" s="106"/>
      <c r="Z232" s="106"/>
      <c r="AA232" s="106"/>
      <c r="AB232" s="106"/>
      <c r="AC232" s="483"/>
      <c r="AD232" s="483"/>
      <c r="AE232" s="483"/>
      <c r="AF232" s="483"/>
      <c r="AG232" s="483"/>
      <c r="AH232" s="483"/>
      <c r="AR232" s="505"/>
      <c r="BB232" s="514"/>
      <c r="BF232" s="504"/>
      <c r="BJ232" s="642"/>
      <c r="BK232" s="548"/>
      <c r="BL232" s="486"/>
      <c r="BM232" s="486"/>
      <c r="BN232" s="486"/>
      <c r="BO232" s="486"/>
      <c r="BP232" s="548"/>
      <c r="BQ232" s="486"/>
      <c r="BR232" s="486"/>
      <c r="BS232" s="486">
        <f>ROUND(IF(BS229&lt;0,0,(BT232-BQ229)),0)</f>
        <v>0</v>
      </c>
      <c r="BT232" s="549">
        <f>BS229-BT231</f>
        <v>0</v>
      </c>
      <c r="CH232" s="548" t="s">
        <v>12</v>
      </c>
      <c r="CI232" s="486">
        <f>Bill!E25</f>
        <v>338563</v>
      </c>
      <c r="CJ232" s="549"/>
      <c r="DB232" s="484"/>
      <c r="DD232" s="108"/>
      <c r="DE232" s="109"/>
      <c r="DF232" s="109"/>
      <c r="DG232" s="108"/>
    </row>
    <row r="233" spans="21:111" s="481" customFormat="1" ht="15" hidden="1">
      <c r="U233" s="483"/>
      <c r="V233" s="483"/>
      <c r="W233" s="483"/>
      <c r="X233" s="106"/>
      <c r="Y233" s="106"/>
      <c r="Z233" s="106"/>
      <c r="AA233" s="106"/>
      <c r="AB233" s="106"/>
      <c r="AC233" s="483"/>
      <c r="AD233" s="483"/>
      <c r="AE233" s="483"/>
      <c r="AF233" s="483"/>
      <c r="AG233" s="483"/>
      <c r="AH233" s="483"/>
      <c r="AR233" s="505"/>
      <c r="BB233" s="514"/>
      <c r="BF233" s="504"/>
      <c r="BJ233" s="642"/>
      <c r="BK233" s="548"/>
      <c r="BL233" s="486"/>
      <c r="BM233" s="486"/>
      <c r="BN233" s="486"/>
      <c r="BO233" s="486"/>
      <c r="BP233" s="559"/>
      <c r="BQ233" s="569"/>
      <c r="BR233" s="569"/>
      <c r="BS233" s="569" t="str">
        <f>IF(BS232&gt;0," Income "," Loss")</f>
        <v xml:space="preserve"> Loss</v>
      </c>
      <c r="BT233" s="560"/>
      <c r="CC233" s="486"/>
      <c r="CH233" s="548"/>
      <c r="CI233" s="486">
        <f>CE241+CE242</f>
        <v>1038488</v>
      </c>
      <c r="CJ233" s="549"/>
      <c r="CM233" s="481" t="str">
        <f>IF(Bill!G25&gt;36000,DATA!CM231,DATA!CM230)</f>
        <v>You have to Produce rent receipt due to above 36000 HRA (for your monthly rent@ Rs.12000)</v>
      </c>
      <c r="DB233" s="484"/>
      <c r="DD233" s="108"/>
      <c r="DE233" s="109"/>
      <c r="DF233" s="109"/>
      <c r="DG233" s="108"/>
    </row>
    <row r="234" spans="21:111" s="481" customFormat="1" ht="15" hidden="1">
      <c r="U234" s="483"/>
      <c r="V234" s="483"/>
      <c r="W234" s="483"/>
      <c r="X234" s="106"/>
      <c r="Y234" s="106"/>
      <c r="Z234" s="106"/>
      <c r="AA234" s="106"/>
      <c r="AB234" s="106"/>
      <c r="AC234" s="483"/>
      <c r="AD234" s="483"/>
      <c r="AE234" s="483"/>
      <c r="AF234" s="483"/>
      <c r="AG234" s="483"/>
      <c r="AH234" s="483"/>
      <c r="AR234" s="505"/>
      <c r="BB234" s="514"/>
      <c r="BF234" s="504"/>
      <c r="BJ234" s="642"/>
      <c r="BK234" s="643" t="s">
        <v>543</v>
      </c>
      <c r="BL234" s="644"/>
      <c r="BM234" s="645">
        <f>BS229</f>
        <v>0</v>
      </c>
      <c r="BN234" s="486"/>
      <c r="BO234" s="486"/>
      <c r="BP234" s="486"/>
      <c r="BQ234" s="486"/>
      <c r="BR234" s="486"/>
      <c r="BS234" s="486"/>
      <c r="BT234" s="549"/>
      <c r="CD234" s="481">
        <v>35900</v>
      </c>
      <c r="CE234" s="481">
        <f>CI235-CI234</f>
        <v>83988</v>
      </c>
      <c r="CH234" s="646">
        <v>0.1</v>
      </c>
      <c r="CI234" s="486">
        <f>ROUND(CE243*0.1, )</f>
        <v>103849</v>
      </c>
      <c r="CJ234" s="549">
        <f>CE244*4</f>
        <v>415396</v>
      </c>
      <c r="DB234" s="484"/>
      <c r="DD234" s="108"/>
      <c r="DE234" s="109"/>
      <c r="DF234" s="109"/>
      <c r="DG234" s="108"/>
    </row>
    <row r="235" spans="21:111" s="481" customFormat="1" ht="15" hidden="1">
      <c r="U235" s="483"/>
      <c r="V235" s="483"/>
      <c r="W235" s="483"/>
      <c r="X235" s="106"/>
      <c r="Y235" s="106"/>
      <c r="Z235" s="106"/>
      <c r="AA235" s="106"/>
      <c r="AB235" s="106"/>
      <c r="AC235" s="483"/>
      <c r="AD235" s="483"/>
      <c r="AE235" s="483"/>
      <c r="AF235" s="483"/>
      <c r="AG235" s="483"/>
      <c r="AH235" s="483"/>
      <c r="AR235" s="505"/>
      <c r="BB235" s="514"/>
      <c r="BF235" s="504"/>
      <c r="BJ235" s="642"/>
      <c r="BK235" s="643" t="s">
        <v>544</v>
      </c>
      <c r="BL235" s="644"/>
      <c r="BM235" s="645">
        <f>BS230</f>
        <v>0</v>
      </c>
      <c r="BN235" s="486"/>
      <c r="BO235" s="486"/>
      <c r="BP235" s="486">
        <v>1</v>
      </c>
      <c r="BQ235" s="486" t="s">
        <v>541</v>
      </c>
      <c r="BR235" s="486"/>
      <c r="BS235" s="486"/>
      <c r="BT235" s="549"/>
      <c r="CE235" s="481">
        <f>ROUND((CE234-CD234)/12,0)</f>
        <v>4007</v>
      </c>
      <c r="CF235" s="481">
        <f>ROUND((CE246-CE236),-2)-150</f>
        <v>11550</v>
      </c>
      <c r="CH235" s="548" t="s">
        <v>234</v>
      </c>
      <c r="CI235" s="486">
        <f>ROUND((CI234+CJ235),0)</f>
        <v>187837</v>
      </c>
      <c r="CJ235" s="549">
        <f>CG245</f>
        <v>83988</v>
      </c>
      <c r="CK235" s="481" t="s">
        <v>358</v>
      </c>
      <c r="DB235" s="484"/>
      <c r="DD235" s="108"/>
      <c r="DE235" s="109"/>
      <c r="DF235" s="109"/>
      <c r="DG235" s="108"/>
    </row>
    <row r="236" spans="21:111" s="481" customFormat="1" ht="15" hidden="1">
      <c r="U236" s="483"/>
      <c r="V236" s="483"/>
      <c r="W236" s="483"/>
      <c r="X236" s="106"/>
      <c r="Y236" s="106"/>
      <c r="Z236" s="106"/>
      <c r="AA236" s="106"/>
      <c r="AB236" s="106"/>
      <c r="AC236" s="483"/>
      <c r="AD236" s="483"/>
      <c r="AE236" s="483"/>
      <c r="AF236" s="483"/>
      <c r="AG236" s="483"/>
      <c r="AH236" s="483"/>
      <c r="AR236" s="505"/>
      <c r="BJ236" s="647"/>
      <c r="BK236" s="643" t="s">
        <v>545</v>
      </c>
      <c r="BL236" s="644"/>
      <c r="BM236" s="645">
        <f>BS231</f>
        <v>0</v>
      </c>
      <c r="BN236" s="486"/>
      <c r="BO236" s="486"/>
      <c r="BP236" s="486">
        <v>2</v>
      </c>
      <c r="BQ236" s="486" t="s">
        <v>9</v>
      </c>
      <c r="BR236" s="486"/>
      <c r="BS236" s="486"/>
      <c r="BT236" s="549"/>
      <c r="BZ236" s="486"/>
      <c r="CE236" s="481">
        <f>IF(CE235&gt;0,CE235,CE235*0)</f>
        <v>4007</v>
      </c>
      <c r="CF236" s="481">
        <f>IF(CF235&gt;=CE246,"",CF237)</f>
        <v>11600</v>
      </c>
      <c r="CH236" s="548"/>
      <c r="CI236" s="486">
        <f>S11</f>
        <v>12000</v>
      </c>
      <c r="CJ236" s="549">
        <f>ROUND(IF((CI237-CI234)&gt;0,(CI237-CI234),0),-1)</f>
        <v>40150</v>
      </c>
      <c r="CK236" s="481">
        <f>IF(CJ236&gt;36000,36000,CJ236)</f>
        <v>36000</v>
      </c>
      <c r="CM236" s="481" t="str">
        <f>CONCATENATE("This is to certify that I have paid an amount of Rs.",CI237," (",CC229,")","  towards house rent year  2021 - 2022.","  (Rent ",S11," per month X 12 months) )")</f>
        <v>This is to certify that I have paid an amount of Rs.144000 (One Lakh Fourty Four Thousands  and    only)  towards house rent year  2021 - 2022.  (Rent 12000 per month X 12 months) )</v>
      </c>
      <c r="DB236" s="484"/>
      <c r="DD236" s="108"/>
      <c r="DE236" s="109"/>
      <c r="DF236" s="109"/>
      <c r="DG236" s="108"/>
    </row>
    <row r="237" spans="21:111" s="481" customFormat="1" ht="15" hidden="1">
      <c r="U237" s="483"/>
      <c r="V237" s="483"/>
      <c r="W237" s="483"/>
      <c r="X237" s="106"/>
      <c r="Y237" s="106"/>
      <c r="Z237" s="106"/>
      <c r="AA237" s="106"/>
      <c r="AB237" s="106"/>
      <c r="AC237" s="483"/>
      <c r="AD237" s="483"/>
      <c r="AE237" s="483"/>
      <c r="AF237" s="483"/>
      <c r="AG237" s="483"/>
      <c r="AH237" s="483"/>
      <c r="AR237" s="505"/>
      <c r="BK237" s="643" t="s">
        <v>546</v>
      </c>
      <c r="BL237" s="644"/>
      <c r="BM237" s="645">
        <f>BL171</f>
        <v>0</v>
      </c>
      <c r="BN237" s="486"/>
      <c r="BO237" s="486"/>
      <c r="BP237" s="648"/>
      <c r="BQ237" s="648"/>
      <c r="BR237" s="648"/>
      <c r="BS237" s="486"/>
      <c r="BT237" s="549"/>
      <c r="CF237" s="481">
        <f>CF235+50</f>
        <v>11600</v>
      </c>
      <c r="CH237" s="559"/>
      <c r="CI237" s="569">
        <f>ROUND(CI236*12,0)</f>
        <v>144000</v>
      </c>
      <c r="CJ237" s="560"/>
      <c r="DB237" s="484"/>
      <c r="DD237" s="108"/>
      <c r="DE237" s="109"/>
      <c r="DF237" s="109"/>
      <c r="DG237" s="108"/>
    </row>
    <row r="238" spans="21:111" s="481" customFormat="1" ht="15" hidden="1">
      <c r="U238" s="483"/>
      <c r="V238" s="483"/>
      <c r="W238" s="483"/>
      <c r="X238" s="106"/>
      <c r="Y238" s="106"/>
      <c r="Z238" s="106"/>
      <c r="AA238" s="106"/>
      <c r="AB238" s="106"/>
      <c r="AC238" s="483"/>
      <c r="AD238" s="483"/>
      <c r="AE238" s="483"/>
      <c r="AF238" s="483"/>
      <c r="AG238" s="483"/>
      <c r="AH238" s="483"/>
      <c r="AR238" s="505"/>
      <c r="AZ238" s="481" t="s">
        <v>231</v>
      </c>
      <c r="BK238" s="649" t="s">
        <v>542</v>
      </c>
      <c r="BL238" s="644"/>
      <c r="BM238" s="645">
        <f>BS229-BT231</f>
        <v>0</v>
      </c>
      <c r="BN238" s="486"/>
      <c r="BO238" s="486"/>
      <c r="BP238" s="648"/>
      <c r="BQ238" s="650">
        <v>2</v>
      </c>
      <c r="BR238" s="648"/>
      <c r="BS238" s="486"/>
      <c r="BT238" s="549"/>
      <c r="CE238" s="481" t="str">
        <f>IF(CF236="","",CE239)</f>
        <v>Please Enter Reduse Approximately House  Rent per Month    11600</v>
      </c>
      <c r="CM238" s="481" t="str">
        <f>IF(BO171=1,CM236,"")</f>
        <v>This is to certify that I have paid an amount of Rs.144000 (One Lakh Fourty Four Thousands  and    only)  towards house rent year  2021 - 2022.  (Rent 12000 per month X 12 months) )</v>
      </c>
      <c r="DB238" s="484"/>
      <c r="DD238" s="108"/>
      <c r="DE238" s="109"/>
      <c r="DF238" s="109"/>
      <c r="DG238" s="108"/>
    </row>
    <row r="239" spans="21:111" s="481" customFormat="1" ht="15" hidden="1">
      <c r="U239" s="483"/>
      <c r="V239" s="483"/>
      <c r="W239" s="483"/>
      <c r="X239" s="106"/>
      <c r="Y239" s="106"/>
      <c r="Z239" s="106"/>
      <c r="AA239" s="106"/>
      <c r="AB239" s="106"/>
      <c r="AC239" s="483"/>
      <c r="AD239" s="483"/>
      <c r="AE239" s="483"/>
      <c r="AF239" s="483"/>
      <c r="AG239" s="483"/>
      <c r="AH239" s="483"/>
      <c r="AZ239" s="570">
        <v>1</v>
      </c>
      <c r="BA239" s="651">
        <v>44228</v>
      </c>
      <c r="BK239" s="559" t="str">
        <f>"Income"&amp;BS233&amp;" from Housing Property  =  Rs."</f>
        <v>Income Loss from Housing Property  =  Rs.</v>
      </c>
      <c r="BL239" s="569"/>
      <c r="BM239" s="569" t="str">
        <f>IF(DATA!BQ238=1,BS232,"")</f>
        <v/>
      </c>
      <c r="BN239" s="569" t="str">
        <f>IF(BM239&gt;0,"Income","Loss")</f>
        <v>Income</v>
      </c>
      <c r="BO239" s="569"/>
      <c r="BP239" s="652"/>
      <c r="BQ239" s="652"/>
      <c r="BR239" s="652"/>
      <c r="BS239" s="569"/>
      <c r="BT239" s="560"/>
      <c r="CE239" s="481" t="str">
        <f>"Please Enter Reduse Approximately House  Rent per Month "&amp;"   "&amp;CF236</f>
        <v>Please Enter Reduse Approximately House  Rent per Month    11600</v>
      </c>
      <c r="DB239" s="484"/>
      <c r="DD239" s="108"/>
      <c r="DE239" s="109"/>
      <c r="DF239" s="109"/>
      <c r="DG239" s="108"/>
    </row>
    <row r="240" spans="21:111" s="481" customFormat="1" ht="15" hidden="1">
      <c r="U240" s="483"/>
      <c r="V240" s="483"/>
      <c r="W240" s="483"/>
      <c r="X240" s="106"/>
      <c r="Y240" s="106"/>
      <c r="Z240" s="106"/>
      <c r="AA240" s="106"/>
      <c r="AB240" s="106"/>
      <c r="AC240" s="483"/>
      <c r="AD240" s="483"/>
      <c r="AE240" s="483"/>
      <c r="AF240" s="483"/>
      <c r="AG240" s="483"/>
      <c r="AH240" s="483"/>
      <c r="AZ240" s="574">
        <v>2</v>
      </c>
      <c r="BA240" s="653">
        <v>44256</v>
      </c>
      <c r="CH240" s="481" t="str">
        <f>IF(CM233=CM230," No change HRA ",CE238)</f>
        <v>Please Enter Reduse Approximately House  Rent per Month    11600</v>
      </c>
      <c r="CM240" s="481" t="str">
        <f>IF(BO171=1," Undertaking Certificate","")</f>
        <v xml:space="preserve"> Undertaking Certificate</v>
      </c>
      <c r="DB240" s="484"/>
      <c r="DD240" s="108"/>
      <c r="DE240" s="109"/>
      <c r="DF240" s="109"/>
      <c r="DG240" s="108"/>
    </row>
    <row r="241" spans="21:125" s="481" customFormat="1" ht="15" hidden="1">
      <c r="U241" s="483"/>
      <c r="V241" s="483"/>
      <c r="W241" s="483"/>
      <c r="X241" s="106"/>
      <c r="Y241" s="106"/>
      <c r="Z241" s="106"/>
      <c r="AA241" s="106"/>
      <c r="AB241" s="106"/>
      <c r="AC241" s="483"/>
      <c r="AD241" s="483"/>
      <c r="AE241" s="483"/>
      <c r="AF241" s="483"/>
      <c r="AG241" s="483"/>
      <c r="AH241" s="483"/>
      <c r="AZ241" s="574">
        <v>3</v>
      </c>
      <c r="BA241" s="653">
        <v>44287</v>
      </c>
      <c r="CD241" s="487" t="s">
        <v>232</v>
      </c>
      <c r="CE241" s="509">
        <f>Bill!D25</f>
        <v>699925</v>
      </c>
      <c r="CF241" s="488"/>
      <c r="DB241" s="484"/>
      <c r="DD241" s="108"/>
      <c r="DE241" s="109"/>
      <c r="DF241" s="109"/>
      <c r="DG241" s="108"/>
    </row>
    <row r="242" spans="21:125" s="481" customFormat="1" ht="15" hidden="1">
      <c r="U242" s="483"/>
      <c r="V242" s="483"/>
      <c r="W242" s="483"/>
      <c r="X242" s="106"/>
      <c r="Y242" s="106"/>
      <c r="Z242" s="106"/>
      <c r="AA242" s="106"/>
      <c r="AB242" s="106"/>
      <c r="AC242" s="483"/>
      <c r="AD242" s="483"/>
      <c r="AE242" s="483"/>
      <c r="AF242" s="483"/>
      <c r="AG242" s="483"/>
      <c r="AH242" s="483"/>
      <c r="AZ242" s="574">
        <v>4</v>
      </c>
      <c r="BA242" s="653">
        <v>44317</v>
      </c>
      <c r="CD242" s="489" t="s">
        <v>12</v>
      </c>
      <c r="CE242" s="486">
        <f>IF(DATA!CH262=1,0,Bill!E25)</f>
        <v>338563</v>
      </c>
      <c r="CF242" s="490"/>
      <c r="CH242" s="481" t="s">
        <v>233</v>
      </c>
      <c r="CI242" s="481" t="s">
        <v>14</v>
      </c>
      <c r="CK242" s="481" t="s">
        <v>393</v>
      </c>
      <c r="CL242" s="481" t="s">
        <v>394</v>
      </c>
      <c r="DB242" s="484"/>
      <c r="DD242" s="108"/>
      <c r="DE242" s="109"/>
      <c r="DF242" s="654"/>
      <c r="DG242" s="108"/>
    </row>
    <row r="243" spans="21:125" s="481" customFormat="1" ht="15" hidden="1">
      <c r="U243" s="483"/>
      <c r="V243" s="483"/>
      <c r="W243" s="483"/>
      <c r="X243" s="106"/>
      <c r="Y243" s="106"/>
      <c r="Z243" s="106"/>
      <c r="AA243" s="106"/>
      <c r="AB243" s="106"/>
      <c r="AC243" s="483"/>
      <c r="AD243" s="483"/>
      <c r="AE243" s="483"/>
      <c r="AF243" s="483"/>
      <c r="AG243" s="483"/>
      <c r="AH243" s="483"/>
      <c r="AZ243" s="574">
        <v>5</v>
      </c>
      <c r="BA243" s="653">
        <v>44348</v>
      </c>
      <c r="CD243" s="489"/>
      <c r="CE243" s="486">
        <f>CE241+CE242</f>
        <v>1038488</v>
      </c>
      <c r="CF243" s="490"/>
      <c r="CG243" s="481">
        <f>Bill!AC25</f>
        <v>2400</v>
      </c>
      <c r="CH243" s="481">
        <f>CG243</f>
        <v>2400</v>
      </c>
      <c r="CI243" s="655">
        <f>Bill!R25</f>
        <v>0</v>
      </c>
      <c r="CJ243" s="481" t="str">
        <f>CH178</f>
        <v xml:space="preserve">Not Applicable </v>
      </c>
      <c r="CK243" s="481">
        <f>Bill!V25</f>
        <v>0</v>
      </c>
      <c r="CL243" s="481">
        <v>0</v>
      </c>
      <c r="DB243" s="484"/>
      <c r="DD243" s="108"/>
      <c r="DE243" s="654"/>
      <c r="DF243" s="654"/>
      <c r="DG243" s="108"/>
    </row>
    <row r="244" spans="21:125" s="481" customFormat="1" ht="15" hidden="1">
      <c r="U244" s="483"/>
      <c r="V244" s="483"/>
      <c r="W244" s="483"/>
      <c r="X244" s="106"/>
      <c r="Y244" s="106"/>
      <c r="Z244" s="106"/>
      <c r="AA244" s="106"/>
      <c r="AB244" s="106"/>
      <c r="AC244" s="483"/>
      <c r="AD244" s="483"/>
      <c r="AE244" s="483"/>
      <c r="AF244" s="483"/>
      <c r="AG244" s="483"/>
      <c r="AH244" s="483"/>
      <c r="AZ244" s="574">
        <v>6</v>
      </c>
      <c r="BA244" s="653">
        <v>44378</v>
      </c>
      <c r="CD244" s="656">
        <v>0.1</v>
      </c>
      <c r="CE244" s="486">
        <f>ROUND(CE243*0.1,0)</f>
        <v>103849</v>
      </c>
      <c r="CF244" s="490">
        <f>CE244*4</f>
        <v>415396</v>
      </c>
      <c r="CH244" s="481">
        <f>MAX(CH243:CI243,0)</f>
        <v>2400</v>
      </c>
      <c r="DB244" s="484"/>
      <c r="DD244" s="108"/>
      <c r="DE244" s="654"/>
      <c r="DF244" s="654"/>
      <c r="DG244" s="108"/>
    </row>
    <row r="245" spans="21:125" s="481" customFormat="1" ht="15" hidden="1">
      <c r="U245" s="483"/>
      <c r="V245" s="483"/>
      <c r="W245" s="483"/>
      <c r="X245" s="106"/>
      <c r="Y245" s="106"/>
      <c r="Z245" s="106"/>
      <c r="AA245" s="106"/>
      <c r="AB245" s="106"/>
      <c r="AC245" s="483"/>
      <c r="AD245" s="483"/>
      <c r="AE245" s="483"/>
      <c r="AF245" s="483"/>
      <c r="AG245" s="483"/>
      <c r="AH245" s="483"/>
      <c r="AZ245" s="574">
        <v>7</v>
      </c>
      <c r="BA245" s="653">
        <v>44409</v>
      </c>
      <c r="BX245" s="486"/>
      <c r="BY245" s="486"/>
      <c r="BZ245" s="486"/>
      <c r="CA245" s="486"/>
      <c r="CB245" s="486"/>
      <c r="CD245" s="489" t="s">
        <v>234</v>
      </c>
      <c r="CE245" s="486">
        <f>ROUND(CE244+CF245,0)</f>
        <v>187837</v>
      </c>
      <c r="CF245" s="490">
        <f>CG245</f>
        <v>83988</v>
      </c>
      <c r="CG245" s="481">
        <f>IF(Bill!G25=0,(Bill!N25+500),(Bill!G25+Bill!N25))</f>
        <v>83988</v>
      </c>
      <c r="CH245" s="481">
        <f>IF(CI251=1,CH243,"")</f>
        <v>2400</v>
      </c>
      <c r="CI245" s="481">
        <f>IF(CI251=2,CJ245,CK245)</f>
        <v>0</v>
      </c>
      <c r="CJ245" s="481">
        <f>CI243+CK243+CL243</f>
        <v>0</v>
      </c>
      <c r="CK245" s="481">
        <f>CK243+CL243</f>
        <v>0</v>
      </c>
      <c r="DB245" s="484"/>
      <c r="DD245" s="108"/>
      <c r="DE245" s="654"/>
      <c r="DF245" s="654"/>
      <c r="DG245" s="108"/>
      <c r="DQ245" s="566">
        <v>15030</v>
      </c>
      <c r="DR245" s="566">
        <v>15460</v>
      </c>
      <c r="DS245" s="566"/>
      <c r="DT245" s="566"/>
      <c r="DU245" s="566"/>
    </row>
    <row r="246" spans="21:125" s="481" customFormat="1" ht="15" hidden="1">
      <c r="U246" s="483"/>
      <c r="V246" s="483"/>
      <c r="W246" s="483"/>
      <c r="X246" s="106"/>
      <c r="Y246" s="106"/>
      <c r="Z246" s="106"/>
      <c r="AA246" s="106"/>
      <c r="AB246" s="106"/>
      <c r="AC246" s="483"/>
      <c r="AD246" s="483"/>
      <c r="AE246" s="483"/>
      <c r="AF246" s="483"/>
      <c r="AG246" s="483"/>
      <c r="AH246" s="483"/>
      <c r="AZ246" s="574">
        <v>8</v>
      </c>
      <c r="BA246" s="653">
        <v>44440</v>
      </c>
      <c r="BX246" s="486"/>
      <c r="BY246" s="486"/>
      <c r="BZ246" s="486"/>
      <c r="CA246" s="486"/>
      <c r="CB246" s="486"/>
      <c r="CD246" s="489"/>
      <c r="CE246" s="481">
        <f>ROUND(CE245/12,-1)+100</f>
        <v>15750</v>
      </c>
      <c r="CF246" s="490">
        <f>ROUND((CE247-CE244),-1)</f>
        <v>85150</v>
      </c>
      <c r="DB246" s="484"/>
      <c r="DC246" s="481">
        <v>1</v>
      </c>
      <c r="DD246" s="108"/>
      <c r="DE246" s="654">
        <v>14170</v>
      </c>
      <c r="DF246" s="654">
        <v>14600</v>
      </c>
      <c r="DG246" s="108"/>
      <c r="DQ246" s="566">
        <v>15460</v>
      </c>
      <c r="DR246" s="566">
        <v>15930</v>
      </c>
      <c r="DS246" s="566"/>
      <c r="DT246" s="566"/>
      <c r="DU246" s="566"/>
    </row>
    <row r="247" spans="21:125" s="481" customFormat="1" ht="15" hidden="1">
      <c r="U247" s="483"/>
      <c r="V247" s="483"/>
      <c r="W247" s="483"/>
      <c r="X247" s="106"/>
      <c r="Y247" s="106"/>
      <c r="Z247" s="106"/>
      <c r="AA247" s="106"/>
      <c r="AB247" s="106"/>
      <c r="AC247" s="483"/>
      <c r="AD247" s="483"/>
      <c r="AE247" s="483"/>
      <c r="AF247" s="483"/>
      <c r="AG247" s="483"/>
      <c r="AH247" s="483"/>
      <c r="AZ247" s="574">
        <v>9</v>
      </c>
      <c r="BA247" s="653">
        <v>44470</v>
      </c>
      <c r="BH247" s="1924">
        <v>1</v>
      </c>
      <c r="BI247" s="1924"/>
      <c r="BJ247" s="2036">
        <v>2</v>
      </c>
      <c r="BK247" s="2036"/>
      <c r="BL247" s="2037">
        <v>3</v>
      </c>
      <c r="BM247" s="2037"/>
      <c r="BN247" s="657"/>
      <c r="BO247" s="658"/>
      <c r="BP247" s="659"/>
      <c r="BQ247" s="659"/>
      <c r="BR247" s="660"/>
      <c r="BS247" s="659"/>
      <c r="BV247" s="503"/>
      <c r="BX247" s="486"/>
      <c r="BY247" s="486"/>
      <c r="BZ247" s="486"/>
      <c r="CA247" s="486"/>
      <c r="CB247" s="486"/>
      <c r="CD247" s="489"/>
      <c r="CE247" s="481">
        <f>CE246*12</f>
        <v>189000</v>
      </c>
      <c r="CF247" s="490"/>
      <c r="DB247" s="484"/>
      <c r="DC247" s="481">
        <v>2</v>
      </c>
      <c r="DD247" s="108"/>
      <c r="DE247" s="654">
        <v>14600</v>
      </c>
      <c r="DF247" s="654">
        <v>15030</v>
      </c>
      <c r="DG247" s="108"/>
      <c r="DQ247" s="566">
        <v>15930</v>
      </c>
      <c r="DR247" s="566">
        <v>16400</v>
      </c>
      <c r="DS247" s="566"/>
      <c r="DT247" s="566"/>
      <c r="DU247" s="566"/>
    </row>
    <row r="248" spans="21:125" s="481" customFormat="1" ht="15" hidden="1">
      <c r="U248" s="483"/>
      <c r="V248" s="483"/>
      <c r="W248" s="483"/>
      <c r="X248" s="106"/>
      <c r="Y248" s="106"/>
      <c r="Z248" s="106"/>
      <c r="AA248" s="106"/>
      <c r="AB248" s="106"/>
      <c r="AC248" s="483"/>
      <c r="AD248" s="483"/>
      <c r="AE248" s="483"/>
      <c r="AF248" s="483"/>
      <c r="AG248" s="483"/>
      <c r="AH248" s="483"/>
      <c r="AZ248" s="574">
        <v>10</v>
      </c>
      <c r="BA248" s="653">
        <v>44501</v>
      </c>
      <c r="BH248" s="489"/>
      <c r="BI248" s="575">
        <v>1</v>
      </c>
      <c r="BJ248" s="519"/>
      <c r="BK248" s="553">
        <v>1</v>
      </c>
      <c r="BL248" s="519"/>
      <c r="BM248" s="661">
        <v>1</v>
      </c>
      <c r="BN248" s="489"/>
      <c r="BO248" s="629"/>
      <c r="BP248" s="629"/>
      <c r="BQ248" s="629"/>
      <c r="BR248" s="660"/>
      <c r="BS248" s="629"/>
      <c r="BX248" s="486"/>
      <c r="BY248" s="486"/>
      <c r="BZ248" s="486"/>
      <c r="CA248" s="486"/>
      <c r="CB248" s="486"/>
      <c r="CD248" s="489"/>
      <c r="CF248" s="490"/>
      <c r="CI248" s="481" t="s">
        <v>3</v>
      </c>
      <c r="CJ248" s="481">
        <v>1</v>
      </c>
      <c r="DB248" s="484"/>
      <c r="DC248" s="481">
        <v>3</v>
      </c>
      <c r="DD248" s="108"/>
      <c r="DE248" s="654">
        <v>15030</v>
      </c>
      <c r="DF248" s="654">
        <v>15460</v>
      </c>
      <c r="DG248" s="108"/>
      <c r="DQ248" s="566">
        <v>16400</v>
      </c>
      <c r="DR248" s="566">
        <v>16870</v>
      </c>
      <c r="DS248" s="566"/>
      <c r="DT248" s="566"/>
      <c r="DU248" s="566"/>
    </row>
    <row r="249" spans="21:125" s="481" customFormat="1" ht="15" hidden="1">
      <c r="U249" s="483"/>
      <c r="V249" s="483"/>
      <c r="W249" s="483"/>
      <c r="X249" s="106"/>
      <c r="Y249" s="106"/>
      <c r="Z249" s="106"/>
      <c r="AA249" s="106"/>
      <c r="AB249" s="106"/>
      <c r="AC249" s="483"/>
      <c r="AD249" s="483"/>
      <c r="AE249" s="483"/>
      <c r="AF249" s="483"/>
      <c r="AG249" s="483"/>
      <c r="AH249" s="483"/>
      <c r="AZ249" s="574">
        <v>11</v>
      </c>
      <c r="BA249" s="653">
        <v>44531</v>
      </c>
      <c r="BD249" s="481">
        <f>IF(BG254=2,VLOOKUP(BI252,BS144:BT212,2,0),IF(BG254=3,VLOOKUP(BI252,BS144:BT212,2,0),IF(BG254=4,VLOOKUP(BI252,BS144:BT212,2,0),IF(BG254=5,VLOOKUP(BI252,BS144:BT212,2,0),IF(BG254=6,VLOOKUP(BI252,BS144:BU212,3,0),IF(BG254=7,VLOOKUP(BI252,BS144:BT212,2,0),IF(BG254=1,BI252,BI252)))))))</f>
        <v>10300</v>
      </c>
      <c r="BE249" s="591">
        <f>IF(BG254=2,VLOOKUP(BJ252,DE251:DF319,2,0),IF(BG254=3,VLOOKUP(BJ252,DE251:DF319,2,0),IF(BG254=4,VLOOKUP(BJ252,DE251:DF319,2,0),IF(BG254=5,VLOOKUP(BJ252,DE251:DF319,2,0),IF(BG254=6,VLOOKUP(BJ252,DE251:DG319,3,0),IF(BG254=7,VLOOKUP(BJ252,DE251:DF319,2,0),IF(BG254=1,BJ252,BJ252)))))))</f>
        <v>21820</v>
      </c>
      <c r="BH249" s="662">
        <v>7</v>
      </c>
      <c r="BI249" s="663">
        <f>VLOOKUP(BH249,AZ$239:BA$251,2,0)</f>
        <v>44409</v>
      </c>
      <c r="BJ249" s="486"/>
      <c r="BK249" s="486"/>
      <c r="BL249" s="486"/>
      <c r="BM249" s="486"/>
      <c r="BN249" s="486"/>
      <c r="BO249" s="486"/>
      <c r="BP249" s="629"/>
      <c r="BQ249" s="629"/>
      <c r="BR249" s="660"/>
      <c r="BS249" s="629"/>
      <c r="CD249" s="506"/>
      <c r="CE249" s="519"/>
      <c r="CF249" s="507"/>
      <c r="CI249" s="481" t="s">
        <v>98</v>
      </c>
      <c r="CJ249" s="481">
        <v>2</v>
      </c>
      <c r="DB249" s="484"/>
      <c r="DC249" s="481">
        <v>4</v>
      </c>
      <c r="DD249" s="108"/>
      <c r="DE249" s="654">
        <v>15460</v>
      </c>
      <c r="DF249" s="654">
        <v>15930</v>
      </c>
      <c r="DG249" s="108"/>
      <c r="DQ249" s="566">
        <v>16870</v>
      </c>
      <c r="DR249" s="664">
        <v>17380</v>
      </c>
      <c r="DS249" s="566"/>
      <c r="DT249" s="664"/>
      <c r="DU249" s="566"/>
    </row>
    <row r="250" spans="21:125" s="481" customFormat="1" ht="15" hidden="1">
      <c r="U250" s="483"/>
      <c r="V250" s="483"/>
      <c r="W250" s="483"/>
      <c r="X250" s="106"/>
      <c r="Y250" s="106"/>
      <c r="Z250" s="106"/>
      <c r="AA250" s="106"/>
      <c r="AB250" s="106"/>
      <c r="AC250" s="483"/>
      <c r="AD250" s="483"/>
      <c r="AE250" s="483"/>
      <c r="AF250" s="483"/>
      <c r="AG250" s="483"/>
      <c r="AH250" s="483"/>
      <c r="AZ250" s="574">
        <v>12</v>
      </c>
      <c r="BA250" s="653">
        <v>44562</v>
      </c>
      <c r="BD250" s="481" t="str">
        <f>IF(BG255=2,VLOOKUP(BD249,BS144:BT212,2,0),IF(BG255=3,VLOOKUP(BD249,BS144:BT212,2,0),IF(BG255=4,VLOOKUP(BD249,BS144:BT212,2,0),IF(BG255=5,VLOOKUP(BD249,BS144:BT212,2,0),IF(BG255=6,VLOOKUP(BD249,BS144:BU212,3,0),IF(BG255=7,VLOOKUP(BD249,BS144:BT212,2,0),IF(BG255=1,"")))))))</f>
        <v/>
      </c>
      <c r="BE250" s="591" t="str">
        <f>IF(BG255=2,VLOOKUP(BE249,DE251:DF319,2,0),IF(BG255=3,VLOOKUP(BE249,DE251:DF319,2,0),IF(BG255=4,VLOOKUP(BE249,DE251:DF319,2,0),IF(BG255=5,VLOOKUP(BE249,DE251:DF319,2,0),IF(BG255=6,VLOOKUP(BE249,DE251:DG319,2,0),IF(BG255=7,VLOOKUP(BE249,DE251:DF319,2,0),IF(BG255=1,"")))))))</f>
        <v/>
      </c>
      <c r="BH250" s="665">
        <v>9</v>
      </c>
      <c r="BI250" s="666">
        <f>VLOOKUP(BH250,AZ$239:BA$251,2,0)</f>
        <v>44470</v>
      </c>
      <c r="BJ250" s="486"/>
      <c r="BK250" s="486"/>
      <c r="BL250" s="486"/>
      <c r="BM250" s="486"/>
      <c r="BN250" s="513"/>
      <c r="BO250" s="486"/>
      <c r="BP250" s="631"/>
      <c r="BQ250" s="631"/>
      <c r="BR250" s="631"/>
      <c r="BS250" s="629"/>
      <c r="BZ250" s="481" t="str">
        <f>IF(BU254="","",BV254)</f>
        <v/>
      </c>
      <c r="CA250" s="503">
        <f>VLOOKUP(BD254,BU$265:BZ$278,6,0)</f>
        <v>0.33535999999999999</v>
      </c>
      <c r="CB250" s="481" t="str">
        <f>IF(BU254="","",ROUND(BU254*CA250,0))</f>
        <v/>
      </c>
      <c r="CC250" s="481">
        <f>VLOOKUP(BD254,AU$273:AX$285,4,0)</f>
        <v>20</v>
      </c>
      <c r="CD250" s="481" t="str">
        <f>IF(BU254="","",ROUND(BU254*CC250%,0))</f>
        <v/>
      </c>
      <c r="CE250" s="481" t="str">
        <f>IF(BU254="","",(BU254+CB250+CD250+CH257))</f>
        <v/>
      </c>
      <c r="DB250" s="484"/>
      <c r="DC250" s="481">
        <v>5</v>
      </c>
      <c r="DD250" s="108"/>
      <c r="DE250" s="654">
        <v>15930</v>
      </c>
      <c r="DF250" s="654">
        <v>16400</v>
      </c>
      <c r="DG250" s="664"/>
      <c r="DQ250" s="664">
        <v>17380</v>
      </c>
      <c r="DR250" s="664">
        <v>17890</v>
      </c>
      <c r="DS250" s="664"/>
      <c r="DT250" s="664"/>
      <c r="DU250" s="664"/>
    </row>
    <row r="251" spans="21:125" s="481" customFormat="1" ht="15" hidden="1">
      <c r="U251" s="483"/>
      <c r="V251" s="483"/>
      <c r="W251" s="483"/>
      <c r="X251" s="106"/>
      <c r="Y251" s="106"/>
      <c r="Z251" s="106"/>
      <c r="AA251" s="106"/>
      <c r="AB251" s="106"/>
      <c r="AC251" s="483"/>
      <c r="AD251" s="483"/>
      <c r="AE251" s="483"/>
      <c r="AF251" s="483"/>
      <c r="AG251" s="483"/>
      <c r="AH251" s="483"/>
      <c r="AZ251" s="577">
        <v>13</v>
      </c>
      <c r="BA251" s="667">
        <v>44593</v>
      </c>
      <c r="BD251" s="481" t="str">
        <f>IF(BG256=2,VLOOKUP(IF(BD250="",BD249,BD250),BS144:BT212,2,0),IF(BG256=3,VLOOKUP(IF(BD250="",BD249,BD250),BS144:BT212,2,0),IF(BG256=4,VLOOKUP(IF(BD250="",BD249,BD250),BS144:BT212,2,0),IF(BG256=5,VLOOKUP(IF(BD250="",BD249,BD250),BS144:BT212,2,0),IF(BG256=6,VLOOKUP(IF(BD250="",BD249,BD250),BS144:ET212,3,0),IF(BG256=7,VLOOKUP(IF(BD250="",BD249,BD250),BS144:BT212,2,0),IF(BG256=1,"",BD249)))))))</f>
        <v/>
      </c>
      <c r="BE251" s="591" t="str">
        <f>IF(BG256=2,VLOOKUP(IF(BE250="",BE249,BE250),DE251:DF319,2,0),IF(BG256=3,VLOOKUP(IF(BE250="",BE249,BE250),DE251:DF319,2,0),IF(BG256=4,VLOOKUP(IF(BE250="",BE249,BE250),DE251:DF319,2,0),IF(BG256=5,VLOOKUP(IF(BE250="",BE249,BE250),DE251:DF319,2,0),IF(BG256=6,VLOOKUP(IF(BE250="",BE249,BE250),DE251:DG319,3,0),IF(BG256=7,VLOOKUP(IF(BE250="",BE249,BE250),DE251:DF319,2,0),IF(BG256=1,"",BE249)))))))</f>
        <v/>
      </c>
      <c r="BH251" s="668">
        <v>11</v>
      </c>
      <c r="BI251" s="669">
        <f>VLOOKUP(BH251,AZ$239:BA$251,2,0)</f>
        <v>44531</v>
      </c>
      <c r="BJ251" s="486"/>
      <c r="BK251" s="486"/>
      <c r="BL251" s="486"/>
      <c r="BM251" s="486"/>
      <c r="BN251" s="513"/>
      <c r="BO251" s="486"/>
      <c r="BP251" s="631"/>
      <c r="BQ251" s="631"/>
      <c r="BR251" s="631"/>
      <c r="BS251" s="486"/>
      <c r="BZ251" s="481" t="str">
        <f>IF(BU255="","",BV255)</f>
        <v/>
      </c>
      <c r="CA251" s="503">
        <f>VLOOKUP(BD255,BU$265:BZ$278,6,0)</f>
        <v>0.33535999999999999</v>
      </c>
      <c r="CB251" s="481" t="str">
        <f>IF(BU255="","",ROUND(BU255*CA251,0))</f>
        <v/>
      </c>
      <c r="CC251" s="481">
        <f>VLOOKUP(BD255,AU$273:AX$286,4,0)</f>
        <v>20</v>
      </c>
      <c r="CD251" s="481" t="str">
        <f>IF(BU255="","",ROUND(BU255*CC251%,0))</f>
        <v/>
      </c>
      <c r="CE251" s="481" t="str">
        <f>IF(BU255="","",(BU255+CB251+CD251+CH258))</f>
        <v/>
      </c>
      <c r="CH251" s="481">
        <f>IF(CJ175=1,1,2)</f>
        <v>1</v>
      </c>
      <c r="CI251" s="481">
        <f>CH251</f>
        <v>1</v>
      </c>
      <c r="DB251" s="484"/>
      <c r="DC251" s="481">
        <v>6</v>
      </c>
      <c r="DD251" s="670">
        <v>6700</v>
      </c>
      <c r="DE251" s="654">
        <v>16400</v>
      </c>
      <c r="DF251" s="654">
        <v>16870</v>
      </c>
      <c r="DG251" s="664">
        <v>18400</v>
      </c>
      <c r="DQ251" s="664">
        <v>17890</v>
      </c>
      <c r="DR251" s="664">
        <v>17380</v>
      </c>
      <c r="DS251" s="664"/>
      <c r="DT251" s="664"/>
      <c r="DU251" s="664"/>
    </row>
    <row r="252" spans="21:125" s="481" customFormat="1" ht="15" hidden="1">
      <c r="U252" s="483"/>
      <c r="V252" s="483"/>
      <c r="W252" s="483"/>
      <c r="X252" s="106"/>
      <c r="Y252" s="106"/>
      <c r="Z252" s="106"/>
      <c r="AA252" s="106"/>
      <c r="AB252" s="106"/>
      <c r="AC252" s="483"/>
      <c r="AD252" s="483"/>
      <c r="AE252" s="483"/>
      <c r="AF252" s="483"/>
      <c r="AG252" s="483"/>
      <c r="AH252" s="483"/>
      <c r="BH252" s="671">
        <v>15</v>
      </c>
      <c r="BI252" s="672">
        <f>VLOOKUP(BH252,BR144:BS212,2,0)</f>
        <v>10020</v>
      </c>
      <c r="BJ252" s="673">
        <f>VLOOKUP(BH252,DC246:DE327,3,0)</f>
        <v>21230</v>
      </c>
      <c r="BN252" s="513"/>
      <c r="BP252" s="631"/>
      <c r="BQ252" s="631"/>
      <c r="BR252" s="631"/>
      <c r="BZ252" s="481" t="str">
        <f>IF(BU256="","",BV256)</f>
        <v/>
      </c>
      <c r="CA252" s="503">
        <f>VLOOKUP(BD256,BU$265:BZ$278,6,0)</f>
        <v>0.33535999999999999</v>
      </c>
      <c r="CB252" s="481" t="str">
        <f>IF(BU256="","",ROUND(BU256*CA252,0))</f>
        <v/>
      </c>
      <c r="CC252" s="481">
        <f>VLOOKUP(BD256,AU$273:AX$285,4,0)</f>
        <v>20</v>
      </c>
      <c r="CD252" s="481" t="str">
        <f>IF(BU256="","",ROUND(BU256*CC252%,0))</f>
        <v/>
      </c>
      <c r="CE252" s="481" t="str">
        <f>IF(BU256="","",(BU256+CB252+CD252+CH259))</f>
        <v/>
      </c>
      <c r="DB252" s="484"/>
      <c r="DC252" s="481">
        <v>7</v>
      </c>
      <c r="DD252" s="670">
        <v>6900</v>
      </c>
      <c r="DE252" s="654">
        <v>16870</v>
      </c>
      <c r="DF252" s="654">
        <v>17380</v>
      </c>
      <c r="DG252" s="664">
        <v>18950</v>
      </c>
      <c r="DQ252" s="664">
        <v>18400</v>
      </c>
      <c r="DR252" s="664">
        <v>17890</v>
      </c>
      <c r="DS252" s="664"/>
      <c r="DT252" s="664"/>
      <c r="DU252" s="664"/>
    </row>
    <row r="253" spans="21:125" s="481" customFormat="1" ht="15" hidden="1">
      <c r="U253" s="483"/>
      <c r="V253" s="483"/>
      <c r="W253" s="483"/>
      <c r="X253" s="106"/>
      <c r="Y253" s="106"/>
      <c r="Z253" s="106"/>
      <c r="AA253" s="106"/>
      <c r="AB253" s="106"/>
      <c r="AC253" s="483"/>
      <c r="AD253" s="483"/>
      <c r="AE253" s="483"/>
      <c r="AF253" s="483"/>
      <c r="AG253" s="483"/>
      <c r="AH253" s="483"/>
      <c r="AX253" s="481" t="s">
        <v>397</v>
      </c>
      <c r="AY253" s="505">
        <v>36526</v>
      </c>
      <c r="BK253" s="481" t="s">
        <v>235</v>
      </c>
      <c r="BL253" s="481" t="s">
        <v>236</v>
      </c>
      <c r="BM253" s="481" t="s">
        <v>237</v>
      </c>
      <c r="BT253" s="481" t="s">
        <v>232</v>
      </c>
      <c r="BX253" s="481" t="s">
        <v>373</v>
      </c>
      <c r="BY253" s="481" t="s">
        <v>816</v>
      </c>
      <c r="CF253" s="481" t="str">
        <f>BF254</f>
        <v>Increment after Jan-21</v>
      </c>
      <c r="CG253" s="514">
        <f>BD254</f>
        <v>44409</v>
      </c>
      <c r="CH253" s="481">
        <f>BR254</f>
        <v>31</v>
      </c>
      <c r="CI253" s="481">
        <f>BP257</f>
        <v>31</v>
      </c>
      <c r="DB253" s="484"/>
      <c r="DC253" s="481">
        <v>8</v>
      </c>
      <c r="DD253" s="670">
        <v>7100</v>
      </c>
      <c r="DE253" s="654">
        <v>17380</v>
      </c>
      <c r="DF253" s="654">
        <v>17890</v>
      </c>
      <c r="DG253" s="664">
        <v>19500</v>
      </c>
      <c r="DQ253" s="664">
        <v>18950</v>
      </c>
      <c r="DR253" s="664">
        <v>18400</v>
      </c>
      <c r="DS253" s="664"/>
      <c r="DT253" s="664"/>
      <c r="DU253" s="664"/>
    </row>
    <row r="254" spans="21:125" s="481" customFormat="1" ht="15" hidden="1">
      <c r="U254" s="483"/>
      <c r="V254" s="483"/>
      <c r="W254" s="483"/>
      <c r="X254" s="106"/>
      <c r="Y254" s="106"/>
      <c r="Z254" s="106"/>
      <c r="AA254" s="106"/>
      <c r="AB254" s="106"/>
      <c r="AC254" s="483"/>
      <c r="AD254" s="483"/>
      <c r="AE254" s="483"/>
      <c r="AF254" s="483"/>
      <c r="AG254" s="483"/>
      <c r="AH254" s="483"/>
      <c r="AX254" s="487" t="s">
        <v>2</v>
      </c>
      <c r="AY254" s="674">
        <v>44197</v>
      </c>
      <c r="AZ254" s="509">
        <v>100</v>
      </c>
      <c r="BA254" s="509" t="s">
        <v>2</v>
      </c>
      <c r="BB254" s="488">
        <v>100</v>
      </c>
      <c r="BD254" s="514">
        <f>BI249</f>
        <v>44409</v>
      </c>
      <c r="BE254" s="487">
        <v>1</v>
      </c>
      <c r="BF254" s="509" t="str">
        <f>BE274</f>
        <v>Increment after Jan-21</v>
      </c>
      <c r="BG254" s="509">
        <f>VLOOKUP(BF254,BD267:BE273,2,0)</f>
        <v>2</v>
      </c>
      <c r="BH254" s="509">
        <f>IF(BG254=2,VLOOKUP(BI252,BS144:BT212,2,0),IF(BG254=3,VLOOKUP(BI252,BS144:BT212,2,0),IF(BG254=4,VLOOKUP(BI252,BS144:BT212,2,0),IF(BG254=5,VLOOKUP(BI252,BV152:BW204,2,0),IF(BG254=6,VLOOKUP(BI252,BZ152:CA204,2,0),IF(BG254=7,VLOOKUP(BI252,BS144:BT212,2,0),IF(BG254=1,BI252,BI252)))))))</f>
        <v>10300</v>
      </c>
      <c r="BI254" s="509">
        <f>IF(BG254=2,VLOOKUP(BJ252,DE246:DF327,2,0),IF(BG254=3,VLOOKUP(BJ252,DE246:DF327,2,0),IF(BG254=4,VLOOKUP(BJ252,DE246:DF327,2,0),IF(BG254=5,VLOOKUP(BJ252,DI258:DJ319,2,0),IF(BG254=6,VLOOKUP(BJ252,DI258:DL319,4,0),IF(BG254=7,VLOOKUP(BJ252,DE246:DF327,2,0),IF(BG254=1,BJ252,BJ252)))))))</f>
        <v>21820</v>
      </c>
      <c r="BJ254" s="509"/>
      <c r="BK254" s="675">
        <v>1</v>
      </c>
      <c r="BL254" s="509">
        <f>MONTH(BD254)</f>
        <v>8</v>
      </c>
      <c r="BM254" s="509">
        <f>YEAR(BD254)</f>
        <v>2021</v>
      </c>
      <c r="BN254" s="509">
        <f>VLOOKUP(BD254,BO$261:BQ$274,3,0)</f>
        <v>8</v>
      </c>
      <c r="BO254" s="676">
        <f>DATE(BM254,BL254,BK254)</f>
        <v>44409</v>
      </c>
      <c r="BP254" s="676">
        <f>BL257</f>
        <v>44439</v>
      </c>
      <c r="BQ254" s="509">
        <f>BP254-BO254</f>
        <v>30</v>
      </c>
      <c r="BR254" s="509">
        <f>BQ254+1</f>
        <v>31</v>
      </c>
      <c r="BS254" s="509">
        <f>VLOOKUP(BD254,BO$261:BP$274,2,0)</f>
        <v>21820</v>
      </c>
      <c r="BT254" s="509">
        <f>ROUND(BT257/BP257*BR254,0)</f>
        <v>0</v>
      </c>
      <c r="BU254" s="509" t="str">
        <f>IF(BF254=BD$271,BT254,IF(BF254=BD$272,BT254,IF(BF254=BD$273,BT254,IF(BF254=BD$268,"",IF(BF254=BD$269,"",IF(BF254=BD$270,"",IF(BF254=BD$267,"")))))))</f>
        <v/>
      </c>
      <c r="BV254" s="489" t="str">
        <f>IF(BF254=BD$271,BF254,IF(BF254=BD$272,BF254,IF(BF254=BD$273,BF254,IF(BF254=BD$268,"",IF(BF254=BD$269,"",IF(BF254=BD$270,"",IF(BF254=BD$267,"")))))))</f>
        <v/>
      </c>
      <c r="BX254" s="481" t="str">
        <f>IF(BT254=0,"",ROUND(L20*BR254/BP257,0))</f>
        <v/>
      </c>
      <c r="BY254" s="481" t="str">
        <f>IF(BT254=0,"",ROUND(L23*BR254/BP257,0))</f>
        <v/>
      </c>
      <c r="CF254" s="481" t="str">
        <f>BF255</f>
        <v>No Change</v>
      </c>
      <c r="CG254" s="514">
        <f>BD255</f>
        <v>44470</v>
      </c>
      <c r="CH254" s="481">
        <f>BR255</f>
        <v>18</v>
      </c>
      <c r="CI254" s="481">
        <f>BP258</f>
        <v>31</v>
      </c>
      <c r="DB254" s="484"/>
      <c r="DC254" s="481">
        <v>9</v>
      </c>
      <c r="DD254" s="670">
        <v>7520</v>
      </c>
      <c r="DE254" s="654">
        <v>17890</v>
      </c>
      <c r="DF254" s="654">
        <v>18400</v>
      </c>
      <c r="DG254" s="664">
        <v>20050</v>
      </c>
      <c r="DQ254" s="664">
        <v>19500</v>
      </c>
      <c r="DR254" s="664">
        <v>18950</v>
      </c>
      <c r="DS254" s="664"/>
      <c r="DT254" s="664"/>
      <c r="DU254" s="664"/>
    </row>
    <row r="255" spans="21:125" s="481" customFormat="1" ht="15" hidden="1">
      <c r="U255" s="483"/>
      <c r="V255" s="483"/>
      <c r="W255" s="483"/>
      <c r="X255" s="106"/>
      <c r="Y255" s="106"/>
      <c r="Z255" s="106"/>
      <c r="AA255" s="106"/>
      <c r="AB255" s="106"/>
      <c r="AC255" s="483"/>
      <c r="AD255" s="483"/>
      <c r="AE255" s="483"/>
      <c r="AF255" s="483"/>
      <c r="AG255" s="483"/>
      <c r="AH255" s="483"/>
      <c r="AW255" s="481">
        <v>1</v>
      </c>
      <c r="AX255" s="558">
        <v>44197</v>
      </c>
      <c r="AY255" s="512">
        <v>44228</v>
      </c>
      <c r="AZ255" s="486">
        <v>2</v>
      </c>
      <c r="BA255" s="512">
        <v>44197</v>
      </c>
      <c r="BB255" s="490">
        <v>1</v>
      </c>
      <c r="BD255" s="514">
        <f>BI250</f>
        <v>44470</v>
      </c>
      <c r="BE255" s="489">
        <v>2</v>
      </c>
      <c r="BF255" s="486" t="str">
        <f>BE275</f>
        <v>No Change</v>
      </c>
      <c r="BG255" s="486">
        <f>VLOOKUP(BF255,BD267:BE273,2,0)</f>
        <v>1</v>
      </c>
      <c r="BH255" s="486" t="str">
        <f>IF(BG255=2,VLOOKUP(BH254,BS144:BT212,2,0),IF(BG255=3,VLOOKUP(BH254,BS144:BT212,2,0),IF(BG255=4,VLOOKUP(BH254,BS144:BT212,2,0),IF(BG255=5,VLOOKUP(BH254,BV152:BW204,2,0),IF(BG255=6,VLOOKUP(BH254,BZ152:CB204,2,0),IF(BG255=7,VLOOKUP(BH254,BS144:BT212,2,0),IF(BG255=1,"")))))))</f>
        <v/>
      </c>
      <c r="BI255" s="486" t="str">
        <f>IF(BG255=2,VLOOKUP(BI254,DE246:DF327,2,0),IF(BG255=3,VLOOKUP(BI254,DE246:DF327,2,0),IF(BG255=4,VLOOKUP(BI254,DE246:DF327,2,0),IF(BG255=5,VLOOKUP(BI254,DI258:DJ319,2,0),IF(BG255=6,VLOOKUP(BI254,DI258:DL319,4,0),IF(BG255=7,VLOOKUP(BI254,DE246:DF327,2,0),IF(BG255=1,"")))))))</f>
        <v/>
      </c>
      <c r="BJ255" s="486"/>
      <c r="BK255" s="550">
        <v>14</v>
      </c>
      <c r="BL255" s="486">
        <f>MONTH(BD255)</f>
        <v>10</v>
      </c>
      <c r="BM255" s="486">
        <f>YEAR(BD255)</f>
        <v>2021</v>
      </c>
      <c r="BN255" s="486">
        <f>VLOOKUP(BD255,BO$261:BQ$274,3,0)</f>
        <v>10</v>
      </c>
      <c r="BO255" s="513">
        <f>DATE(BM255,BL255,BK255)</f>
        <v>44483</v>
      </c>
      <c r="BP255" s="513">
        <f>BL258</f>
        <v>44500</v>
      </c>
      <c r="BQ255" s="486">
        <f>BP255-BO255</f>
        <v>17</v>
      </c>
      <c r="BR255" s="486">
        <f>BQ255+1</f>
        <v>18</v>
      </c>
      <c r="BS255" s="486">
        <f>IF(BL254=2,BP273,VLOOKUP(BD255,BO$261:BP$275,2,0))</f>
        <v>21820</v>
      </c>
      <c r="BT255" s="486" t="str">
        <f>IF(BS258="","",ROUND(BT258/BP258*BR255,0))</f>
        <v/>
      </c>
      <c r="BU255" s="486" t="str">
        <f>IF(BI255="","",IF(BF255=BD$271,BT255,IF(BF255=BD$272,BT255,IF(BF255=BD$273,BT255,IF(BF255=BD$268,"",IF(BF255=BD$269,"",IF(BF255=BD$270,"",IF(BF255=BD$267,""))))))))</f>
        <v/>
      </c>
      <c r="BV255" s="489" t="str">
        <f>IF(BF255=BD$271,BF255,IF(BF255=BD$272,BF255,IF(BF255=BD$273,BF255,IF(BF255=BD$268,"",IF(BF255=BD$269,"",IF(BF255=BD$270,"",IF(BF255=BD$267,"")))))))</f>
        <v/>
      </c>
      <c r="BX255" s="481">
        <f>IF(BT255=0,"",ROUND(L20*BR255/BP258,0))</f>
        <v>0</v>
      </c>
      <c r="BY255" s="481">
        <f>IF(BT255=0,"",ROUND(L23*BR255/BP258,0))</f>
        <v>0</v>
      </c>
      <c r="CF255" s="481" t="str">
        <f>BF256</f>
        <v>No Change</v>
      </c>
      <c r="CG255" s="514">
        <f>BD256</f>
        <v>44531</v>
      </c>
      <c r="CH255" s="481">
        <f>BR256</f>
        <v>20</v>
      </c>
      <c r="CI255" s="481">
        <f>BP259</f>
        <v>31</v>
      </c>
      <c r="CV255" s="632">
        <f>CS262</f>
        <v>1057680</v>
      </c>
      <c r="DB255" s="484"/>
      <c r="DC255" s="481">
        <v>10</v>
      </c>
      <c r="DD255" s="670">
        <v>7740</v>
      </c>
      <c r="DE255" s="654">
        <v>18400</v>
      </c>
      <c r="DF255" s="654">
        <v>18950</v>
      </c>
      <c r="DG255" s="664">
        <v>20640</v>
      </c>
      <c r="DQ255" s="664">
        <v>20050</v>
      </c>
      <c r="DR255" s="664">
        <v>19500</v>
      </c>
      <c r="DS255" s="664"/>
      <c r="DT255" s="664"/>
      <c r="DU255" s="664"/>
    </row>
    <row r="256" spans="21:125" s="481" customFormat="1" ht="15" hidden="1">
      <c r="U256" s="483"/>
      <c r="V256" s="483"/>
      <c r="W256" s="483"/>
      <c r="X256" s="106"/>
      <c r="Y256" s="106"/>
      <c r="Z256" s="106"/>
      <c r="AA256" s="106"/>
      <c r="AB256" s="106"/>
      <c r="AC256" s="483"/>
      <c r="AD256" s="483"/>
      <c r="AE256" s="483"/>
      <c r="AF256" s="483"/>
      <c r="AG256" s="483"/>
      <c r="AH256" s="483"/>
      <c r="AW256" s="481">
        <v>2</v>
      </c>
      <c r="AX256" s="558">
        <v>44228</v>
      </c>
      <c r="AY256" s="512">
        <v>44256</v>
      </c>
      <c r="AZ256" s="486">
        <v>3</v>
      </c>
      <c r="BA256" s="512">
        <v>44228</v>
      </c>
      <c r="BB256" s="490">
        <v>2</v>
      </c>
      <c r="BD256" s="514">
        <f>BI251</f>
        <v>44531</v>
      </c>
      <c r="BE256" s="489">
        <v>3</v>
      </c>
      <c r="BF256" s="486" t="str">
        <f>BE276</f>
        <v>No Change</v>
      </c>
      <c r="BG256" s="486">
        <f>VLOOKUP(BF256,BD267:BE273,2,0)</f>
        <v>1</v>
      </c>
      <c r="BH256" s="486" t="str">
        <f>IF(BG256=2,VLOOKUP(IF(BH255="",BH254,BH255),BS144:BT212,2,0),IF(BG256=3,VLOOKUP(IF(BH255="",BH254,BH255),BS144:BT212,2,0),IF(BG256=4,VLOOKUP(IF(BH255="",BH254,BH255),BS144:BT212,2,0),IF(BG256=5,VLOOKUP(IF(BH255="",BH254,BH255),BV152:BW204,2,0),IF(BG256=6,VLOOKUP(IF(BH255="",BH254,BH255),BZ152:CB204,2,0),IF(BG256=7,VLOOKUP(IF(BH255="",BH254,BH255),BS144:BT212,2,0),IF(BG256=1,"",BH254)))))))</f>
        <v/>
      </c>
      <c r="BI256" s="486" t="str">
        <f>IF(BG256=2,VLOOKUP(IF(BI255="",BI254,BI255),DE246:DF327,2,0),IF(BG256=3,VLOOKUP(IF(BI255="",BI254,BI255),DE246:DF327,2,0),IF(BG256=4,VLOOKUP(IF(BI255="",BI254,BI255),DE246:DF327,2,0),IF(BG256=5,VLOOKUP(IF(BI255="",BI254,BI255),DI258:DJ319,2,0),IF(BG256=6,VLOOKUP(IF(BI255="",BI254,BI255),DI258:DL319,4,0),IF(BG256=7,VLOOKUP(IF(BI255="",BI254,BI255),DE246:DF327,2,0),IF(BG256=1,"",BI254)))))))</f>
        <v/>
      </c>
      <c r="BJ256" s="486"/>
      <c r="BK256" s="550">
        <v>12</v>
      </c>
      <c r="BL256" s="486">
        <f>MONTH(BD256)</f>
        <v>12</v>
      </c>
      <c r="BM256" s="486">
        <f>YEAR(BD256)</f>
        <v>2021</v>
      </c>
      <c r="BN256" s="486">
        <f>VLOOKUP(BD256,BO$261:BQ$274,3,0)</f>
        <v>12</v>
      </c>
      <c r="BO256" s="513">
        <f>DATE(BM256,BL256,BK256)</f>
        <v>44542</v>
      </c>
      <c r="BP256" s="513">
        <f>BL259</f>
        <v>44561</v>
      </c>
      <c r="BQ256" s="486">
        <f>BP256-BO256</f>
        <v>19</v>
      </c>
      <c r="BR256" s="486">
        <f>BQ256+1</f>
        <v>20</v>
      </c>
      <c r="BS256" s="486">
        <f>VLOOKUP(BD256,BO$261:BP$274,2,0)</f>
        <v>21820</v>
      </c>
      <c r="BT256" s="486" t="str">
        <f>IF(BT259="","",ROUND(BT259/BP259*BR256,0))</f>
        <v/>
      </c>
      <c r="BU256" s="490" t="str">
        <f>IF(BH256="","",IF(BF256=BD$271,BT256,IF(BF256=BD$272,BT256,IF(BF256=BD$273,BT256,IF(BF256=BD$268,"",IF(BF256=BD$269,"",IF(BF256=BD$270,"",IF(BF256=BD$267,""))))))))</f>
        <v/>
      </c>
      <c r="BV256" s="481" t="str">
        <f>IF(BF256=BD$271,BF256,IF(BF256=BD$272,BF256,IF(BF256=BD$273,BF256,IF(BF256=BD$268,"",IF(BF256=BD$269,"",IF(BF256=BD$270,"",IF(BF256=BD$267,"")))))))</f>
        <v/>
      </c>
      <c r="BX256" s="481">
        <f>IF(BT256=0,"",ROUND(L20*BR256/BP259,0))</f>
        <v>0</v>
      </c>
      <c r="BY256" s="481">
        <f>IF(BT256=0,"",ROUND(L23*BR256/BP259,0))</f>
        <v>0</v>
      </c>
      <c r="CH256" s="481" t="str">
        <f>IF(BV257="","",VLOOKUP(BV257,CF253:CH255,3,0))</f>
        <v/>
      </c>
      <c r="CI256" s="481" t="str">
        <f>IF(BV257="","",VLOOKUP(BV257,CF253:CI255,4,0))</f>
        <v/>
      </c>
      <c r="CV256" s="632">
        <f>CV255-CR262</f>
        <v>807680</v>
      </c>
      <c r="DB256" s="484"/>
      <c r="DC256" s="481">
        <v>11</v>
      </c>
      <c r="DD256" s="670">
        <v>7960</v>
      </c>
      <c r="DE256" s="654">
        <v>18950</v>
      </c>
      <c r="DF256" s="654">
        <v>19500</v>
      </c>
      <c r="DG256" s="664">
        <v>21230</v>
      </c>
      <c r="DJ256" s="1899" t="s">
        <v>548</v>
      </c>
      <c r="DK256" s="1899"/>
      <c r="DL256" s="1823" t="s">
        <v>36</v>
      </c>
      <c r="DM256" s="1823"/>
      <c r="DN256" s="677"/>
      <c r="DQ256" s="664">
        <v>20640</v>
      </c>
      <c r="DR256" s="664">
        <v>20050</v>
      </c>
      <c r="DS256" s="664"/>
      <c r="DT256" s="664"/>
      <c r="DU256" s="664"/>
    </row>
    <row r="257" spans="21:125" s="481" customFormat="1" ht="15" hidden="1">
      <c r="U257" s="483"/>
      <c r="V257" s="483"/>
      <c r="W257" s="483"/>
      <c r="X257" s="106"/>
      <c r="Y257" s="106"/>
      <c r="Z257" s="106"/>
      <c r="AA257" s="106"/>
      <c r="AB257" s="106"/>
      <c r="AC257" s="483"/>
      <c r="AD257" s="483"/>
      <c r="AE257" s="483"/>
      <c r="AF257" s="483"/>
      <c r="AG257" s="483"/>
      <c r="AH257" s="483"/>
      <c r="AV257" s="481">
        <v>1</v>
      </c>
      <c r="AW257" s="481">
        <v>3</v>
      </c>
      <c r="AX257" s="558">
        <v>44256</v>
      </c>
      <c r="AY257" s="512">
        <v>44287</v>
      </c>
      <c r="AZ257" s="486">
        <v>4</v>
      </c>
      <c r="BA257" s="512">
        <v>44256</v>
      </c>
      <c r="BB257" s="490">
        <v>3</v>
      </c>
      <c r="BD257" s="678"/>
      <c r="BE257" s="506"/>
      <c r="BF257" s="519"/>
      <c r="BG257" s="519"/>
      <c r="BH257" s="519"/>
      <c r="BI257" s="519"/>
      <c r="BJ257" s="519"/>
      <c r="BK257" s="489"/>
      <c r="BL257" s="513">
        <f>VLOOKUP(BI249,BF$156:BG$169,2,TRUE)</f>
        <v>44439</v>
      </c>
      <c r="BM257" s="486"/>
      <c r="BN257" s="486"/>
      <c r="BO257" s="486"/>
      <c r="BP257" s="486">
        <f>DAY(BP254)</f>
        <v>31</v>
      </c>
      <c r="BQ257" s="486"/>
      <c r="BR257" s="486"/>
      <c r="BS257" s="486">
        <f>BI254</f>
        <v>21820</v>
      </c>
      <c r="BT257" s="486">
        <f>IF(BS257="","",BS257-BS254)</f>
        <v>0</v>
      </c>
      <c r="BU257" s="490"/>
      <c r="BV257" s="481" t="str">
        <f>IF(BV254=BF254,BV254,IF(BV255=BF255,BV255,IF(BV256=BF256,BV256,IF(BV254="",IF(BV255="",IF(BV256="",""))))))</f>
        <v/>
      </c>
      <c r="CA257" s="481">
        <f>IF(BV257=BV254,CA254,IF(BV257=BV255,CA255,IF(BV257=BV256,CA256,IF(BV257="",""))))</f>
        <v>0</v>
      </c>
      <c r="CC257" s="481">
        <f>IF(BV257=BV254,CC254,IF(BV257=BV255,CC255,IF(BV257=BV256,CC256,IF(BV257="",""))))</f>
        <v>0</v>
      </c>
      <c r="CD257" s="481">
        <f>IF(BV257=BV254,CD254,IF(BV257=BV255,CD255,IF(BV257=BV256,CD256,IF(BV257="",""))))</f>
        <v>0</v>
      </c>
      <c r="CE257" s="481" t="s">
        <v>238</v>
      </c>
      <c r="CF257" s="514" t="str">
        <f>IF(BU254="","",VLOOKUP(BV254,CF$253:CG$255,2,0))</f>
        <v/>
      </c>
      <c r="CG257" s="481" t="str">
        <f>IF(CF257="","",VLOOKUP(CF257,BH283:BJ296,3,0))</f>
        <v/>
      </c>
      <c r="CH257" s="481" t="str">
        <f>IF(BU254="","",ROUND(CE258*BU254/BS257,0))</f>
        <v/>
      </c>
      <c r="CV257" s="484">
        <f>IF(CV256&gt;CR262,CR262,CV256)</f>
        <v>250000</v>
      </c>
      <c r="CW257" s="481">
        <f>CR263+CR262</f>
        <v>750000</v>
      </c>
      <c r="DB257" s="484"/>
      <c r="DC257" s="481">
        <v>12</v>
      </c>
      <c r="DD257" s="670">
        <v>8440</v>
      </c>
      <c r="DE257" s="654">
        <v>19500</v>
      </c>
      <c r="DF257" s="654">
        <v>20050</v>
      </c>
      <c r="DG257" s="677">
        <v>21820</v>
      </c>
      <c r="DI257" s="679"/>
      <c r="DJ257" s="679"/>
      <c r="DK257" s="679"/>
      <c r="DL257" s="586"/>
      <c r="DM257" s="680"/>
      <c r="DN257" s="677"/>
      <c r="DQ257" s="664">
        <v>21230</v>
      </c>
      <c r="DR257" s="664">
        <v>20640</v>
      </c>
      <c r="DS257" s="664"/>
      <c r="DT257" s="664"/>
      <c r="DU257" s="664"/>
    </row>
    <row r="258" spans="21:125" s="481" customFormat="1" ht="15" hidden="1">
      <c r="U258" s="483"/>
      <c r="V258" s="483"/>
      <c r="W258" s="483"/>
      <c r="X258" s="106"/>
      <c r="Y258" s="106"/>
      <c r="Z258" s="106"/>
      <c r="AA258" s="106"/>
      <c r="AB258" s="106"/>
      <c r="AC258" s="483"/>
      <c r="AD258" s="483"/>
      <c r="AE258" s="483"/>
      <c r="AF258" s="483"/>
      <c r="AG258" s="483"/>
      <c r="AH258" s="483"/>
      <c r="AV258" s="481">
        <v>2</v>
      </c>
      <c r="AW258" s="481">
        <v>4</v>
      </c>
      <c r="AX258" s="558">
        <v>44287</v>
      </c>
      <c r="AY258" s="512">
        <v>44317</v>
      </c>
      <c r="AZ258" s="486">
        <v>5</v>
      </c>
      <c r="BA258" s="512">
        <v>44287</v>
      </c>
      <c r="BB258" s="490">
        <v>4</v>
      </c>
      <c r="BC258" s="514"/>
      <c r="BD258" s="514"/>
      <c r="BK258" s="489"/>
      <c r="BL258" s="513">
        <f>VLOOKUP(BI250,BF$156:BG$169,2,TRUE)</f>
        <v>44500</v>
      </c>
      <c r="BM258" s="486"/>
      <c r="BN258" s="486"/>
      <c r="BO258" s="486"/>
      <c r="BP258" s="486">
        <f>DAY(BP255)</f>
        <v>31</v>
      </c>
      <c r="BQ258" s="486"/>
      <c r="BR258" s="486"/>
      <c r="BS258" s="486" t="str">
        <f>BI255</f>
        <v/>
      </c>
      <c r="BT258" s="486" t="str">
        <f>IF(BS258="","",BS258-BS255)</f>
        <v/>
      </c>
      <c r="BU258" s="490"/>
      <c r="BV258" s="481" t="str">
        <f>IF(BU254=BT254,BU254,IF(BU255=BT255,BU255,IF(BU256=BT256,BU256,IF(BU254="",IF(BU255="",IF(BU256="",""))))))</f>
        <v/>
      </c>
      <c r="CA258" s="481" t="str">
        <f>IF(BV258="","",CA257)</f>
        <v/>
      </c>
      <c r="CC258" s="481" t="str">
        <f>IF(BV258="","",CC257)</f>
        <v/>
      </c>
      <c r="CE258" s="481" t="str">
        <f>IF(BU254="","",IF(CJ$175=2,VLOOKUP(CF257,BH$283:BJ$296,3,0),IF(CJ$175=3,VLOOKUP(CF257,BH$283:BJ$296,3,0),IF(CJ$175=1,0))))</f>
        <v/>
      </c>
      <c r="CF258" s="514" t="str">
        <f>IF(BU255="","",VLOOKUP(BV255,CF$253:CG$255,2,0))</f>
        <v/>
      </c>
      <c r="CH258" s="481" t="str">
        <f>IF(BU255="","",ROUND(CE259*BU255/BS258,0))</f>
        <v/>
      </c>
      <c r="CV258" s="632">
        <f>IF((CV256-CW257)&gt;0,(CV256-CW257),0)</f>
        <v>57680</v>
      </c>
      <c r="DB258" s="484"/>
      <c r="DC258" s="481">
        <v>13</v>
      </c>
      <c r="DD258" s="670">
        <v>9200</v>
      </c>
      <c r="DE258" s="654">
        <v>20050</v>
      </c>
      <c r="DF258" s="654">
        <v>20640</v>
      </c>
      <c r="DG258" s="677">
        <v>22460</v>
      </c>
      <c r="DI258" s="677">
        <v>21230</v>
      </c>
      <c r="DJ258" s="677">
        <v>28940</v>
      </c>
      <c r="DK258" s="677">
        <v>35120</v>
      </c>
      <c r="DL258" s="677">
        <v>28940</v>
      </c>
      <c r="DM258" s="677">
        <v>35120</v>
      </c>
      <c r="DN258" s="677"/>
      <c r="DQ258" s="677">
        <v>21820</v>
      </c>
      <c r="DR258" s="664">
        <v>21230</v>
      </c>
      <c r="DS258" s="677"/>
      <c r="DT258" s="664"/>
      <c r="DU258" s="677"/>
    </row>
    <row r="259" spans="21:125" s="481" customFormat="1" ht="15" hidden="1">
      <c r="U259" s="483"/>
      <c r="V259" s="483"/>
      <c r="W259" s="483"/>
      <c r="X259" s="106"/>
      <c r="Y259" s="106"/>
      <c r="Z259" s="106"/>
      <c r="AA259" s="106"/>
      <c r="AB259" s="106"/>
      <c r="AC259" s="483"/>
      <c r="AD259" s="483"/>
      <c r="AE259" s="483"/>
      <c r="AF259" s="483"/>
      <c r="AG259" s="483"/>
      <c r="AH259" s="483"/>
      <c r="AV259" s="481">
        <v>3</v>
      </c>
      <c r="AW259" s="481">
        <v>5</v>
      </c>
      <c r="AX259" s="558">
        <v>44317</v>
      </c>
      <c r="AY259" s="512">
        <v>44348</v>
      </c>
      <c r="AZ259" s="486">
        <v>6</v>
      </c>
      <c r="BA259" s="512">
        <v>44317</v>
      </c>
      <c r="BB259" s="490">
        <v>5</v>
      </c>
      <c r="BC259" s="514"/>
      <c r="BD259" s="514"/>
      <c r="BK259" s="506"/>
      <c r="BL259" s="513">
        <f>VLOOKUP(BI251,BF$156:BG$169,2,TRUE)</f>
        <v>44561</v>
      </c>
      <c r="BM259" s="519"/>
      <c r="BN259" s="519"/>
      <c r="BO259" s="519"/>
      <c r="BP259" s="519">
        <f>DAY(BP256)</f>
        <v>31</v>
      </c>
      <c r="BQ259" s="519"/>
      <c r="BR259" s="519"/>
      <c r="BS259" s="519" t="str">
        <f>BI256</f>
        <v/>
      </c>
      <c r="BT259" s="519" t="str">
        <f>IF(BS259="","",(BS259-BS256))</f>
        <v/>
      </c>
      <c r="BU259" s="507"/>
      <c r="BV259" s="481" t="str">
        <f>CONCATENATE(BV257," Arrears")</f>
        <v xml:space="preserve"> Arrears</v>
      </c>
      <c r="BW259" s="503">
        <v>0.24104</v>
      </c>
      <c r="CE259" s="481" t="str">
        <f>IF(BU255="","",IF(CJ$175=2,VLOOKUP(CF258,BH$283:BJ$296,3,0),IF(CJ$175=3,VLOOKUP(CF258,BH$283:BJ$296,3,0),IF(CJ$175=1,0))))</f>
        <v/>
      </c>
      <c r="CF259" s="514" t="str">
        <f>IF(BU256="","",VLOOKUP(BV256,CF$253:CG$255,2,0))</f>
        <v/>
      </c>
      <c r="CH259" s="481" t="str">
        <f>IF(BU256="","",ROUND(CE260*BU256/BS259,0))</f>
        <v/>
      </c>
      <c r="DB259" s="484"/>
      <c r="DC259" s="481">
        <v>14</v>
      </c>
      <c r="DD259" s="670">
        <v>9460</v>
      </c>
      <c r="DE259" s="654">
        <v>20640</v>
      </c>
      <c r="DF259" s="654">
        <v>21230</v>
      </c>
      <c r="DG259" s="677">
        <v>23100</v>
      </c>
      <c r="DI259" s="677">
        <v>22460</v>
      </c>
      <c r="DJ259" s="677">
        <v>28940</v>
      </c>
      <c r="DK259" s="677">
        <v>35120</v>
      </c>
      <c r="DL259" s="677">
        <v>28940</v>
      </c>
      <c r="DM259" s="677">
        <v>35120</v>
      </c>
      <c r="DN259" s="677"/>
      <c r="DQ259" s="677">
        <v>22460</v>
      </c>
      <c r="DR259" s="677">
        <v>21820</v>
      </c>
      <c r="DS259" s="677"/>
      <c r="DT259" s="677"/>
      <c r="DU259" s="677"/>
    </row>
    <row r="260" spans="21:125" s="481" customFormat="1" ht="15" hidden="1">
      <c r="U260" s="483"/>
      <c r="V260" s="483"/>
      <c r="W260" s="483"/>
      <c r="X260" s="106"/>
      <c r="Y260" s="106"/>
      <c r="Z260" s="106"/>
      <c r="AA260" s="106"/>
      <c r="AB260" s="106"/>
      <c r="AC260" s="483"/>
      <c r="AD260" s="483"/>
      <c r="AE260" s="483"/>
      <c r="AF260" s="483"/>
      <c r="AG260" s="483"/>
      <c r="AH260" s="483"/>
      <c r="AV260" s="481">
        <v>4</v>
      </c>
      <c r="AW260" s="481">
        <v>6</v>
      </c>
      <c r="AX260" s="558">
        <v>44348</v>
      </c>
      <c r="AY260" s="512">
        <v>44378</v>
      </c>
      <c r="AZ260" s="486">
        <v>7</v>
      </c>
      <c r="BA260" s="512">
        <v>44348</v>
      </c>
      <c r="BB260" s="490">
        <v>6</v>
      </c>
      <c r="BC260" s="514"/>
      <c r="BD260" s="514"/>
      <c r="BJ260" s="481">
        <f>VLOOKUP(BJ252,DE251:DF323,2,0)</f>
        <v>21820</v>
      </c>
      <c r="BP260" s="481" t="s">
        <v>239</v>
      </c>
      <c r="BU260" s="503">
        <v>0.18340000000000001</v>
      </c>
      <c r="BW260" s="481" t="s">
        <v>240</v>
      </c>
      <c r="BX260" s="481" t="s">
        <v>241</v>
      </c>
      <c r="BY260" s="503">
        <v>3.1440000000000003E-2</v>
      </c>
      <c r="CA260" s="503"/>
      <c r="CE260" s="481" t="str">
        <f>IF(BU256="","",IF(CJ$175=2,VLOOKUP(CF259,BH$283:BJ$296,3,0),IF(CJ$175=3,VLOOKUP(CF259,BH$283:BJ$296,3,0),IF(CJ$175=1,0))))</f>
        <v/>
      </c>
      <c r="CK260" s="481" t="str">
        <f>CONCATENATE("If you have Taken New D.A-",CK263," , Select w.e.f.  ")</f>
        <v xml:space="preserve">If you have Taken New D.A-12.052 %  , Select w.e.f.  </v>
      </c>
      <c r="DB260" s="484"/>
      <c r="DC260" s="481">
        <v>15</v>
      </c>
      <c r="DD260" s="670">
        <v>10020</v>
      </c>
      <c r="DE260" s="654">
        <v>21230</v>
      </c>
      <c r="DF260" s="654">
        <v>21820</v>
      </c>
      <c r="DG260" s="677">
        <v>23740</v>
      </c>
      <c r="DI260" s="677">
        <v>23100</v>
      </c>
      <c r="DJ260" s="677">
        <v>28940</v>
      </c>
      <c r="DK260" s="677">
        <v>35120</v>
      </c>
      <c r="DL260" s="677">
        <v>28940</v>
      </c>
      <c r="DM260" s="677">
        <v>35120</v>
      </c>
      <c r="DN260" s="677"/>
      <c r="DQ260" s="677">
        <v>23100</v>
      </c>
      <c r="DR260" s="677">
        <v>22460</v>
      </c>
      <c r="DS260" s="677"/>
      <c r="DT260" s="677"/>
      <c r="DU260" s="677"/>
    </row>
    <row r="261" spans="21:125" s="481" customFormat="1" ht="15" hidden="1">
      <c r="U261" s="483"/>
      <c r="V261" s="483"/>
      <c r="W261" s="483"/>
      <c r="X261" s="106"/>
      <c r="Y261" s="106"/>
      <c r="Z261" s="106"/>
      <c r="AA261" s="106"/>
      <c r="AB261" s="106"/>
      <c r="AC261" s="483"/>
      <c r="AD261" s="483"/>
      <c r="AE261" s="483"/>
      <c r="AF261" s="483"/>
      <c r="AG261" s="483"/>
      <c r="AH261" s="483"/>
      <c r="AU261" s="481">
        <v>1</v>
      </c>
      <c r="AV261" s="481">
        <v>5</v>
      </c>
      <c r="AW261" s="481">
        <v>7</v>
      </c>
      <c r="AX261" s="558">
        <v>44378</v>
      </c>
      <c r="AY261" s="512">
        <v>44409</v>
      </c>
      <c r="AZ261" s="486">
        <v>8</v>
      </c>
      <c r="BA261" s="512">
        <v>44378</v>
      </c>
      <c r="BB261" s="490">
        <v>7</v>
      </c>
      <c r="BC261" s="514"/>
      <c r="BD261" s="681">
        <f>VLOOKUP(BD254,BA254:BB268,2,0)</f>
        <v>8</v>
      </c>
      <c r="BE261" s="682"/>
      <c r="BF261" s="509"/>
      <c r="BG261" s="509"/>
      <c r="BH261" s="488" t="s">
        <v>239</v>
      </c>
      <c r="BK261" s="487"/>
      <c r="BL261" s="509"/>
      <c r="BM261" s="509"/>
      <c r="BN261" s="683"/>
      <c r="BO261" s="674">
        <v>44197</v>
      </c>
      <c r="BP261" s="488">
        <f>BR261</f>
        <v>21230</v>
      </c>
      <c r="BQ261" s="481">
        <v>1</v>
      </c>
      <c r="BR261" s="481">
        <f>BQ277</f>
        <v>21230</v>
      </c>
      <c r="BU261" s="503">
        <v>0.22008</v>
      </c>
      <c r="BV261" s="514">
        <v>43101</v>
      </c>
      <c r="BW261" s="503">
        <v>0.27248</v>
      </c>
      <c r="BX261" s="503">
        <v>0.30392000000000002</v>
      </c>
      <c r="BY261" s="503">
        <f>BX261-BW261</f>
        <v>3.1440000000000023E-2</v>
      </c>
      <c r="BZ261" s="503"/>
      <c r="CC261" s="503"/>
      <c r="CQ261" s="481" t="s">
        <v>242</v>
      </c>
      <c r="CS261" s="481">
        <f>IF((CS262-CR262)&lt;0,0,(CS262-CR262))</f>
        <v>807680</v>
      </c>
      <c r="CT261" s="481">
        <f>IF(CT262&lt;0,0,CT262)</f>
        <v>250000</v>
      </c>
      <c r="CU261" s="481">
        <f>IF(CU262&lt;0,0,CU262)</f>
        <v>807680</v>
      </c>
      <c r="DB261" s="484"/>
      <c r="DC261" s="481">
        <v>16</v>
      </c>
      <c r="DD261" s="677">
        <v>10900</v>
      </c>
      <c r="DE261" s="654">
        <v>21820</v>
      </c>
      <c r="DF261" s="654">
        <v>22840</v>
      </c>
      <c r="DG261" s="677">
        <v>24440</v>
      </c>
      <c r="DI261" s="677">
        <v>23740</v>
      </c>
      <c r="DJ261" s="677">
        <v>28940</v>
      </c>
      <c r="DK261" s="677">
        <v>35120</v>
      </c>
      <c r="DL261" s="677">
        <v>28940</v>
      </c>
      <c r="DM261" s="677">
        <v>35120</v>
      </c>
      <c r="DN261" s="677"/>
      <c r="DQ261" s="677">
        <v>23740</v>
      </c>
      <c r="DR261" s="677">
        <v>23100</v>
      </c>
      <c r="DS261" s="677"/>
      <c r="DT261" s="677"/>
      <c r="DU261" s="677"/>
    </row>
    <row r="262" spans="21:125" s="481" customFormat="1" ht="15" hidden="1">
      <c r="U262" s="483"/>
      <c r="V262" s="483"/>
      <c r="W262" s="483"/>
      <c r="X262" s="106"/>
      <c r="Y262" s="106"/>
      <c r="Z262" s="106"/>
      <c r="AA262" s="106"/>
      <c r="AB262" s="106"/>
      <c r="AC262" s="483"/>
      <c r="AD262" s="483"/>
      <c r="AE262" s="483"/>
      <c r="AF262" s="483"/>
      <c r="AG262" s="483"/>
      <c r="AH262" s="483"/>
      <c r="AU262" s="481">
        <v>2</v>
      </c>
      <c r="AV262" s="481">
        <v>6</v>
      </c>
      <c r="AW262" s="481">
        <v>8</v>
      </c>
      <c r="AX262" s="558">
        <v>44409</v>
      </c>
      <c r="AY262" s="512">
        <v>44440</v>
      </c>
      <c r="AZ262" s="486">
        <v>9</v>
      </c>
      <c r="BA262" s="512">
        <v>44409</v>
      </c>
      <c r="BB262" s="490">
        <v>8</v>
      </c>
      <c r="BC262" s="514"/>
      <c r="BD262" s="684">
        <f>VLOOKUP(BD255,BA254:BB268,2,0)</f>
        <v>10</v>
      </c>
      <c r="BE262" s="685"/>
      <c r="BF262" s="486"/>
      <c r="BG262" s="486">
        <f>BJ262</f>
        <v>21820</v>
      </c>
      <c r="BH262" s="490">
        <f>BI262</f>
        <v>10300</v>
      </c>
      <c r="BI262" s="481">
        <f>IF(CL188=1,BH254,BD249)</f>
        <v>10300</v>
      </c>
      <c r="BJ262" s="481">
        <f>IF(CL188=1,BI254,BE249)</f>
        <v>21820</v>
      </c>
      <c r="BK262" s="489"/>
      <c r="BL262" s="486"/>
      <c r="BM262" s="486"/>
      <c r="BN262" s="486"/>
      <c r="BO262" s="512">
        <v>44228</v>
      </c>
      <c r="BP262" s="490">
        <f>BR262</f>
        <v>21230</v>
      </c>
      <c r="BQ262" s="481">
        <v>2</v>
      </c>
      <c r="BR262" s="481">
        <f>BQ278</f>
        <v>21230</v>
      </c>
      <c r="BU262" s="503">
        <v>0.24104</v>
      </c>
      <c r="BV262" s="514">
        <v>43282</v>
      </c>
      <c r="BW262" s="503">
        <v>0.30392000000000002</v>
      </c>
      <c r="BX262" s="503">
        <v>0.33535999999999999</v>
      </c>
      <c r="BY262" s="503">
        <f>BX262-BW262</f>
        <v>3.1439999999999968E-2</v>
      </c>
      <c r="CH262" s="581">
        <v>2</v>
      </c>
      <c r="CI262" s="686" t="s">
        <v>626</v>
      </c>
      <c r="CP262" s="486"/>
      <c r="CQ262" s="490"/>
      <c r="CR262" s="487">
        <v>250000</v>
      </c>
      <c r="CS262" s="687">
        <f>'Annexure -I I'!L50</f>
        <v>1057680</v>
      </c>
      <c r="CT262" s="688">
        <f>CV257</f>
        <v>250000</v>
      </c>
      <c r="CU262" s="689">
        <f>CT262+CS263+CV258</f>
        <v>807680</v>
      </c>
      <c r="DB262" s="484"/>
      <c r="DC262" s="481">
        <v>17</v>
      </c>
      <c r="DD262" s="677">
        <v>11200</v>
      </c>
      <c r="DE262" s="654">
        <v>22840</v>
      </c>
      <c r="DF262" s="654">
        <v>23100</v>
      </c>
      <c r="DG262" s="677">
        <v>25140</v>
      </c>
      <c r="DI262" s="677">
        <v>24440</v>
      </c>
      <c r="DJ262" s="677">
        <v>28940</v>
      </c>
      <c r="DK262" s="677">
        <v>35120</v>
      </c>
      <c r="DL262" s="677">
        <v>28940</v>
      </c>
      <c r="DM262" s="677">
        <v>35120</v>
      </c>
      <c r="DN262" s="677"/>
      <c r="DQ262" s="677">
        <v>24440</v>
      </c>
      <c r="DR262" s="677">
        <v>23740</v>
      </c>
      <c r="DS262" s="677"/>
      <c r="DT262" s="677"/>
      <c r="DU262" s="677"/>
    </row>
    <row r="263" spans="21:125" s="481" customFormat="1" ht="15" hidden="1">
      <c r="U263" s="483"/>
      <c r="V263" s="483"/>
      <c r="W263" s="483"/>
      <c r="X263" s="106"/>
      <c r="Y263" s="106"/>
      <c r="Z263" s="106"/>
      <c r="AA263" s="106"/>
      <c r="AB263" s="106"/>
      <c r="AC263" s="483"/>
      <c r="AD263" s="483"/>
      <c r="AE263" s="483"/>
      <c r="AF263" s="483"/>
      <c r="AG263" s="483"/>
      <c r="AH263" s="483"/>
      <c r="AU263" s="481">
        <v>3</v>
      </c>
      <c r="AV263" s="481">
        <v>7</v>
      </c>
      <c r="AW263" s="481">
        <v>9</v>
      </c>
      <c r="AX263" s="558">
        <v>44440</v>
      </c>
      <c r="AY263" s="512">
        <v>44470</v>
      </c>
      <c r="AZ263" s="486">
        <v>10</v>
      </c>
      <c r="BA263" s="512">
        <v>44440</v>
      </c>
      <c r="BB263" s="490">
        <v>9</v>
      </c>
      <c r="BC263" s="514"/>
      <c r="BD263" s="684">
        <f>VLOOKUP(BD256,BA254:BB268,2,0)</f>
        <v>12</v>
      </c>
      <c r="BE263" s="486"/>
      <c r="BF263" s="486"/>
      <c r="BG263" s="486" t="str">
        <f>BJ263</f>
        <v/>
      </c>
      <c r="BH263" s="490" t="str">
        <f>BI263</f>
        <v/>
      </c>
      <c r="BI263" s="481" t="str">
        <f>IF(CL188=1,BH255,BD250)</f>
        <v/>
      </c>
      <c r="BJ263" s="481" t="str">
        <f>IF(CL188=1,BI255,BE250)</f>
        <v/>
      </c>
      <c r="BK263" s="489"/>
      <c r="BL263" s="486"/>
      <c r="BM263" s="486"/>
      <c r="BN263" s="486"/>
      <c r="BO263" s="512">
        <v>44256</v>
      </c>
      <c r="BP263" s="490">
        <f>BR263</f>
        <v>21230</v>
      </c>
      <c r="BQ263" s="481">
        <v>3</v>
      </c>
      <c r="BR263" s="481">
        <f>IF(BO263&gt;=BN$159,BQ279,BN263)</f>
        <v>21230</v>
      </c>
      <c r="BU263" s="503"/>
      <c r="BV263" s="502">
        <v>43647</v>
      </c>
      <c r="BW263" s="503">
        <v>0.33535999999999999</v>
      </c>
      <c r="BX263" s="503">
        <v>0.38775999999999999</v>
      </c>
      <c r="BY263" s="503">
        <f>BX263-BW263</f>
        <v>5.2400000000000002E-2</v>
      </c>
      <c r="BZ263" s="503">
        <f>IF(CL274=1,BX262,BX263)</f>
        <v>0.33535999999999999</v>
      </c>
      <c r="CJ263" s="481" t="s">
        <v>241</v>
      </c>
      <c r="CK263" s="679" t="str">
        <f>IF(CL274=1,"12.052 % ","15.196% ")</f>
        <v xml:space="preserve">12.052 % </v>
      </c>
      <c r="CP263" s="486"/>
      <c r="CQ263" s="690"/>
      <c r="CR263" s="489">
        <v>500000</v>
      </c>
      <c r="CS263" s="691">
        <f>IF(CV263&gt;CR263,CR263,CV263)</f>
        <v>500000</v>
      </c>
      <c r="CT263" s="691">
        <f>CS263</f>
        <v>500000</v>
      </c>
      <c r="CU263" s="490"/>
      <c r="CV263" s="632">
        <f>IF((CS262-CR263)&lt;0,0,(CS262-CR263))</f>
        <v>557680</v>
      </c>
      <c r="DB263" s="484"/>
      <c r="DC263" s="481">
        <v>18</v>
      </c>
      <c r="DD263" s="677">
        <v>11530</v>
      </c>
      <c r="DE263" s="654">
        <v>23100</v>
      </c>
      <c r="DF263" s="654">
        <v>23740</v>
      </c>
      <c r="DG263" s="677">
        <v>25840</v>
      </c>
      <c r="DI263" s="677">
        <v>25140</v>
      </c>
      <c r="DJ263" s="677">
        <v>28940</v>
      </c>
      <c r="DK263" s="677">
        <v>35120</v>
      </c>
      <c r="DL263" s="677">
        <v>28940</v>
      </c>
      <c r="DM263" s="677">
        <v>35120</v>
      </c>
      <c r="DN263" s="677"/>
      <c r="DQ263" s="677">
        <v>25140</v>
      </c>
      <c r="DR263" s="677">
        <v>24440</v>
      </c>
      <c r="DS263" s="677"/>
      <c r="DT263" s="677"/>
      <c r="DU263" s="677"/>
    </row>
    <row r="264" spans="21:125" s="481" customFormat="1" ht="15" hidden="1">
      <c r="U264" s="483"/>
      <c r="V264" s="483"/>
      <c r="W264" s="483"/>
      <c r="X264" s="106"/>
      <c r="Y264" s="106"/>
      <c r="Z264" s="106"/>
      <c r="AA264" s="106"/>
      <c r="AB264" s="106"/>
      <c r="AC264" s="483"/>
      <c r="AD264" s="483"/>
      <c r="AE264" s="483"/>
      <c r="AF264" s="483"/>
      <c r="AG264" s="483"/>
      <c r="AH264" s="483"/>
      <c r="AU264" s="481">
        <v>4</v>
      </c>
      <c r="AV264" s="481">
        <v>8</v>
      </c>
      <c r="AW264" s="481">
        <v>10</v>
      </c>
      <c r="AX264" s="558">
        <v>44470</v>
      </c>
      <c r="AY264" s="512">
        <v>44501</v>
      </c>
      <c r="AZ264" s="486">
        <v>11</v>
      </c>
      <c r="BA264" s="512">
        <v>44470</v>
      </c>
      <c r="BB264" s="490">
        <v>10</v>
      </c>
      <c r="BC264" s="514"/>
      <c r="BD264" s="684"/>
      <c r="BE264" s="486"/>
      <c r="BF264" s="486"/>
      <c r="BG264" s="486" t="str">
        <f>BJ264</f>
        <v/>
      </c>
      <c r="BH264" s="490" t="str">
        <f>BI264</f>
        <v/>
      </c>
      <c r="BI264" s="481" t="str">
        <f>IF(CL188=1,BH256,BD251)</f>
        <v/>
      </c>
      <c r="BJ264" s="481" t="str">
        <f>IF(CL188=1,BI256,BE251)</f>
        <v/>
      </c>
      <c r="BK264" s="489"/>
      <c r="BL264" s="486"/>
      <c r="BM264" s="486"/>
      <c r="BN264" s="486"/>
      <c r="BO264" s="512">
        <v>44287</v>
      </c>
      <c r="BP264" s="490">
        <f>BR264</f>
        <v>21230</v>
      </c>
      <c r="BQ264" s="481">
        <v>4</v>
      </c>
      <c r="BR264" s="481">
        <f>IF(BO264&gt;=BN$159,BQ280,BN264)</f>
        <v>21230</v>
      </c>
      <c r="BV264" s="692" t="s">
        <v>11</v>
      </c>
      <c r="BY264" s="481" t="s">
        <v>243</v>
      </c>
      <c r="CC264" s="566" t="s">
        <v>12</v>
      </c>
      <c r="CD264" s="481" t="s">
        <v>557</v>
      </c>
      <c r="CK264" s="481">
        <v>9</v>
      </c>
      <c r="CL264" s="481" t="str">
        <f>VLOOKUP(CK264,AU261:BA269,7,TRUE)</f>
        <v>No Change</v>
      </c>
      <c r="CP264" s="486">
        <f>'Annexure -I I'!L59</f>
        <v>0</v>
      </c>
      <c r="CQ264" s="490"/>
      <c r="CR264" s="615"/>
      <c r="CS264" s="486">
        <f>IF('Annexure -I I'!L60&gt;0,'Annexure -I I'!L60,0)</f>
        <v>129804</v>
      </c>
      <c r="CT264" s="486"/>
      <c r="CU264" s="490"/>
      <c r="CV264" s="632"/>
      <c r="DB264" s="484"/>
      <c r="DC264" s="481">
        <v>19</v>
      </c>
      <c r="DD264" s="677">
        <v>11860</v>
      </c>
      <c r="DE264" s="654">
        <v>23740</v>
      </c>
      <c r="DF264" s="654">
        <v>24440</v>
      </c>
      <c r="DG264" s="677">
        <v>26600</v>
      </c>
      <c r="DI264" s="677">
        <v>25840</v>
      </c>
      <c r="DJ264" s="677">
        <v>28940</v>
      </c>
      <c r="DK264" s="677">
        <v>35120</v>
      </c>
      <c r="DL264" s="677">
        <v>28940</v>
      </c>
      <c r="DM264" s="677">
        <v>35120</v>
      </c>
      <c r="DN264" s="677"/>
      <c r="DQ264" s="677">
        <v>25840</v>
      </c>
      <c r="DR264" s="677">
        <v>25140</v>
      </c>
      <c r="DS264" s="677"/>
      <c r="DT264" s="677"/>
      <c r="DU264" s="677"/>
    </row>
    <row r="265" spans="21:125" s="481" customFormat="1" ht="15" hidden="1">
      <c r="U265" s="483"/>
      <c r="V265" s="483"/>
      <c r="W265" s="483"/>
      <c r="X265" s="106"/>
      <c r="Y265" s="106"/>
      <c r="Z265" s="106"/>
      <c r="AA265" s="106"/>
      <c r="AB265" s="106"/>
      <c r="AC265" s="483"/>
      <c r="AD265" s="483"/>
      <c r="AE265" s="483"/>
      <c r="AF265" s="483"/>
      <c r="AG265" s="483"/>
      <c r="AH265" s="483"/>
      <c r="AU265" s="481">
        <v>5</v>
      </c>
      <c r="AV265" s="481">
        <v>9</v>
      </c>
      <c r="AW265" s="481">
        <v>11</v>
      </c>
      <c r="AX265" s="558">
        <v>44501</v>
      </c>
      <c r="AY265" s="512">
        <v>44531</v>
      </c>
      <c r="AZ265" s="486">
        <v>12</v>
      </c>
      <c r="BA265" s="512">
        <v>44501</v>
      </c>
      <c r="BB265" s="490">
        <v>11</v>
      </c>
      <c r="BC265" s="514"/>
      <c r="BD265" s="684"/>
      <c r="BE265" s="486"/>
      <c r="BF265" s="486"/>
      <c r="BG265" s="486"/>
      <c r="BH265" s="490"/>
      <c r="BK265" s="489"/>
      <c r="BL265" s="486"/>
      <c r="BM265" s="486"/>
      <c r="BN265" s="486"/>
      <c r="BO265" s="512">
        <v>44317</v>
      </c>
      <c r="BP265" s="490">
        <f>BR265</f>
        <v>21230</v>
      </c>
      <c r="BQ265" s="481">
        <v>5</v>
      </c>
      <c r="BR265" s="481">
        <f t="shared" ref="BR265:BR271" si="31">IF(BO265&gt;=BN$159,BQ281,BN265)</f>
        <v>21230</v>
      </c>
      <c r="BS265" s="503">
        <f t="shared" ref="BS265:BS270" si="32">IF(CL$274=1,BW$262,BW$263)</f>
        <v>0.30392000000000002</v>
      </c>
      <c r="BT265" s="503">
        <f>BW$261</f>
        <v>0.27248</v>
      </c>
      <c r="BU265" s="512">
        <v>44197</v>
      </c>
      <c r="BV265" s="481">
        <f>BP261</f>
        <v>21230</v>
      </c>
      <c r="BW265" s="481">
        <f>IF(BO261&gt;=BN$159,ROUND(BV265*BW$261,0),ROUND(BV265*BX$261,0))</f>
        <v>5785</v>
      </c>
      <c r="BX265" s="481">
        <f>IF(BO261&gt;=BN$159,ROUND(BV265*BW$262,0),ROUND(BV265*BX$261,0))</f>
        <v>6452</v>
      </c>
      <c r="BY265" s="481">
        <f>BX265-BW265</f>
        <v>667</v>
      </c>
      <c r="BZ265" s="503">
        <f>BS265</f>
        <v>0.30392000000000002</v>
      </c>
      <c r="CA265" s="481">
        <f>BW265</f>
        <v>5785</v>
      </c>
      <c r="CB265" s="481">
        <f>BX265</f>
        <v>6452</v>
      </c>
      <c r="CC265" s="481">
        <f>CA265</f>
        <v>5785</v>
      </c>
      <c r="CD265" s="481">
        <f>ROUND(BV265*BS265,0)</f>
        <v>6452</v>
      </c>
      <c r="CE265" s="522">
        <f t="shared" ref="CE265:CE270" si="33">IF(BO261&gt;=BN$159,ROUND(BV265*BW$262,0),ROUND(BV265*BX$261,0))</f>
        <v>6452</v>
      </c>
      <c r="CF265" s="481">
        <f t="shared" ref="CF265:CF270" si="34">IF(BO261&gt;=BN$159,ROUND(BV265*BX$262,0),ROUND(BV265*BX$261,0))</f>
        <v>7120</v>
      </c>
      <c r="CG265" s="481">
        <f>CF265-CE265</f>
        <v>668</v>
      </c>
      <c r="CH265" s="487" t="s">
        <v>244</v>
      </c>
      <c r="CI265" s="488" t="s">
        <v>245</v>
      </c>
      <c r="CP265" s="486">
        <f>IF(CR265&gt;=12500,12500,CR265)</f>
        <v>12500</v>
      </c>
      <c r="CQ265" s="490"/>
      <c r="CR265" s="615">
        <f>ROUND(CT261*0.05,0)</f>
        <v>12500</v>
      </c>
      <c r="CS265" s="486">
        <f>ROUND(CT261*0.1,0)-CP264</f>
        <v>25000</v>
      </c>
      <c r="CT265" s="486">
        <f>ROUND(CS264*0.01,0)</f>
        <v>1298</v>
      </c>
      <c r="CU265" s="490">
        <f>ROUND(CS264*0.03,0)</f>
        <v>3894</v>
      </c>
      <c r="DB265" s="484"/>
      <c r="DC265" s="481">
        <v>20</v>
      </c>
      <c r="DD265" s="677">
        <v>12190</v>
      </c>
      <c r="DE265" s="654">
        <v>24440</v>
      </c>
      <c r="DF265" s="654">
        <v>25140</v>
      </c>
      <c r="DG265" s="677">
        <v>27360</v>
      </c>
      <c r="DI265" s="677">
        <v>26600</v>
      </c>
      <c r="DJ265" s="677">
        <v>28940</v>
      </c>
      <c r="DK265" s="677">
        <v>35120</v>
      </c>
      <c r="DL265" s="677">
        <v>28940</v>
      </c>
      <c r="DM265" s="677">
        <v>35120</v>
      </c>
      <c r="DN265" s="677"/>
      <c r="DQ265" s="677">
        <v>26600</v>
      </c>
      <c r="DR265" s="677">
        <v>25840</v>
      </c>
      <c r="DS265" s="677"/>
      <c r="DT265" s="677"/>
      <c r="DU265" s="677"/>
    </row>
    <row r="266" spans="21:125" s="481" customFormat="1" ht="15" hidden="1">
      <c r="U266" s="483"/>
      <c r="V266" s="483"/>
      <c r="W266" s="483"/>
      <c r="X266" s="106"/>
      <c r="Y266" s="106"/>
      <c r="Z266" s="106"/>
      <c r="AA266" s="106"/>
      <c r="AB266" s="106"/>
      <c r="AC266" s="483"/>
      <c r="AD266" s="483"/>
      <c r="AE266" s="483"/>
      <c r="AF266" s="483"/>
      <c r="AG266" s="483"/>
      <c r="AH266" s="483"/>
      <c r="AU266" s="481">
        <v>6</v>
      </c>
      <c r="AV266" s="481">
        <v>10</v>
      </c>
      <c r="AW266" s="481">
        <v>12</v>
      </c>
      <c r="AX266" s="558">
        <v>44531</v>
      </c>
      <c r="AY266" s="512">
        <v>44562</v>
      </c>
      <c r="AZ266" s="486">
        <v>13</v>
      </c>
      <c r="BA266" s="512">
        <v>44531</v>
      </c>
      <c r="BB266" s="490">
        <v>12</v>
      </c>
      <c r="BC266" s="514"/>
      <c r="BD266" s="558"/>
      <c r="BE266" s="486"/>
      <c r="BF266" s="486"/>
      <c r="BG266" s="486"/>
      <c r="BH266" s="490"/>
      <c r="BK266" s="489"/>
      <c r="BL266" s="486"/>
      <c r="BM266" s="486"/>
      <c r="BN266" s="486"/>
      <c r="BO266" s="512">
        <v>44348</v>
      </c>
      <c r="BP266" s="490">
        <f t="shared" ref="BP266:BP271" si="35">BR266</f>
        <v>21230</v>
      </c>
      <c r="BQ266" s="481">
        <v>6</v>
      </c>
      <c r="BR266" s="481">
        <f>IF(BO266&gt;=BN$159,BQ282,BN266)</f>
        <v>21230</v>
      </c>
      <c r="BS266" s="503">
        <f t="shared" si="32"/>
        <v>0.30392000000000002</v>
      </c>
      <c r="BT266" s="503">
        <f>BW$261</f>
        <v>0.27248</v>
      </c>
      <c r="BU266" s="512">
        <v>44228</v>
      </c>
      <c r="BV266" s="481">
        <f t="shared" ref="BV266:BV278" si="36">BP262</f>
        <v>21230</v>
      </c>
      <c r="BW266" s="481">
        <f>IF(BO262&gt;=BN$159,ROUND(BV266*BW$261,0),ROUND(BV266*BX$261,0))</f>
        <v>5785</v>
      </c>
      <c r="BX266" s="481">
        <f>IF(BO262&gt;=BN$159,ROUND(BV266*BW$262,0),ROUND(BV266*BX$261,0))</f>
        <v>6452</v>
      </c>
      <c r="BY266" s="481">
        <f t="shared" ref="BY266:BY278" si="37">BX266-BW266</f>
        <v>667</v>
      </c>
      <c r="BZ266" s="503">
        <f t="shared" ref="BZ266:BZ274" si="38">BS266</f>
        <v>0.30392000000000002</v>
      </c>
      <c r="CA266" s="481">
        <f>BW266</f>
        <v>5785</v>
      </c>
      <c r="CB266" s="481">
        <f>IF(BX$308&lt;=2,BX266,CB265)</f>
        <v>6452</v>
      </c>
      <c r="CC266" s="481">
        <f t="shared" ref="CC266:CC272" si="39">CA266</f>
        <v>5785</v>
      </c>
      <c r="CD266" s="481">
        <f>ROUND(BV266*BS266,0)</f>
        <v>6452</v>
      </c>
      <c r="CE266" s="522">
        <f t="shared" si="33"/>
        <v>6452</v>
      </c>
      <c r="CF266" s="481">
        <f t="shared" si="34"/>
        <v>7120</v>
      </c>
      <c r="CG266" s="481">
        <f t="shared" ref="CG266:CG278" si="40">CF266-CE266</f>
        <v>668</v>
      </c>
      <c r="CH266" s="489">
        <f>G31</f>
        <v>0</v>
      </c>
      <c r="CI266" s="490"/>
      <c r="CP266" s="486"/>
      <c r="CQ266" s="490"/>
      <c r="CR266" s="615"/>
      <c r="CS266" s="486">
        <f>ROUND(CS263*0.2,0)</f>
        <v>100000</v>
      </c>
      <c r="CT266" s="486">
        <f>ROUND(CS266*0.01,0)</f>
        <v>1000</v>
      </c>
      <c r="CU266" s="490">
        <f>ROUND(CS266*0.03,0)</f>
        <v>3000</v>
      </c>
      <c r="DB266" s="484"/>
      <c r="DC266" s="481">
        <v>21</v>
      </c>
      <c r="DD266" s="677">
        <v>12550</v>
      </c>
      <c r="DE266" s="654">
        <v>25140</v>
      </c>
      <c r="DF266" s="654">
        <v>25840</v>
      </c>
      <c r="DG266" s="677">
        <v>28120</v>
      </c>
      <c r="DI266" s="677">
        <v>27360</v>
      </c>
      <c r="DJ266" s="677">
        <v>28940</v>
      </c>
      <c r="DK266" s="677">
        <v>35120</v>
      </c>
      <c r="DL266" s="677">
        <v>28940</v>
      </c>
      <c r="DM266" s="677">
        <v>35120</v>
      </c>
      <c r="DN266" s="677"/>
      <c r="DQ266" s="677">
        <v>27360</v>
      </c>
      <c r="DR266" s="677">
        <v>26600</v>
      </c>
      <c r="DS266" s="677"/>
      <c r="DT266" s="677"/>
      <c r="DU266" s="677"/>
    </row>
    <row r="267" spans="21:125" s="481" customFormat="1" ht="15" hidden="1">
      <c r="U267" s="483"/>
      <c r="V267" s="483"/>
      <c r="W267" s="483"/>
      <c r="X267" s="106"/>
      <c r="Y267" s="106"/>
      <c r="Z267" s="106"/>
      <c r="AA267" s="106"/>
      <c r="AB267" s="106"/>
      <c r="AC267" s="483"/>
      <c r="AD267" s="483"/>
      <c r="AE267" s="483"/>
      <c r="AF267" s="483"/>
      <c r="AG267" s="483"/>
      <c r="AH267" s="483"/>
      <c r="AU267" s="481">
        <v>7</v>
      </c>
      <c r="AV267" s="481">
        <v>11</v>
      </c>
      <c r="AW267" s="481">
        <v>13</v>
      </c>
      <c r="AX267" s="558">
        <v>44562</v>
      </c>
      <c r="AY267" s="512">
        <v>44593</v>
      </c>
      <c r="AZ267" s="486">
        <v>14</v>
      </c>
      <c r="BA267" s="512">
        <v>44562</v>
      </c>
      <c r="BB267" s="490">
        <v>13</v>
      </c>
      <c r="BC267" s="522">
        <v>1</v>
      </c>
      <c r="BD267" s="489" t="s">
        <v>2</v>
      </c>
      <c r="BE267" s="486">
        <v>1</v>
      </c>
      <c r="BF267" s="512">
        <f>VLOOKUP(BD254,AX$254:AY$268,2,0)</f>
        <v>44440</v>
      </c>
      <c r="BG267" s="693">
        <f>VLOOKUP(BF267,AY$254:AZ$268,2,0)</f>
        <v>9</v>
      </c>
      <c r="BH267" s="694">
        <v>43862</v>
      </c>
      <c r="BK267" s="489"/>
      <c r="BL267" s="486"/>
      <c r="BM267" s="486"/>
      <c r="BN267" s="486"/>
      <c r="BO267" s="512">
        <v>44378</v>
      </c>
      <c r="BP267" s="490">
        <f t="shared" si="35"/>
        <v>21230</v>
      </c>
      <c r="BQ267" s="481">
        <v>7</v>
      </c>
      <c r="BR267" s="481">
        <f t="shared" si="31"/>
        <v>21230</v>
      </c>
      <c r="BS267" s="503">
        <f t="shared" si="32"/>
        <v>0.30392000000000002</v>
      </c>
      <c r="BT267" s="503">
        <f>IF(CL$274=1,BW$261,BX$261)</f>
        <v>0.27248</v>
      </c>
      <c r="BU267" s="512">
        <v>44256</v>
      </c>
      <c r="BV267" s="481">
        <f>BP263</f>
        <v>21230</v>
      </c>
      <c r="BW267" s="481">
        <f>IF(BO263&gt;=BN$159,ROUND(BV267*BW$261,0),ROUND(BV267*BX$261,0))</f>
        <v>5785</v>
      </c>
      <c r="BX267" s="481">
        <f t="shared" ref="BX267:BX274" si="41">IF(BO263&gt;=BN$159,ROUND(BV267*BW$262,0),ROUND(BV267*BX$261,0))</f>
        <v>6452</v>
      </c>
      <c r="BY267" s="481">
        <f t="shared" si="37"/>
        <v>667</v>
      </c>
      <c r="BZ267" s="503">
        <f t="shared" si="38"/>
        <v>0.30392000000000002</v>
      </c>
      <c r="CA267" s="481">
        <f>IF(BW$283&lt;=3,BW267,CA266)</f>
        <v>5785</v>
      </c>
      <c r="CB267" s="481">
        <f>IF(BX$308&lt;=3,BX267,CB266)</f>
        <v>6452</v>
      </c>
      <c r="CC267" s="481">
        <f t="shared" si="39"/>
        <v>5785</v>
      </c>
      <c r="CD267" s="481">
        <f>ROUND(BV267*BS267,0)</f>
        <v>6452</v>
      </c>
      <c r="CE267" s="522">
        <f t="shared" si="33"/>
        <v>6452</v>
      </c>
      <c r="CF267" s="481">
        <f t="shared" si="34"/>
        <v>7120</v>
      </c>
      <c r="CG267" s="481">
        <f t="shared" si="40"/>
        <v>668</v>
      </c>
      <c r="CH267" s="489">
        <v>20000</v>
      </c>
      <c r="CI267" s="490">
        <v>20000</v>
      </c>
      <c r="CP267" s="486"/>
      <c r="CQ267" s="490"/>
      <c r="CR267" s="611"/>
      <c r="CS267" s="519">
        <f>IF(CS266=0,0,0)</f>
        <v>0</v>
      </c>
      <c r="CT267" s="519">
        <f>CT265</f>
        <v>1298</v>
      </c>
      <c r="CU267" s="507">
        <f>CU265</f>
        <v>3894</v>
      </c>
      <c r="DB267" s="484"/>
      <c r="DC267" s="481">
        <v>22</v>
      </c>
      <c r="DD267" s="677">
        <v>12910</v>
      </c>
      <c r="DE267" s="654">
        <v>25840</v>
      </c>
      <c r="DF267" s="654">
        <v>26600</v>
      </c>
      <c r="DG267" s="677">
        <v>28940</v>
      </c>
      <c r="DI267" s="677">
        <v>28120</v>
      </c>
      <c r="DJ267" s="677">
        <v>28940</v>
      </c>
      <c r="DK267" s="677">
        <v>35120</v>
      </c>
      <c r="DL267" s="677">
        <v>29760</v>
      </c>
      <c r="DM267" s="677">
        <v>35120</v>
      </c>
      <c r="DN267" s="677"/>
      <c r="DQ267" s="677">
        <v>28120</v>
      </c>
      <c r="DR267" s="677">
        <v>27360</v>
      </c>
      <c r="DS267" s="677"/>
      <c r="DT267" s="677"/>
      <c r="DU267" s="677"/>
    </row>
    <row r="268" spans="21:125" s="481" customFormat="1" ht="15" hidden="1">
      <c r="U268" s="483"/>
      <c r="V268" s="483"/>
      <c r="W268" s="483"/>
      <c r="X268" s="106"/>
      <c r="Y268" s="106"/>
      <c r="Z268" s="106"/>
      <c r="AA268" s="106"/>
      <c r="AB268" s="106"/>
      <c r="AC268" s="483"/>
      <c r="AD268" s="483"/>
      <c r="AE268" s="483"/>
      <c r="AF268" s="483"/>
      <c r="AG268" s="483"/>
      <c r="AH268" s="483"/>
      <c r="AU268" s="481">
        <v>8</v>
      </c>
      <c r="AV268" s="481">
        <v>12</v>
      </c>
      <c r="AW268" s="481">
        <v>14</v>
      </c>
      <c r="AX268" s="558">
        <v>44593</v>
      </c>
      <c r="AY268" s="512">
        <v>44621</v>
      </c>
      <c r="AZ268" s="486">
        <v>15</v>
      </c>
      <c r="BA268" s="512">
        <v>44593</v>
      </c>
      <c r="BB268" s="490">
        <v>14</v>
      </c>
      <c r="BC268" s="522">
        <v>2</v>
      </c>
      <c r="BD268" s="489" t="s">
        <v>973</v>
      </c>
      <c r="BE268" s="486">
        <v>2</v>
      </c>
      <c r="BF268" s="512">
        <f>VLOOKUP(BD255,AX$254:AY$268,2,0)</f>
        <v>44501</v>
      </c>
      <c r="BG268" s="693">
        <f>VLOOKUP(BF268,AY$254:AZ$268,2,0)</f>
        <v>11</v>
      </c>
      <c r="BH268" s="490"/>
      <c r="BK268" s="489"/>
      <c r="BL268" s="486"/>
      <c r="BM268" s="486"/>
      <c r="BN268" s="486"/>
      <c r="BO268" s="512">
        <v>44409</v>
      </c>
      <c r="BP268" s="490">
        <f t="shared" si="35"/>
        <v>21820</v>
      </c>
      <c r="BQ268" s="481">
        <v>8</v>
      </c>
      <c r="BR268" s="481">
        <f>IF(BO268&gt;=BN$159,BQ284,BN268)</f>
        <v>21820</v>
      </c>
      <c r="BS268" s="503">
        <f t="shared" si="32"/>
        <v>0.30392000000000002</v>
      </c>
      <c r="BT268" s="503">
        <f>IF(CL$274=1,BW$262,BX$261)</f>
        <v>0.30392000000000002</v>
      </c>
      <c r="BU268" s="512">
        <v>44287</v>
      </c>
      <c r="BV268" s="481">
        <f t="shared" si="36"/>
        <v>21230</v>
      </c>
      <c r="BW268" s="481">
        <f t="shared" ref="BW268:BW276" si="42">IF(BO264&gt;=BN$159,ROUND(BV268*BW$261,0),ROUND(BV268*BX$261,0))</f>
        <v>5785</v>
      </c>
      <c r="BX268" s="481">
        <f t="shared" si="41"/>
        <v>6452</v>
      </c>
      <c r="BY268" s="481">
        <f>BX268-BW268</f>
        <v>667</v>
      </c>
      <c r="BZ268" s="503">
        <f t="shared" si="38"/>
        <v>0.30392000000000002</v>
      </c>
      <c r="CA268" s="481">
        <f>IF(BW$283&lt;=4,BW268,CA267)</f>
        <v>5785</v>
      </c>
      <c r="CB268" s="481">
        <f>IF(BX$308&lt;=4,BX268,CB267)</f>
        <v>6452</v>
      </c>
      <c r="CC268" s="481">
        <f t="shared" si="39"/>
        <v>5785</v>
      </c>
      <c r="CD268" s="481">
        <f t="shared" ref="CD268:CD273" si="43">ROUND(BV268*BS268,0)</f>
        <v>6452</v>
      </c>
      <c r="CE268" s="522">
        <f t="shared" si="33"/>
        <v>6452</v>
      </c>
      <c r="CF268" s="481">
        <f t="shared" si="34"/>
        <v>7120</v>
      </c>
      <c r="CG268" s="481">
        <f t="shared" si="40"/>
        <v>668</v>
      </c>
      <c r="CH268" s="506"/>
      <c r="CI268" s="507">
        <f>IF(CH266&lt;=CI267,CH266,IF(CH266&gt;=CI267,CI267))</f>
        <v>0</v>
      </c>
      <c r="CS268" s="481">
        <f>ROUND(CV258*0.3,0)</f>
        <v>17304</v>
      </c>
      <c r="CT268" s="481">
        <f>ROUND(CS268*0.01,0)</f>
        <v>173</v>
      </c>
      <c r="CU268" s="481">
        <f>ROUND(CS268*0.02,0)</f>
        <v>346</v>
      </c>
      <c r="DB268" s="484"/>
      <c r="DC268" s="481">
        <v>23</v>
      </c>
      <c r="DD268" s="677">
        <v>13270</v>
      </c>
      <c r="DE268" s="654">
        <v>26600</v>
      </c>
      <c r="DF268" s="654">
        <v>27360</v>
      </c>
      <c r="DG268" s="677">
        <v>29760</v>
      </c>
      <c r="DI268" s="677">
        <v>28940</v>
      </c>
      <c r="DJ268" s="677">
        <v>29760</v>
      </c>
      <c r="DK268" s="677">
        <v>35120</v>
      </c>
      <c r="DL268" s="677">
        <v>30580</v>
      </c>
      <c r="DM268" s="677">
        <v>35120</v>
      </c>
      <c r="DN268" s="677"/>
      <c r="DQ268" s="677">
        <v>28940</v>
      </c>
      <c r="DR268" s="677">
        <v>28120</v>
      </c>
      <c r="DS268" s="677"/>
      <c r="DT268" s="677"/>
      <c r="DU268" s="677"/>
    </row>
    <row r="269" spans="21:125" s="481" customFormat="1" ht="15" hidden="1">
      <c r="U269" s="483"/>
      <c r="V269" s="483"/>
      <c r="W269" s="483"/>
      <c r="X269" s="106"/>
      <c r="Y269" s="106"/>
      <c r="Z269" s="106"/>
      <c r="AA269" s="106"/>
      <c r="AB269" s="106"/>
      <c r="AC269" s="483"/>
      <c r="AD269" s="483"/>
      <c r="AE269" s="483"/>
      <c r="AF269" s="483"/>
      <c r="AG269" s="483"/>
      <c r="AH269" s="483"/>
      <c r="AU269" s="481">
        <v>9</v>
      </c>
      <c r="AV269" s="679">
        <f>BO179</f>
        <v>20</v>
      </c>
      <c r="AW269" s="481">
        <f>BO180</f>
        <v>14.5</v>
      </c>
      <c r="AX269" s="506"/>
      <c r="AY269" s="519"/>
      <c r="AZ269" s="519"/>
      <c r="BA269" s="519" t="s">
        <v>2</v>
      </c>
      <c r="BB269" s="507" t="str">
        <f>IF(BA269="No Change","","")</f>
        <v/>
      </c>
      <c r="BC269" s="522">
        <v>3</v>
      </c>
      <c r="BD269" s="489" t="s">
        <v>734</v>
      </c>
      <c r="BE269" s="486">
        <v>3</v>
      </c>
      <c r="BF269" s="512">
        <f>VLOOKUP(BD256,AX$254:AY$268,2,0)</f>
        <v>44562</v>
      </c>
      <c r="BG269" s="693">
        <f>VLOOKUP(BF269,AY$254:AZ$268,2,0)</f>
        <v>13</v>
      </c>
      <c r="BH269" s="490"/>
      <c r="BK269" s="489"/>
      <c r="BL269" s="486"/>
      <c r="BM269" s="486"/>
      <c r="BN269" s="486"/>
      <c r="BO269" s="512">
        <v>44440</v>
      </c>
      <c r="BP269" s="490">
        <f>BR269</f>
        <v>21820</v>
      </c>
      <c r="BQ269" s="481">
        <v>9</v>
      </c>
      <c r="BR269" s="481">
        <f t="shared" si="31"/>
        <v>21820</v>
      </c>
      <c r="BS269" s="503">
        <f t="shared" si="32"/>
        <v>0.30392000000000002</v>
      </c>
      <c r="BT269" s="503">
        <f>IF(CL$274=1,BW$262,BX$261)</f>
        <v>0.30392000000000002</v>
      </c>
      <c r="BU269" s="512">
        <v>44317</v>
      </c>
      <c r="BV269" s="481">
        <f t="shared" si="36"/>
        <v>21230</v>
      </c>
      <c r="BW269" s="481">
        <f t="shared" si="42"/>
        <v>5785</v>
      </c>
      <c r="BX269" s="481">
        <f t="shared" si="41"/>
        <v>6452</v>
      </c>
      <c r="BY269" s="481">
        <f t="shared" si="37"/>
        <v>667</v>
      </c>
      <c r="BZ269" s="503">
        <f t="shared" si="38"/>
        <v>0.30392000000000002</v>
      </c>
      <c r="CA269" s="481">
        <f>IF(BW$283&lt;=5,BW269,CA268)</f>
        <v>5785</v>
      </c>
      <c r="CB269" s="481">
        <f>IF(BX$308&lt;=5,BX269,CB268)</f>
        <v>6452</v>
      </c>
      <c r="CC269" s="481">
        <f>CA269</f>
        <v>5785</v>
      </c>
      <c r="CD269" s="481">
        <f t="shared" si="43"/>
        <v>6452</v>
      </c>
      <c r="CE269" s="522">
        <f t="shared" si="33"/>
        <v>6452</v>
      </c>
      <c r="CF269" s="481">
        <f t="shared" si="34"/>
        <v>7120</v>
      </c>
      <c r="CG269" s="481">
        <f t="shared" si="40"/>
        <v>668</v>
      </c>
      <c r="CS269" s="481">
        <v>1</v>
      </c>
      <c r="CT269" s="505" t="s">
        <v>397</v>
      </c>
      <c r="CV269" s="679">
        <f>IF(CQ$270="","",CQ$270)</f>
        <v>0</v>
      </c>
      <c r="CW269" s="482"/>
      <c r="CX269" s="482"/>
      <c r="DB269" s="484"/>
      <c r="DC269" s="481">
        <v>24</v>
      </c>
      <c r="DD269" s="677">
        <v>13660</v>
      </c>
      <c r="DE269" s="654">
        <v>27360</v>
      </c>
      <c r="DF269" s="654">
        <v>28120</v>
      </c>
      <c r="DG269" s="677">
        <v>30580</v>
      </c>
      <c r="DI269" s="677">
        <v>29760</v>
      </c>
      <c r="DJ269" s="677">
        <v>30580</v>
      </c>
      <c r="DK269" s="677">
        <v>35120</v>
      </c>
      <c r="DL269" s="677">
        <v>31460</v>
      </c>
      <c r="DM269" s="677">
        <v>35120</v>
      </c>
      <c r="DN269" s="677"/>
      <c r="DQ269" s="677">
        <v>29760</v>
      </c>
      <c r="DR269" s="677">
        <v>28940</v>
      </c>
      <c r="DS269" s="677"/>
      <c r="DT269" s="677"/>
      <c r="DU269" s="677"/>
    </row>
    <row r="270" spans="21:125" s="481" customFormat="1" ht="15" hidden="1">
      <c r="U270" s="483"/>
      <c r="V270" s="483"/>
      <c r="W270" s="483"/>
      <c r="X270" s="106"/>
      <c r="Y270" s="106"/>
      <c r="Z270" s="106"/>
      <c r="AA270" s="106"/>
      <c r="AB270" s="106"/>
      <c r="AC270" s="483"/>
      <c r="AD270" s="483"/>
      <c r="AE270" s="483"/>
      <c r="AF270" s="483"/>
      <c r="AG270" s="483"/>
      <c r="AH270" s="483"/>
      <c r="AX270" s="481">
        <f>BO179</f>
        <v>20</v>
      </c>
      <c r="AY270" s="481">
        <f>AX270</f>
        <v>20</v>
      </c>
      <c r="BC270" s="522">
        <v>4</v>
      </c>
      <c r="BD270" s="489" t="s">
        <v>735</v>
      </c>
      <c r="BE270" s="486">
        <v>4</v>
      </c>
      <c r="BF270" s="486"/>
      <c r="BG270" s="486"/>
      <c r="BH270" s="490"/>
      <c r="BK270" s="489"/>
      <c r="BL270" s="486"/>
      <c r="BM270" s="486"/>
      <c r="BN270" s="486"/>
      <c r="BO270" s="512">
        <v>44470</v>
      </c>
      <c r="BP270" s="490">
        <f t="shared" si="35"/>
        <v>21820</v>
      </c>
      <c r="BQ270" s="481">
        <v>10</v>
      </c>
      <c r="BR270" s="481">
        <f t="shared" si="31"/>
        <v>21820</v>
      </c>
      <c r="BS270" s="503">
        <f t="shared" si="32"/>
        <v>0.30392000000000002</v>
      </c>
      <c r="BT270" s="503">
        <f>IF(CL$274=1,BW$262,BX$261)</f>
        <v>0.30392000000000002</v>
      </c>
      <c r="BU270" s="512">
        <v>44348</v>
      </c>
      <c r="BV270" s="481">
        <f t="shared" si="36"/>
        <v>21230</v>
      </c>
      <c r="BW270" s="481">
        <f t="shared" si="42"/>
        <v>5785</v>
      </c>
      <c r="BX270" s="481">
        <f t="shared" si="41"/>
        <v>6452</v>
      </c>
      <c r="BY270" s="481">
        <f>BX270-BW270</f>
        <v>667</v>
      </c>
      <c r="BZ270" s="503">
        <f t="shared" si="38"/>
        <v>0.30392000000000002</v>
      </c>
      <c r="CA270" s="481">
        <f>IF(BW$283&lt;=6,BW270,CA269)</f>
        <v>5785</v>
      </c>
      <c r="CB270" s="481">
        <f>IF(BX$308&lt;=6,BX270,CB269)</f>
        <v>6452</v>
      </c>
      <c r="CC270" s="481">
        <f t="shared" si="39"/>
        <v>5785</v>
      </c>
      <c r="CD270" s="481">
        <f t="shared" si="43"/>
        <v>6452</v>
      </c>
      <c r="CE270" s="522">
        <f t="shared" si="33"/>
        <v>6452</v>
      </c>
      <c r="CF270" s="481">
        <f t="shared" si="34"/>
        <v>7120</v>
      </c>
      <c r="CG270" s="481">
        <f t="shared" si="40"/>
        <v>668</v>
      </c>
      <c r="CL270" s="481" t="s">
        <v>537</v>
      </c>
      <c r="CO270" s="593"/>
      <c r="CP270" s="594"/>
      <c r="CQ270" s="695">
        <f>P26</f>
        <v>0</v>
      </c>
      <c r="CS270" s="481">
        <v>2</v>
      </c>
      <c r="CT270" s="505">
        <v>44287</v>
      </c>
      <c r="CV270" s="679">
        <f>IF(CQ$274=CT270,CQ$271,CV269)</f>
        <v>0</v>
      </c>
      <c r="CW270" s="482"/>
      <c r="CX270" s="482"/>
      <c r="DB270" s="484"/>
      <c r="DC270" s="481">
        <v>25</v>
      </c>
      <c r="DD270" s="677">
        <v>14050</v>
      </c>
      <c r="DE270" s="654">
        <v>28120</v>
      </c>
      <c r="DF270" s="654">
        <v>28940</v>
      </c>
      <c r="DG270" s="677">
        <v>31460</v>
      </c>
      <c r="DI270" s="677">
        <v>30580</v>
      </c>
      <c r="DJ270" s="677">
        <v>31460</v>
      </c>
      <c r="DK270" s="677">
        <v>35120</v>
      </c>
      <c r="DL270" s="677">
        <v>32340</v>
      </c>
      <c r="DM270" s="677">
        <v>35120</v>
      </c>
      <c r="DN270" s="677"/>
      <c r="DQ270" s="677">
        <v>30580</v>
      </c>
      <c r="DR270" s="677">
        <v>29760</v>
      </c>
      <c r="DS270" s="677"/>
      <c r="DT270" s="677"/>
      <c r="DU270" s="677"/>
    </row>
    <row r="271" spans="21:125" s="481" customFormat="1" ht="15" hidden="1">
      <c r="U271" s="483"/>
      <c r="V271" s="483"/>
      <c r="W271" s="483"/>
      <c r="X271" s="106"/>
      <c r="Y271" s="106"/>
      <c r="Z271" s="106"/>
      <c r="AA271" s="106"/>
      <c r="AB271" s="106"/>
      <c r="AC271" s="483"/>
      <c r="AD271" s="483"/>
      <c r="AE271" s="483"/>
      <c r="AF271" s="483"/>
      <c r="AG271" s="483"/>
      <c r="AH271" s="483"/>
      <c r="AU271" s="514"/>
      <c r="AV271" s="551" t="s">
        <v>246</v>
      </c>
      <c r="AW271" s="696" t="s">
        <v>246</v>
      </c>
      <c r="AX271" s="697" t="s">
        <v>13</v>
      </c>
      <c r="AY271" s="509"/>
      <c r="AZ271" s="509" t="s">
        <v>7</v>
      </c>
      <c r="BA271" s="509" t="s">
        <v>247</v>
      </c>
      <c r="BB271" s="488" t="s">
        <v>106</v>
      </c>
      <c r="BC271" s="522">
        <v>5</v>
      </c>
      <c r="BD271" s="489" t="s">
        <v>740</v>
      </c>
      <c r="BE271" s="486">
        <v>5</v>
      </c>
      <c r="BF271" s="486">
        <f>IF(BE274=BD$268,BD261,IF(BE274=BD$269,BD261,IF(BE274=BD$270,BD261,IF(BE274=BD$271,BG267,IF(BE274=BD$272,BG267,IF(BE274=BD$273,BG267,IF(BE274=BD$267,"")))))))</f>
        <v>8</v>
      </c>
      <c r="BG271" s="486"/>
      <c r="BH271" s="698"/>
      <c r="BK271" s="489"/>
      <c r="BL271" s="486"/>
      <c r="BM271" s="486"/>
      <c r="BN271" s="486"/>
      <c r="BO271" s="512">
        <v>44501</v>
      </c>
      <c r="BP271" s="490">
        <f t="shared" si="35"/>
        <v>21820</v>
      </c>
      <c r="BQ271" s="481">
        <v>11</v>
      </c>
      <c r="BR271" s="481">
        <f t="shared" si="31"/>
        <v>21820</v>
      </c>
      <c r="BS271" s="503">
        <f t="shared" ref="BS271:BS278" si="44">IF(CL$274=1,BW$263,BX$263)</f>
        <v>0.33535999999999999</v>
      </c>
      <c r="BT271" s="503">
        <f>IF(CL$274=1,BW$262,BX$262)</f>
        <v>0.30392000000000002</v>
      </c>
      <c r="BU271" s="512">
        <v>44378</v>
      </c>
      <c r="BV271" s="481">
        <f t="shared" si="36"/>
        <v>21230</v>
      </c>
      <c r="BW271" s="481">
        <f t="shared" si="42"/>
        <v>5785</v>
      </c>
      <c r="BX271" s="481">
        <f t="shared" si="41"/>
        <v>6452</v>
      </c>
      <c r="BY271" s="481">
        <f>BX271-BW271</f>
        <v>667</v>
      </c>
      <c r="BZ271" s="503">
        <f t="shared" si="38"/>
        <v>0.33535999999999999</v>
      </c>
      <c r="CA271" s="481">
        <f>IF(BW$283&lt;=7,BW271,CA270)</f>
        <v>5785</v>
      </c>
      <c r="CB271" s="481">
        <f>IF(BX$308&lt;=7,BW271,CB270)</f>
        <v>5785</v>
      </c>
      <c r="CC271" s="481">
        <f>CA271</f>
        <v>5785</v>
      </c>
      <c r="CD271" s="481">
        <f>ROUND(BV271*BS271,0)</f>
        <v>7120</v>
      </c>
      <c r="CE271" s="522">
        <f>IF(BO267&gt;=BN$159,ROUND(BV271*BW$262,0),ROUND(BV271*BX$261,0))</f>
        <v>6452</v>
      </c>
      <c r="CF271" s="481">
        <f>IF(BO267&gt;=BN$159,ROUND(BV271*BX$262,0),ROUND(BV271*BX$261,0))</f>
        <v>7120</v>
      </c>
      <c r="CG271" s="481">
        <f t="shared" si="40"/>
        <v>668</v>
      </c>
      <c r="CO271" s="598"/>
      <c r="CP271" s="486"/>
      <c r="CQ271" s="699">
        <f>S26</f>
        <v>0</v>
      </c>
      <c r="CS271" s="481">
        <v>3</v>
      </c>
      <c r="CT271" s="505">
        <v>44317</v>
      </c>
      <c r="CV271" s="679">
        <f t="shared" ref="CV271:CV280" si="45">IF(CQ$274=CT271,CQ$271,CV270)</f>
        <v>0</v>
      </c>
      <c r="CW271" s="482"/>
      <c r="CX271" s="482"/>
      <c r="DB271" s="484"/>
      <c r="DC271" s="481">
        <v>26</v>
      </c>
      <c r="DD271" s="677">
        <v>14440</v>
      </c>
      <c r="DE271" s="654">
        <v>28940</v>
      </c>
      <c r="DF271" s="654">
        <v>29760</v>
      </c>
      <c r="DG271" s="677">
        <v>32340</v>
      </c>
      <c r="DI271" s="677">
        <v>31460</v>
      </c>
      <c r="DJ271" s="677">
        <v>32340</v>
      </c>
      <c r="DK271" s="677">
        <v>35120</v>
      </c>
      <c r="DL271" s="677">
        <v>33220</v>
      </c>
      <c r="DM271" s="677">
        <v>35120</v>
      </c>
      <c r="DN271" s="677"/>
      <c r="DQ271" s="677">
        <v>31460</v>
      </c>
      <c r="DR271" s="677">
        <v>30580</v>
      </c>
      <c r="DS271" s="677"/>
      <c r="DT271" s="677"/>
      <c r="DU271" s="677"/>
    </row>
    <row r="272" spans="21:125" s="481" customFormat="1" ht="15" hidden="1">
      <c r="U272" s="483"/>
      <c r="V272" s="483"/>
      <c r="W272" s="483"/>
      <c r="X272" s="106"/>
      <c r="Y272" s="106"/>
      <c r="Z272" s="106"/>
      <c r="AA272" s="106"/>
      <c r="AB272" s="106"/>
      <c r="AC272" s="483"/>
      <c r="AD272" s="483"/>
      <c r="AE272" s="483"/>
      <c r="AF272" s="483"/>
      <c r="AG272" s="483"/>
      <c r="AH272" s="483"/>
      <c r="AU272" s="505">
        <f>VLOOKUP(AW272,AW255:AX268,2,FALSE)</f>
        <v>44440</v>
      </c>
      <c r="AV272" s="615">
        <f>IF(S24="",0,(VLOOKUP(AU272,BA255:BB269,2,0)+2))</f>
        <v>0</v>
      </c>
      <c r="AW272" s="700">
        <v>9</v>
      </c>
      <c r="AX272" s="489" t="str">
        <f>VLOOKUP(BM144,BA255:BB269,2,0)</f>
        <v/>
      </c>
      <c r="AY272" s="512">
        <v>44228</v>
      </c>
      <c r="AZ272" s="693">
        <f>IF(S20="",0,(VLOOKUP(BM143,BA255:BB269,2,0)+3))</f>
        <v>0</v>
      </c>
      <c r="BA272" s="693">
        <f>IF(S21="",0,(VLOOKUP(BO143,BA255:BB269,2,0)+3))</f>
        <v>0</v>
      </c>
      <c r="BB272" s="490">
        <f>IF(S22="",0,(VLOOKUP(BQ143,BA255:BB269,2,0)))</f>
        <v>0</v>
      </c>
      <c r="BC272" s="522">
        <v>6</v>
      </c>
      <c r="BD272" s="489" t="s">
        <v>741</v>
      </c>
      <c r="BE272" s="486">
        <v>6</v>
      </c>
      <c r="BF272" s="486" t="str">
        <f>IF(BE275=BD$268,BD262,IF(BE275=BD$269,BD262,IF(BE275=BD$270,BD262,IF(BE275=BD$271,BG268,IF(BE275=BD$272,BG268,IF(BE275=BD$273,BG268,IF(BE275=BD$267,"")))))))</f>
        <v/>
      </c>
      <c r="BG272" s="486"/>
      <c r="BH272" s="490"/>
      <c r="BK272" s="489"/>
      <c r="BL272" s="486"/>
      <c r="BM272" s="486"/>
      <c r="BN272" s="486"/>
      <c r="BO272" s="512">
        <v>44531</v>
      </c>
      <c r="BP272" s="490">
        <f>BR272</f>
        <v>21820</v>
      </c>
      <c r="BQ272" s="481">
        <v>12</v>
      </c>
      <c r="BR272" s="481">
        <f>IF(BO272&gt;=BN$159,BQ288,BN272)</f>
        <v>21820</v>
      </c>
      <c r="BS272" s="503">
        <f t="shared" si="44"/>
        <v>0.33535999999999999</v>
      </c>
      <c r="BT272" s="503">
        <f>IF(CL$274=1,BW$262,BX262)</f>
        <v>0.30392000000000002</v>
      </c>
      <c r="BU272" s="512">
        <v>44409</v>
      </c>
      <c r="BV272" s="481">
        <f t="shared" si="36"/>
        <v>21820</v>
      </c>
      <c r="BW272" s="481">
        <f t="shared" si="42"/>
        <v>5946</v>
      </c>
      <c r="BX272" s="481">
        <f t="shared" si="41"/>
        <v>6632</v>
      </c>
      <c r="BY272" s="481">
        <f>BX272-BW272</f>
        <v>686</v>
      </c>
      <c r="BZ272" s="503">
        <f t="shared" si="38"/>
        <v>0.33535999999999999</v>
      </c>
      <c r="CA272" s="481">
        <f>IF(BW$283&lt;=8,BW272,CA271)</f>
        <v>5946</v>
      </c>
      <c r="CB272" s="481">
        <f>IF(BX$308&lt;=8,BW272,CB271)</f>
        <v>5946</v>
      </c>
      <c r="CC272" s="481">
        <f t="shared" si="39"/>
        <v>5946</v>
      </c>
      <c r="CD272" s="481">
        <f t="shared" si="43"/>
        <v>7318</v>
      </c>
      <c r="CE272" s="522">
        <f>IF(BO268&gt;=BN$159,ROUND(BV272*BW$262,0),ROUND(BV272*BX$261,0))</f>
        <v>6632</v>
      </c>
      <c r="CF272" s="481">
        <f>IF(BO268&gt;=BN$159,ROUND(BV272*BX$262,0),ROUND(BV272*BX$261,0))</f>
        <v>7318</v>
      </c>
      <c r="CG272" s="481">
        <f t="shared" si="40"/>
        <v>686</v>
      </c>
      <c r="CH272" s="701">
        <v>44348</v>
      </c>
      <c r="CI272" s="702">
        <f>CE286</f>
        <v>21230</v>
      </c>
      <c r="CJ272" s="702">
        <f>ROUND(CI272*1.5/30,0)</f>
        <v>1062</v>
      </c>
      <c r="CK272" s="702" t="s">
        <v>532</v>
      </c>
      <c r="CL272" s="702"/>
      <c r="CM272" s="702"/>
      <c r="CN272" s="702"/>
      <c r="CO272" s="703"/>
      <c r="CP272" s="486"/>
      <c r="CQ272" s="704"/>
      <c r="CS272" s="481">
        <v>4</v>
      </c>
      <c r="CT272" s="505">
        <v>44348</v>
      </c>
      <c r="CV272" s="679">
        <f t="shared" si="45"/>
        <v>0</v>
      </c>
      <c r="CW272" s="482"/>
      <c r="CX272" s="482"/>
      <c r="DB272" s="484"/>
      <c r="DC272" s="481">
        <v>27</v>
      </c>
      <c r="DD272" s="677">
        <v>14860</v>
      </c>
      <c r="DE272" s="654">
        <v>29760</v>
      </c>
      <c r="DF272" s="654">
        <v>30580</v>
      </c>
      <c r="DG272" s="677">
        <v>33220</v>
      </c>
      <c r="DI272" s="677">
        <v>32340</v>
      </c>
      <c r="DJ272" s="677">
        <v>33220</v>
      </c>
      <c r="DK272" s="677">
        <v>35120</v>
      </c>
      <c r="DL272" s="677">
        <v>34170</v>
      </c>
      <c r="DM272" s="677">
        <v>35120</v>
      </c>
      <c r="DN272" s="677"/>
      <c r="DQ272" s="677">
        <v>32340</v>
      </c>
      <c r="DR272" s="677">
        <v>31460</v>
      </c>
      <c r="DS272" s="677"/>
      <c r="DT272" s="677"/>
      <c r="DU272" s="677"/>
    </row>
    <row r="273" spans="21:125" s="481" customFormat="1" ht="15" hidden="1">
      <c r="U273" s="483"/>
      <c r="V273" s="483"/>
      <c r="W273" s="483"/>
      <c r="X273" s="106"/>
      <c r="Y273" s="106"/>
      <c r="Z273" s="106"/>
      <c r="AA273" s="106"/>
      <c r="AB273" s="106"/>
      <c r="AC273" s="483"/>
      <c r="AD273" s="483"/>
      <c r="AE273" s="483"/>
      <c r="AF273" s="483"/>
      <c r="AG273" s="483"/>
      <c r="AH273" s="483"/>
      <c r="AU273" s="514">
        <v>44228</v>
      </c>
      <c r="AV273" s="615" t="str">
        <f>IF(AW273=0,"",IF(AW273=AW273,AW273))</f>
        <v/>
      </c>
      <c r="AW273" s="489">
        <f>P24</f>
        <v>0</v>
      </c>
      <c r="AX273" s="705">
        <f>IF(AX$272=3,BO$180,AX285)</f>
        <v>20</v>
      </c>
      <c r="AY273" s="512">
        <v>44256</v>
      </c>
      <c r="AZ273" s="486">
        <f>P20</f>
        <v>7000</v>
      </c>
      <c r="BA273" s="486">
        <f>P21</f>
        <v>2000</v>
      </c>
      <c r="BB273" s="490">
        <f>P22</f>
        <v>120</v>
      </c>
      <c r="BC273" s="522">
        <v>7</v>
      </c>
      <c r="BD273" s="506" t="s">
        <v>736</v>
      </c>
      <c r="BE273" s="486">
        <v>7</v>
      </c>
      <c r="BF273" s="519" t="str">
        <f>IF(BE276=BD$268,BD263,IF(BE276=BD$269,BD263,IF(BE276=BD$270,BD263,IF(BE276=BD$271,BG269,IF(BE276=BD$272,BG269,IF(BE276=BD$273,BG269,IF(BE276=BD$267,"")))))))</f>
        <v/>
      </c>
      <c r="BG273" s="519"/>
      <c r="BH273" s="507"/>
      <c r="BK273" s="489"/>
      <c r="BL273" s="486"/>
      <c r="BM273" s="486"/>
      <c r="BN273" s="486"/>
      <c r="BO273" s="512">
        <v>44562</v>
      </c>
      <c r="BP273" s="490">
        <f>BR273</f>
        <v>21820</v>
      </c>
      <c r="BQ273" s="481">
        <v>13</v>
      </c>
      <c r="BR273" s="481">
        <f>IF(BO273&gt;=BN$159,BQ289,BN273)</f>
        <v>21820</v>
      </c>
      <c r="BS273" s="503">
        <f t="shared" si="44"/>
        <v>0.33535999999999999</v>
      </c>
      <c r="BT273" s="503">
        <f>IF(CL$274=1,BW$262,BX$262)</f>
        <v>0.30392000000000002</v>
      </c>
      <c r="BU273" s="512">
        <v>44440</v>
      </c>
      <c r="BV273" s="481">
        <f t="shared" si="36"/>
        <v>21820</v>
      </c>
      <c r="BW273" s="481">
        <f t="shared" si="42"/>
        <v>5946</v>
      </c>
      <c r="BX273" s="481">
        <f t="shared" si="41"/>
        <v>6632</v>
      </c>
      <c r="BY273" s="481">
        <f t="shared" si="37"/>
        <v>686</v>
      </c>
      <c r="BZ273" s="503">
        <f t="shared" si="38"/>
        <v>0.33535999999999999</v>
      </c>
      <c r="CA273" s="481">
        <f>IF(BW$283&lt;=9,BW273,CA272)</f>
        <v>5946</v>
      </c>
      <c r="CB273" s="481">
        <f>IF(BX$308&lt;=9,BX273,CB272)</f>
        <v>6632</v>
      </c>
      <c r="CC273" s="481">
        <f t="shared" ref="CC273:CC278" si="46">CA273</f>
        <v>5946</v>
      </c>
      <c r="CD273" s="481">
        <f t="shared" si="43"/>
        <v>7318</v>
      </c>
      <c r="CE273" s="522">
        <f t="shared" ref="CE273:CE278" si="47">ROUND(BV273*BW$262,0)</f>
        <v>6632</v>
      </c>
      <c r="CF273" s="481">
        <f t="shared" ref="CF273:CF278" si="48">ROUND(BV273*BX$262,0)</f>
        <v>7318</v>
      </c>
      <c r="CG273" s="481">
        <f t="shared" si="40"/>
        <v>686</v>
      </c>
      <c r="CH273" s="706"/>
      <c r="CI273" s="486"/>
      <c r="CJ273" s="486"/>
      <c r="CK273" s="707" t="str">
        <f>IF(CL274=2,CJ272,"")</f>
        <v/>
      </c>
      <c r="CL273" s="708"/>
      <c r="CM273" s="708">
        <v>1</v>
      </c>
      <c r="CN273" s="708" t="s">
        <v>533</v>
      </c>
      <c r="CO273" s="703"/>
      <c r="CP273" s="486"/>
      <c r="CQ273" s="709">
        <v>1</v>
      </c>
      <c r="CR273" s="540">
        <v>2</v>
      </c>
      <c r="CS273" s="481">
        <v>5</v>
      </c>
      <c r="CT273" s="505">
        <v>44378</v>
      </c>
      <c r="CV273" s="679">
        <f>IF(CQ$274=CT273,CQ$271,CV272)</f>
        <v>0</v>
      </c>
      <c r="CW273" s="482"/>
      <c r="CX273" s="482"/>
      <c r="DB273" s="484"/>
      <c r="DC273" s="481">
        <v>28</v>
      </c>
      <c r="DD273" s="677">
        <v>15280</v>
      </c>
      <c r="DE273" s="654">
        <v>30580</v>
      </c>
      <c r="DF273" s="654">
        <v>31460</v>
      </c>
      <c r="DG273" s="677">
        <v>34170</v>
      </c>
      <c r="DI273" s="677">
        <v>33220</v>
      </c>
      <c r="DJ273" s="677">
        <v>34170</v>
      </c>
      <c r="DK273" s="677">
        <v>35120</v>
      </c>
      <c r="DL273" s="677">
        <v>35120</v>
      </c>
      <c r="DM273" s="677">
        <v>35120</v>
      </c>
      <c r="DN273" s="677"/>
      <c r="DQ273" s="677">
        <v>33220</v>
      </c>
      <c r="DR273" s="677">
        <v>32340</v>
      </c>
      <c r="DS273" s="677"/>
      <c r="DT273" s="677"/>
      <c r="DU273" s="677"/>
    </row>
    <row r="274" spans="21:125" s="481" customFormat="1" ht="15" hidden="1">
      <c r="U274" s="483"/>
      <c r="V274" s="483"/>
      <c r="W274" s="483"/>
      <c r="X274" s="106"/>
      <c r="Y274" s="106"/>
      <c r="Z274" s="106"/>
      <c r="AA274" s="106"/>
      <c r="AB274" s="106"/>
      <c r="AC274" s="483"/>
      <c r="AD274" s="483"/>
      <c r="AE274" s="483"/>
      <c r="AF274" s="483"/>
      <c r="AG274" s="483"/>
      <c r="AH274" s="483"/>
      <c r="AU274" s="514">
        <v>44256</v>
      </c>
      <c r="AV274" s="615" t="str">
        <f t="shared" ref="AV274:AV284" si="49">IF(AW274=0,"",IF(AW274=AW274,AW274))</f>
        <v/>
      </c>
      <c r="AW274" s="489">
        <f>IF(AV$272=4,S$24,P24)</f>
        <v>0</v>
      </c>
      <c r="AX274" s="705">
        <f>IF(AX$272=4,BO$180,AX273)</f>
        <v>20</v>
      </c>
      <c r="AY274" s="512">
        <v>44287</v>
      </c>
      <c r="AZ274" s="486">
        <f>IF(AZ$272=4,S$20,P20)</f>
        <v>7000</v>
      </c>
      <c r="BA274" s="486">
        <f>IF(BA$272=4,S$21,P21)</f>
        <v>2000</v>
      </c>
      <c r="BB274" s="490">
        <f>IF(BB$272=4,S$22,BB273)</f>
        <v>120</v>
      </c>
      <c r="BC274" s="481">
        <v>1</v>
      </c>
      <c r="BD274" s="494">
        <v>2</v>
      </c>
      <c r="BE274" s="672" t="str">
        <f>VLOOKUP(BD274,BC267:BD273,2,0)</f>
        <v>Increment after Jan-21</v>
      </c>
      <c r="BH274" s="481">
        <f>IF(AND(BD274=2,BD254=BH$267),VLOOKUP(BP$273,BS$144:BT$215,2,FALSE),IF(AND(BD275=2,BD255=BH$267),VLOOKUP(BP$273,BS$144:BT$215,2,FALSE),IF(AND(BD276=2,BD256=BH$267),VLOOKUP(BP$273,BS$144:BT$215,2,FALSE),BN274)))</f>
        <v>0</v>
      </c>
      <c r="BK274" s="489"/>
      <c r="BL274" s="486"/>
      <c r="BM274" s="486"/>
      <c r="BN274" s="486"/>
      <c r="BO274" s="512">
        <v>44593</v>
      </c>
      <c r="BP274" s="490">
        <f>BR274</f>
        <v>21820</v>
      </c>
      <c r="BQ274" s="481">
        <v>14</v>
      </c>
      <c r="BR274" s="481">
        <f>IF(BO274&gt;=BN$159,BQ290,BN274)</f>
        <v>21820</v>
      </c>
      <c r="BS274" s="503">
        <f t="shared" si="44"/>
        <v>0.33535999999999999</v>
      </c>
      <c r="BT274" s="503">
        <f>IF(CL$274=1,BW$262,BX$262)</f>
        <v>0.30392000000000002</v>
      </c>
      <c r="BU274" s="512">
        <v>44470</v>
      </c>
      <c r="BV274" s="481">
        <f>BP270</f>
        <v>21820</v>
      </c>
      <c r="BW274" s="481">
        <f t="shared" si="42"/>
        <v>5946</v>
      </c>
      <c r="BX274" s="481">
        <f t="shared" si="41"/>
        <v>6632</v>
      </c>
      <c r="BY274" s="481">
        <f t="shared" si="37"/>
        <v>686</v>
      </c>
      <c r="BZ274" s="503">
        <f t="shared" si="38"/>
        <v>0.33535999999999999</v>
      </c>
      <c r="CA274" s="481">
        <f>IF(BW$283&lt;=10,BW274,CA273)</f>
        <v>5946</v>
      </c>
      <c r="CB274" s="481">
        <f>IF(BX$308&lt;=10,BX274,CB273)</f>
        <v>6632</v>
      </c>
      <c r="CC274" s="481">
        <f t="shared" si="46"/>
        <v>5946</v>
      </c>
      <c r="CD274" s="481">
        <f>ROUND(BV274*BS274,0)</f>
        <v>7318</v>
      </c>
      <c r="CE274" s="522">
        <f t="shared" si="47"/>
        <v>6632</v>
      </c>
      <c r="CF274" s="481">
        <f t="shared" si="48"/>
        <v>7318</v>
      </c>
      <c r="CG274" s="481">
        <f t="shared" si="40"/>
        <v>686</v>
      </c>
      <c r="CH274" s="710"/>
      <c r="CI274" s="486"/>
      <c r="CJ274" s="486"/>
      <c r="CK274" s="486"/>
      <c r="CL274" s="565">
        <v>1</v>
      </c>
      <c r="CM274" s="565">
        <v>2</v>
      </c>
      <c r="CN274" s="708" t="s">
        <v>534</v>
      </c>
      <c r="CO274" s="598"/>
      <c r="CP274" s="486"/>
      <c r="CQ274" s="711" t="str">
        <f>VLOOKUP(CQ273,CS269:CT280,2,TRUE)</f>
        <v>Select</v>
      </c>
      <c r="CS274" s="481">
        <v>6</v>
      </c>
      <c r="CT274" s="505">
        <v>44409</v>
      </c>
      <c r="CV274" s="679">
        <f t="shared" si="45"/>
        <v>0</v>
      </c>
      <c r="CW274" s="482"/>
      <c r="CX274" s="482"/>
      <c r="DB274" s="484"/>
      <c r="DC274" s="481">
        <v>29</v>
      </c>
      <c r="DD274" s="677">
        <v>15700</v>
      </c>
      <c r="DE274" s="654">
        <v>31460</v>
      </c>
      <c r="DF274" s="654">
        <v>32340</v>
      </c>
      <c r="DG274" s="677">
        <v>35120</v>
      </c>
      <c r="DI274" s="677">
        <v>34170</v>
      </c>
      <c r="DJ274" s="677">
        <v>35120</v>
      </c>
      <c r="DK274" s="677">
        <v>35120</v>
      </c>
      <c r="DL274" s="677">
        <v>36070</v>
      </c>
      <c r="DM274" s="677">
        <v>36070</v>
      </c>
      <c r="DN274" s="677"/>
      <c r="DQ274" s="677">
        <v>34170</v>
      </c>
      <c r="DR274" s="677">
        <v>33220</v>
      </c>
      <c r="DS274" s="677"/>
      <c r="DT274" s="677"/>
      <c r="DU274" s="677"/>
    </row>
    <row r="275" spans="21:125" s="481" customFormat="1" ht="15" hidden="1">
      <c r="U275" s="483"/>
      <c r="V275" s="483"/>
      <c r="W275" s="483"/>
      <c r="X275" s="106"/>
      <c r="Y275" s="106"/>
      <c r="Z275" s="106"/>
      <c r="AA275" s="106"/>
      <c r="AB275" s="106"/>
      <c r="AC275" s="483"/>
      <c r="AD275" s="483"/>
      <c r="AE275" s="483"/>
      <c r="AF275" s="483"/>
      <c r="AG275" s="483"/>
      <c r="AH275" s="483"/>
      <c r="AU275" s="514">
        <v>44287</v>
      </c>
      <c r="AV275" s="615">
        <f>IF(AW275=0,0,IF(AW275=AW275,AW275))</f>
        <v>0</v>
      </c>
      <c r="AW275" s="489">
        <f>IF(AV$272=5,S$24,AW274)</f>
        <v>0</v>
      </c>
      <c r="AX275" s="705">
        <f>IF(AX$272=5,BO$180,AX274)</f>
        <v>20</v>
      </c>
      <c r="AY275" s="512">
        <v>44317</v>
      </c>
      <c r="AZ275" s="486">
        <f>IF(AZ$272=5,S$20,AZ274)</f>
        <v>7000</v>
      </c>
      <c r="BA275" s="486">
        <f>IF(BA$272=5,S$21,BA274)</f>
        <v>2000</v>
      </c>
      <c r="BB275" s="490">
        <f>IF(BB$272=5,S$22,BB274)</f>
        <v>120</v>
      </c>
      <c r="BC275" s="481">
        <v>2</v>
      </c>
      <c r="BD275" s="494">
        <v>1</v>
      </c>
      <c r="BE275" s="672" t="str">
        <f>VLOOKUP(BD275,BC267:BD273,2,0)</f>
        <v>No Change</v>
      </c>
      <c r="BK275" s="506"/>
      <c r="BL275" s="519"/>
      <c r="BM275" s="519"/>
      <c r="BN275" s="519"/>
      <c r="BO275" s="712">
        <v>44621</v>
      </c>
      <c r="BP275" s="507">
        <f>BQ275</f>
        <v>21820</v>
      </c>
      <c r="BQ275" s="481">
        <f>IF(BO275&gt;=BN$159,BQ291,BN275)</f>
        <v>21820</v>
      </c>
      <c r="BR275" s="713">
        <f>IF(CL$274=1,BW262,IF(AQ$166&gt;=2,BW263,BS275))</f>
        <v>0.30392000000000002</v>
      </c>
      <c r="BS275" s="503">
        <f t="shared" si="44"/>
        <v>0.33535999999999999</v>
      </c>
      <c r="BT275" s="503">
        <f>IF(CL$274=1,BW$263,BX$263)</f>
        <v>0.33535999999999999</v>
      </c>
      <c r="BU275" s="512">
        <v>44501</v>
      </c>
      <c r="BV275" s="481">
        <f t="shared" si="36"/>
        <v>21820</v>
      </c>
      <c r="BW275" s="481">
        <f>IF(BO271&gt;=BN$159,ROUND(BV275*BW$261,0),ROUND(BV275*BX$261,0))</f>
        <v>5946</v>
      </c>
      <c r="BX275" s="481">
        <f>IF(BO271&gt;=BN$159,ROUND(BV275*BW$262,0),ROUND(BV275*BX$261,0))</f>
        <v>6632</v>
      </c>
      <c r="BY275" s="481">
        <f t="shared" si="37"/>
        <v>686</v>
      </c>
      <c r="BZ275" s="503">
        <f>BS275</f>
        <v>0.33535999999999999</v>
      </c>
      <c r="CA275" s="481">
        <f>IF(BW$283&lt;=11,BW275,CA274)</f>
        <v>5946</v>
      </c>
      <c r="CB275" s="481">
        <f>IF(BX$308&lt;=10,BX275,CB274)</f>
        <v>6632</v>
      </c>
      <c r="CC275" s="481">
        <f t="shared" si="46"/>
        <v>5946</v>
      </c>
      <c r="CD275" s="481">
        <f>ROUND(BV275*BR275,0)</f>
        <v>6632</v>
      </c>
      <c r="CE275" s="522">
        <f t="shared" si="47"/>
        <v>6632</v>
      </c>
      <c r="CF275" s="481">
        <f t="shared" si="48"/>
        <v>7318</v>
      </c>
      <c r="CG275" s="481">
        <f t="shared" si="40"/>
        <v>686</v>
      </c>
      <c r="CH275" s="710"/>
      <c r="CI275" s="486"/>
      <c r="CJ275" s="486"/>
      <c r="CK275" s="486"/>
      <c r="CL275" s="708"/>
      <c r="CM275" s="708">
        <v>3</v>
      </c>
      <c r="CN275" s="708" t="s">
        <v>535</v>
      </c>
      <c r="CO275" s="598">
        <v>1</v>
      </c>
      <c r="CP275" s="486" t="s">
        <v>2</v>
      </c>
      <c r="CQ275" s="699">
        <f>IF(CQ273=1,IF(CL274=1,CP272,""),"")</f>
        <v>0</v>
      </c>
      <c r="CS275" s="481">
        <v>7</v>
      </c>
      <c r="CT275" s="505">
        <v>44440</v>
      </c>
      <c r="CV275" s="679">
        <f t="shared" si="45"/>
        <v>0</v>
      </c>
      <c r="CW275" s="482"/>
      <c r="CX275" s="482"/>
      <c r="DB275" s="484"/>
      <c r="DC275" s="481">
        <v>30</v>
      </c>
      <c r="DD275" s="677">
        <v>16150</v>
      </c>
      <c r="DE275" s="654">
        <v>32340</v>
      </c>
      <c r="DF275" s="654">
        <v>33220</v>
      </c>
      <c r="DG275" s="677">
        <v>36070</v>
      </c>
      <c r="DI275" s="677">
        <v>35120</v>
      </c>
      <c r="DJ275" s="677">
        <v>36070</v>
      </c>
      <c r="DK275" s="677">
        <v>36070</v>
      </c>
      <c r="DL275" s="677">
        <v>37100</v>
      </c>
      <c r="DM275" s="677">
        <v>37100</v>
      </c>
      <c r="DN275" s="677"/>
      <c r="DQ275" s="677">
        <v>35120</v>
      </c>
      <c r="DR275" s="677">
        <v>34170</v>
      </c>
      <c r="DS275" s="677"/>
      <c r="DT275" s="677"/>
      <c r="DU275" s="677"/>
    </row>
    <row r="276" spans="21:125" s="481" customFormat="1" ht="15" hidden="1">
      <c r="U276" s="483"/>
      <c r="V276" s="483"/>
      <c r="W276" s="483"/>
      <c r="X276" s="106"/>
      <c r="Y276" s="106"/>
      <c r="Z276" s="106"/>
      <c r="AA276" s="106"/>
      <c r="AB276" s="106"/>
      <c r="AC276" s="483"/>
      <c r="AD276" s="483"/>
      <c r="AE276" s="483"/>
      <c r="AF276" s="483"/>
      <c r="AG276" s="483"/>
      <c r="AH276" s="483"/>
      <c r="AU276" s="514">
        <v>44317</v>
      </c>
      <c r="AV276" s="615" t="str">
        <f t="shared" si="49"/>
        <v/>
      </c>
      <c r="AW276" s="489">
        <f>IF(AV$272=6,S$24,AW275)</f>
        <v>0</v>
      </c>
      <c r="AX276" s="705">
        <f>IF(AX$272=6,BO$180,AX275)</f>
        <v>20</v>
      </c>
      <c r="AY276" s="512">
        <v>44348</v>
      </c>
      <c r="AZ276" s="486">
        <f>IF(AZ$272=6,S$20,AZ275)</f>
        <v>7000</v>
      </c>
      <c r="BA276" s="486">
        <f>IF(BA$272=6,S$21,BA275)</f>
        <v>2000</v>
      </c>
      <c r="BB276" s="490">
        <f>IF(BB$272=6,S$22,BB275)</f>
        <v>120</v>
      </c>
      <c r="BC276" s="481">
        <v>3</v>
      </c>
      <c r="BD276" s="494">
        <v>1</v>
      </c>
      <c r="BE276" s="672" t="str">
        <f>VLOOKUP(BD276,BC267:BD273,2,0)</f>
        <v>No Change</v>
      </c>
      <c r="BR276" s="713">
        <f>IF(CL$274=1,BW262,IF(AQ$166&gt;=3,BW263,BS276))</f>
        <v>0.30392000000000002</v>
      </c>
      <c r="BS276" s="503">
        <f t="shared" si="44"/>
        <v>0.33535999999999999</v>
      </c>
      <c r="BT276" s="503">
        <f>IF(CL$274=1,BW$263,BX$263)</f>
        <v>0.33535999999999999</v>
      </c>
      <c r="BU276" s="512">
        <v>44531</v>
      </c>
      <c r="BV276" s="481">
        <f t="shared" si="36"/>
        <v>21820</v>
      </c>
      <c r="BW276" s="481">
        <f t="shared" si="42"/>
        <v>5946</v>
      </c>
      <c r="BX276" s="481">
        <f>IF(BO272&gt;=BN$159,ROUND(BV276*BW$262,0),ROUND(BV276*BX$261,0))</f>
        <v>6632</v>
      </c>
      <c r="BY276" s="481">
        <f t="shared" si="37"/>
        <v>686</v>
      </c>
      <c r="BZ276" s="503">
        <f>BS276</f>
        <v>0.33535999999999999</v>
      </c>
      <c r="CA276" s="481">
        <f>IF(BW$283&lt;=12,BW276,CA275)</f>
        <v>5946</v>
      </c>
      <c r="CB276" s="481">
        <f>IF(BX$308&lt;=11,BX276,CB275)</f>
        <v>6632</v>
      </c>
      <c r="CC276" s="481">
        <f t="shared" si="46"/>
        <v>5946</v>
      </c>
      <c r="CD276" s="481">
        <f>ROUND(BV276*BR276,0)</f>
        <v>6632</v>
      </c>
      <c r="CE276" s="522">
        <f t="shared" si="47"/>
        <v>6632</v>
      </c>
      <c r="CF276" s="481">
        <f t="shared" si="48"/>
        <v>7318</v>
      </c>
      <c r="CG276" s="481">
        <f t="shared" si="40"/>
        <v>686</v>
      </c>
      <c r="CH276" s="710"/>
      <c r="CI276" s="486"/>
      <c r="CJ276" s="486"/>
      <c r="CK276" s="486"/>
      <c r="CL276" s="486"/>
      <c r="CM276" s="707">
        <f>IF(CL274=1,CJ277,"")</f>
        <v>685</v>
      </c>
      <c r="CN276" s="486"/>
      <c r="CO276" s="598">
        <v>2</v>
      </c>
      <c r="CP276" s="714">
        <v>44531</v>
      </c>
      <c r="CQ276" s="699">
        <f>IF(CQ275="","",IF(CQ$273=2,CP$273,CQ275))</f>
        <v>0</v>
      </c>
      <c r="CS276" s="481">
        <v>8</v>
      </c>
      <c r="CT276" s="505">
        <v>44470</v>
      </c>
      <c r="CV276" s="679">
        <f t="shared" si="45"/>
        <v>0</v>
      </c>
      <c r="CW276" s="482"/>
      <c r="CX276" s="482"/>
      <c r="DB276" s="484"/>
      <c r="DC276" s="481">
        <v>31</v>
      </c>
      <c r="DD276" s="677">
        <v>16600</v>
      </c>
      <c r="DE276" s="654">
        <v>33220</v>
      </c>
      <c r="DF276" s="654">
        <v>34170</v>
      </c>
      <c r="DG276" s="677">
        <v>37100</v>
      </c>
      <c r="DI276" s="677">
        <v>36070</v>
      </c>
      <c r="DJ276" s="677">
        <v>37100</v>
      </c>
      <c r="DK276" s="677">
        <v>37100</v>
      </c>
      <c r="DL276" s="677">
        <v>38130</v>
      </c>
      <c r="DM276" s="677">
        <v>38130</v>
      </c>
      <c r="DN276" s="677"/>
      <c r="DQ276" s="677">
        <v>36070</v>
      </c>
      <c r="DR276" s="677">
        <v>35120</v>
      </c>
      <c r="DS276" s="677"/>
      <c r="DT276" s="677"/>
      <c r="DU276" s="677"/>
    </row>
    <row r="277" spans="21:125" s="481" customFormat="1" ht="15" hidden="1">
      <c r="U277" s="483"/>
      <c r="V277" s="483"/>
      <c r="W277" s="483"/>
      <c r="X277" s="106"/>
      <c r="Y277" s="106"/>
      <c r="Z277" s="106"/>
      <c r="AA277" s="106"/>
      <c r="AB277" s="106"/>
      <c r="AC277" s="483"/>
      <c r="AD277" s="483"/>
      <c r="AE277" s="483"/>
      <c r="AF277" s="483"/>
      <c r="AG277" s="483"/>
      <c r="AH277" s="483"/>
      <c r="AU277" s="514">
        <v>44348</v>
      </c>
      <c r="AV277" s="615" t="str">
        <f>IF(AW277=0,"",IF(AW277=AW277,AW277))</f>
        <v/>
      </c>
      <c r="AW277" s="489">
        <f>IF(AV$272=7,S$24,AW276)</f>
        <v>0</v>
      </c>
      <c r="AX277" s="705">
        <f>IF(AX$272=7,BO$180,AX276)</f>
        <v>20</v>
      </c>
      <c r="AY277" s="512">
        <v>44378</v>
      </c>
      <c r="AZ277" s="486">
        <f>IF(AZ$272=7,S$20,AZ276)</f>
        <v>7000</v>
      </c>
      <c r="BA277" s="486">
        <f>IF(BA$272=7,S$21,BA276)</f>
        <v>2000</v>
      </c>
      <c r="BB277" s="490">
        <f>IF(BB$272=7,S$22,BB276)</f>
        <v>120</v>
      </c>
      <c r="BF277" s="1788" t="s">
        <v>862</v>
      </c>
      <c r="BG277" s="1788"/>
      <c r="BH277" s="1788"/>
      <c r="BI277" s="715">
        <v>1</v>
      </c>
      <c r="BJ277" s="509" t="str">
        <f>VLOOKUP(BI277,CC199:CD201,2,0)</f>
        <v>Not Availed</v>
      </c>
      <c r="BK277" s="575">
        <v>7</v>
      </c>
      <c r="BL277" s="488"/>
      <c r="BN277" s="481">
        <f>IF(BF$271=1,BG$262,BJ252)</f>
        <v>21230</v>
      </c>
      <c r="BO277" s="481">
        <f>IF(BF$272=1,BG$263,BN277)</f>
        <v>21230</v>
      </c>
      <c r="BP277" s="481">
        <f>IF(BF$273=1,BG$264,BO277)</f>
        <v>21230</v>
      </c>
      <c r="BQ277" s="481">
        <f>MAX(BN277:BP277,0)</f>
        <v>21230</v>
      </c>
      <c r="BR277" s="503">
        <f>IF(CL$274=1,IF(AQ$166&gt;=2,BW262,BS277),BX263)</f>
        <v>0.33535999999999999</v>
      </c>
      <c r="BS277" s="503">
        <f t="shared" si="44"/>
        <v>0.33535999999999999</v>
      </c>
      <c r="BT277" s="503">
        <f>IF(CL$274=1,BW$263,BX$263)</f>
        <v>0.33535999999999999</v>
      </c>
      <c r="BU277" s="512">
        <v>44562</v>
      </c>
      <c r="BV277" s="481">
        <f>BP273</f>
        <v>21820</v>
      </c>
      <c r="BW277" s="481">
        <f>IF(BO273&gt;=BN$159,ROUND(BV277*BW$261,0),ROUND(BV277*BX$261,0))</f>
        <v>5946</v>
      </c>
      <c r="BX277" s="481">
        <f>IF(BO273&gt;=BN$159,ROUND(BV277*BW$262,0),ROUND(BV277*BX$261,0))</f>
        <v>6632</v>
      </c>
      <c r="BY277" s="481">
        <f>BX277-BW277</f>
        <v>686</v>
      </c>
      <c r="BZ277" s="503">
        <f>BS277</f>
        <v>0.33535999999999999</v>
      </c>
      <c r="CA277" s="481">
        <f>IF(BW$283&lt;=13,BW277,CA276)</f>
        <v>5946</v>
      </c>
      <c r="CB277" s="481">
        <f>IF(BX$308&lt;=12,BX277,CB276)</f>
        <v>6632</v>
      </c>
      <c r="CC277" s="481">
        <f>CA277</f>
        <v>5946</v>
      </c>
      <c r="CD277" s="481">
        <f>ROUND(BV277*BR277,0)</f>
        <v>7318</v>
      </c>
      <c r="CE277" s="522">
        <f t="shared" si="47"/>
        <v>6632</v>
      </c>
      <c r="CF277" s="481">
        <f t="shared" si="48"/>
        <v>7318</v>
      </c>
      <c r="CG277" s="481">
        <f>CF277-CE277</f>
        <v>686</v>
      </c>
      <c r="CH277" s="706">
        <v>44378</v>
      </c>
      <c r="CI277" s="486">
        <f>CE287</f>
        <v>21230</v>
      </c>
      <c r="CJ277" s="486">
        <f>ROUND(CI277*1/31,0)</f>
        <v>685</v>
      </c>
      <c r="CK277" s="486">
        <f>CI277-CJ277</f>
        <v>20545</v>
      </c>
      <c r="CL277" s="486"/>
      <c r="CM277" s="707">
        <f>IF(CL274=1,CJ278,"")</f>
        <v>1455</v>
      </c>
      <c r="CN277" s="486" t="s">
        <v>536</v>
      </c>
      <c r="CO277" s="598">
        <v>3</v>
      </c>
      <c r="CP277" s="714">
        <v>44197</v>
      </c>
      <c r="CQ277" s="699">
        <f>IF(CQ276="","",IF(CQ$273=3,CP$273,CQ276))</f>
        <v>0</v>
      </c>
      <c r="CS277" s="481">
        <v>9</v>
      </c>
      <c r="CT277" s="505">
        <v>44501</v>
      </c>
      <c r="CV277" s="679">
        <f t="shared" si="45"/>
        <v>0</v>
      </c>
      <c r="CW277" s="482"/>
      <c r="CX277" s="482"/>
      <c r="DB277" s="484"/>
      <c r="DC277" s="481">
        <v>32</v>
      </c>
      <c r="DD277" s="677">
        <v>17050</v>
      </c>
      <c r="DE277" s="654">
        <v>34170</v>
      </c>
      <c r="DF277" s="654">
        <v>35120</v>
      </c>
      <c r="DG277" s="677">
        <v>38130</v>
      </c>
      <c r="DI277" s="677">
        <v>37100</v>
      </c>
      <c r="DJ277" s="677">
        <v>38130</v>
      </c>
      <c r="DK277" s="677">
        <v>38130</v>
      </c>
      <c r="DL277" s="677">
        <v>39160</v>
      </c>
      <c r="DM277" s="677">
        <v>39160</v>
      </c>
      <c r="DN277" s="677"/>
      <c r="DQ277" s="677">
        <v>37100</v>
      </c>
      <c r="DR277" s="677">
        <v>36070</v>
      </c>
      <c r="DS277" s="677"/>
      <c r="DT277" s="677"/>
      <c r="DU277" s="677"/>
    </row>
    <row r="278" spans="21:125" s="481" customFormat="1" ht="15" hidden="1">
      <c r="U278" s="483"/>
      <c r="V278" s="483"/>
      <c r="W278" s="483"/>
      <c r="X278" s="106"/>
      <c r="Y278" s="106"/>
      <c r="Z278" s="106"/>
      <c r="AA278" s="106"/>
      <c r="AB278" s="106"/>
      <c r="AC278" s="483"/>
      <c r="AD278" s="483"/>
      <c r="AE278" s="483"/>
      <c r="AF278" s="483"/>
      <c r="AG278" s="483"/>
      <c r="AH278" s="483"/>
      <c r="AU278" s="514">
        <v>44378</v>
      </c>
      <c r="AV278" s="615" t="str">
        <f t="shared" si="49"/>
        <v/>
      </c>
      <c r="AW278" s="489">
        <f>IF(AV$272=8,S$24,AW277)</f>
        <v>0</v>
      </c>
      <c r="AX278" s="705">
        <f>IF(AX$272=8,BO$180,AX277)</f>
        <v>20</v>
      </c>
      <c r="AY278" s="512">
        <v>44409</v>
      </c>
      <c r="AZ278" s="486">
        <f>IF(AZ$272=8,S$20,AZ277)</f>
        <v>7000</v>
      </c>
      <c r="BA278" s="486">
        <f>IF(BA$272=8,S$21,BA277)</f>
        <v>2000</v>
      </c>
      <c r="BB278" s="490">
        <f>IF(BB$272=8,S$22,BB277)</f>
        <v>120</v>
      </c>
      <c r="BD278" s="486"/>
      <c r="BF278" s="487" t="str">
        <f>BJ277</f>
        <v>Not Availed</v>
      </c>
      <c r="BG278" s="509" t="str">
        <f>IF(BF278="15 days",2,IF(BF278="30 days",3,IF(BF278="Not Availed","")))</f>
        <v/>
      </c>
      <c r="BH278" s="488"/>
      <c r="BI278" s="486"/>
      <c r="BJ278" s="486"/>
      <c r="BK278" s="486"/>
      <c r="BL278" s="490"/>
      <c r="BN278" s="481">
        <f>IF(BF$271=2,BG$262,BN277)</f>
        <v>21230</v>
      </c>
      <c r="BO278" s="481">
        <f>IF(BF$272=2,BG$263,BO277)</f>
        <v>21230</v>
      </c>
      <c r="BP278" s="481">
        <f>IF(BF$273=2,BG$264,BP277)</f>
        <v>21230</v>
      </c>
      <c r="BQ278" s="481">
        <f>MAX(BN278:BP278,0)</f>
        <v>21230</v>
      </c>
      <c r="BR278" s="503">
        <f>IF(CL$274=1,IF(AQ$166&gt;=3,BW262,BS278),BX263)</f>
        <v>0.33535999999999999</v>
      </c>
      <c r="BS278" s="503">
        <f t="shared" si="44"/>
        <v>0.33535999999999999</v>
      </c>
      <c r="BT278" s="503">
        <f>IF(CL$274=1,BW$263,BX$263)</f>
        <v>0.33535999999999999</v>
      </c>
      <c r="BU278" s="512">
        <v>44593</v>
      </c>
      <c r="BV278" s="481">
        <f t="shared" si="36"/>
        <v>21820</v>
      </c>
      <c r="BW278" s="481">
        <f>IF(BO274&gt;=BN$159,ROUND(BV278*BW$261,0),ROUND(BV278*BX$261,0))</f>
        <v>5946</v>
      </c>
      <c r="BX278" s="481">
        <f>IF(BO274&gt;=BN$159,ROUND(BV278*BW$262,0),ROUND(BV278*BX$261,0))</f>
        <v>6632</v>
      </c>
      <c r="BY278" s="481">
        <f t="shared" si="37"/>
        <v>686</v>
      </c>
      <c r="BZ278" s="503">
        <f>BS278</f>
        <v>0.33535999999999999</v>
      </c>
      <c r="CA278" s="481">
        <f>IF(BW$283&lt;=14,BW278,CA277)</f>
        <v>5946</v>
      </c>
      <c r="CB278" s="481">
        <f>IF(BX$308&lt;=13,BX278,CB277)</f>
        <v>6632</v>
      </c>
      <c r="CC278" s="481">
        <f t="shared" si="46"/>
        <v>5946</v>
      </c>
      <c r="CD278" s="481">
        <f>ROUND(BV278*BR278,0)</f>
        <v>7318</v>
      </c>
      <c r="CE278" s="522">
        <f t="shared" si="47"/>
        <v>6632</v>
      </c>
      <c r="CF278" s="481">
        <f t="shared" si="48"/>
        <v>7318</v>
      </c>
      <c r="CG278" s="481">
        <f t="shared" si="40"/>
        <v>686</v>
      </c>
      <c r="CH278" s="706">
        <v>44501</v>
      </c>
      <c r="CI278" s="486">
        <f>CE291</f>
        <v>21820</v>
      </c>
      <c r="CJ278" s="486">
        <f>ROUND(CI278*2/30,0)</f>
        <v>1455</v>
      </c>
      <c r="CK278" s="486"/>
      <c r="CL278" s="716">
        <f>IF(CL274=1,CJ277,"")</f>
        <v>685</v>
      </c>
      <c r="CM278" s="486"/>
      <c r="CN278" s="486"/>
      <c r="CO278" s="607">
        <v>4</v>
      </c>
      <c r="CP278" s="717">
        <v>44593</v>
      </c>
      <c r="CQ278" s="718">
        <f>IF(CQ277="","",IF(CQ$273=4,CP$273,CQ277))</f>
        <v>0</v>
      </c>
      <c r="CS278" s="481">
        <v>10</v>
      </c>
      <c r="CT278" s="505">
        <v>44531</v>
      </c>
      <c r="CV278" s="679">
        <f t="shared" si="45"/>
        <v>0</v>
      </c>
      <c r="CW278" s="482"/>
      <c r="CX278" s="482"/>
      <c r="DB278" s="484"/>
      <c r="DC278" s="481">
        <v>33</v>
      </c>
      <c r="DD278" s="677">
        <v>17540</v>
      </c>
      <c r="DE278" s="654">
        <v>35120</v>
      </c>
      <c r="DF278" s="654">
        <v>36070</v>
      </c>
      <c r="DG278" s="677">
        <v>39160</v>
      </c>
      <c r="DI278" s="677">
        <v>38130</v>
      </c>
      <c r="DJ278" s="677">
        <v>39160</v>
      </c>
      <c r="DK278" s="677">
        <v>39160</v>
      </c>
      <c r="DL278" s="677">
        <v>40270</v>
      </c>
      <c r="DM278" s="677">
        <v>40270</v>
      </c>
      <c r="DN278" s="677"/>
      <c r="DQ278" s="677">
        <v>38130</v>
      </c>
      <c r="DR278" s="677">
        <v>37100</v>
      </c>
      <c r="DS278" s="677"/>
      <c r="DT278" s="677"/>
      <c r="DU278" s="677"/>
    </row>
    <row r="279" spans="21:125" s="481" customFormat="1" ht="15" hidden="1">
      <c r="U279" s="483"/>
      <c r="V279" s="483"/>
      <c r="W279" s="483"/>
      <c r="X279" s="106"/>
      <c r="Y279" s="106"/>
      <c r="Z279" s="106"/>
      <c r="AA279" s="106"/>
      <c r="AB279" s="106"/>
      <c r="AC279" s="483"/>
      <c r="AD279" s="483"/>
      <c r="AE279" s="483"/>
      <c r="AF279" s="483"/>
      <c r="AG279" s="483"/>
      <c r="AH279" s="483"/>
      <c r="AU279" s="514">
        <v>44409</v>
      </c>
      <c r="AV279" s="615" t="str">
        <f t="shared" si="49"/>
        <v/>
      </c>
      <c r="AW279" s="489">
        <f>IF(AV$272=9,S$24,AW278)</f>
        <v>0</v>
      </c>
      <c r="AX279" s="705">
        <f>IF(AX$272=9,BO$180,AX278)</f>
        <v>20</v>
      </c>
      <c r="AY279" s="512">
        <v>44440</v>
      </c>
      <c r="AZ279" s="486">
        <f>IF(AZ$272=9,S$20,AZ278)</f>
        <v>7000</v>
      </c>
      <c r="BA279" s="486">
        <f>IF(BA$272=9,S$21,BA278)</f>
        <v>2000</v>
      </c>
      <c r="BB279" s="490">
        <f>IF(BB$272=9,S$22,BB278)</f>
        <v>120</v>
      </c>
      <c r="BD279" s="486"/>
      <c r="BE279" s="486"/>
      <c r="BF279" s="558">
        <f>VLOOKUP(BK277,AV257:BA268,6,0)</f>
        <v>44440</v>
      </c>
      <c r="BG279" s="486"/>
      <c r="BH279" s="490"/>
      <c r="BI279" s="486" t="s">
        <v>12</v>
      </c>
      <c r="BJ279" s="486" t="s">
        <v>13</v>
      </c>
      <c r="BK279" s="486"/>
      <c r="BL279" s="490"/>
      <c r="BN279" s="481">
        <f>IF(BF$271=3,BG$262,BN278)</f>
        <v>21230</v>
      </c>
      <c r="BO279" s="481">
        <f>IF(BF$272=3,BG$263,BO278)</f>
        <v>21230</v>
      </c>
      <c r="BP279" s="481">
        <f>IF(BF$273=3,BG$264,BP278)</f>
        <v>21230</v>
      </c>
      <c r="BQ279" s="481">
        <f>MAX(BN279:BP279,0)</f>
        <v>21230</v>
      </c>
      <c r="BU279" s="512">
        <v>44621</v>
      </c>
      <c r="BV279" s="481">
        <v>0</v>
      </c>
      <c r="BW279" s="481">
        <v>0</v>
      </c>
      <c r="BX279" s="481">
        <v>0</v>
      </c>
      <c r="CH279" s="710"/>
      <c r="CI279" s="486"/>
      <c r="CJ279" s="486"/>
      <c r="CK279" s="486"/>
      <c r="CL279" s="486"/>
      <c r="CM279" s="486"/>
      <c r="CN279" s="719"/>
      <c r="CS279" s="481">
        <v>11</v>
      </c>
      <c r="CT279" s="505">
        <v>44562</v>
      </c>
      <c r="CV279" s="679">
        <f t="shared" si="45"/>
        <v>0</v>
      </c>
      <c r="CW279" s="482"/>
      <c r="CX279" s="482"/>
      <c r="DB279" s="484"/>
      <c r="DC279" s="481">
        <v>34</v>
      </c>
      <c r="DD279" s="677">
        <v>18030</v>
      </c>
      <c r="DE279" s="654">
        <v>36070</v>
      </c>
      <c r="DF279" s="654">
        <v>37100</v>
      </c>
      <c r="DG279" s="677">
        <v>40270</v>
      </c>
      <c r="DI279" s="677">
        <v>39160</v>
      </c>
      <c r="DJ279" s="677">
        <v>40270</v>
      </c>
      <c r="DK279" s="677">
        <v>40270</v>
      </c>
      <c r="DL279" s="677">
        <v>41380</v>
      </c>
      <c r="DM279" s="677">
        <v>41380</v>
      </c>
      <c r="DN279" s="677"/>
      <c r="DQ279" s="677">
        <v>39160</v>
      </c>
      <c r="DR279" s="677">
        <v>38130</v>
      </c>
      <c r="DS279" s="677"/>
      <c r="DT279" s="677"/>
      <c r="DU279" s="677"/>
    </row>
    <row r="280" spans="21:125" s="481" customFormat="1" ht="15" hidden="1">
      <c r="U280" s="483"/>
      <c r="V280" s="483"/>
      <c r="W280" s="483"/>
      <c r="X280" s="106"/>
      <c r="Y280" s="106"/>
      <c r="Z280" s="106"/>
      <c r="AA280" s="106"/>
      <c r="AB280" s="106"/>
      <c r="AC280" s="483"/>
      <c r="AD280" s="483"/>
      <c r="AE280" s="483"/>
      <c r="AF280" s="483"/>
      <c r="AG280" s="483"/>
      <c r="AH280" s="483"/>
      <c r="AU280" s="514">
        <v>44440</v>
      </c>
      <c r="AV280" s="615" t="str">
        <f t="shared" si="49"/>
        <v/>
      </c>
      <c r="AW280" s="489">
        <f>IF(AV$272=10,S$24,AW279)</f>
        <v>0</v>
      </c>
      <c r="AX280" s="705">
        <f>IF(AX$272=10,BO$180,AX279)</f>
        <v>20</v>
      </c>
      <c r="AY280" s="512">
        <v>44470</v>
      </c>
      <c r="AZ280" s="486">
        <f>IF(AZ$272=10,S$20,AZ279)</f>
        <v>7000</v>
      </c>
      <c r="BA280" s="486">
        <f>IF(BA$272=10,S$21,BA279)</f>
        <v>2000</v>
      </c>
      <c r="BB280" s="490">
        <f>IF(BB$272=10,S$22,BB279)</f>
        <v>120</v>
      </c>
      <c r="BD280" s="486"/>
      <c r="BE280" s="486"/>
      <c r="BF280" s="489">
        <f>VLOOKUP(BF279,BO262:BP274,2,0)</f>
        <v>21820</v>
      </c>
      <c r="BG280" s="486" t="s">
        <v>239</v>
      </c>
      <c r="BH280" s="490" t="str">
        <f>IF(BG278=2,BF281,IF(BG278=3,BF280,IF(BG278="","")))</f>
        <v/>
      </c>
      <c r="BI280" s="720">
        <f>VLOOKUP(BF279,CD283:CF294,3,0)</f>
        <v>7318</v>
      </c>
      <c r="BJ280" s="720">
        <f>VLOOKUP(BF279,CE309:CF320,2,0)</f>
        <v>4364</v>
      </c>
      <c r="BK280" s="486" t="str">
        <f>IF(BH280="","",BH280+BI282+BJ282+BL285)</f>
        <v/>
      </c>
      <c r="BL280" s="490"/>
      <c r="BN280" s="481">
        <f>IF(BF$271=4,BG$262,BN279)</f>
        <v>21230</v>
      </c>
      <c r="BO280" s="481">
        <f>IF(BF$272=4,BG$263,BO279)</f>
        <v>21230</v>
      </c>
      <c r="BP280" s="481">
        <f>IF(BF$273=4,BG$264,BP279)</f>
        <v>21230</v>
      </c>
      <c r="BQ280" s="481">
        <f>MAX(BN280:BP280,0)</f>
        <v>21230</v>
      </c>
      <c r="CE280" s="721" t="s">
        <v>232</v>
      </c>
      <c r="CF280" s="692" t="s">
        <v>12</v>
      </c>
      <c r="CG280" s="692" t="s">
        <v>13</v>
      </c>
      <c r="CH280" s="722"/>
      <c r="CI280" s="723"/>
      <c r="CJ280" s="723"/>
      <c r="CK280" s="723" t="s">
        <v>808</v>
      </c>
      <c r="CL280" s="723"/>
      <c r="CM280" s="723"/>
      <c r="CN280" s="724"/>
      <c r="CS280" s="481">
        <v>12</v>
      </c>
      <c r="CT280" s="505">
        <v>44593</v>
      </c>
      <c r="CV280" s="679">
        <f t="shared" si="45"/>
        <v>0</v>
      </c>
      <c r="CW280" s="482"/>
      <c r="CX280" s="482"/>
      <c r="DB280" s="484"/>
      <c r="DC280" s="481">
        <v>35</v>
      </c>
      <c r="DD280" s="677">
        <v>18520</v>
      </c>
      <c r="DE280" s="654">
        <v>37100</v>
      </c>
      <c r="DF280" s="654">
        <v>38130</v>
      </c>
      <c r="DG280" s="677">
        <v>41380</v>
      </c>
      <c r="DI280" s="677">
        <v>40270</v>
      </c>
      <c r="DJ280" s="677">
        <v>41380</v>
      </c>
      <c r="DK280" s="677">
        <v>41380</v>
      </c>
      <c r="DL280" s="677">
        <v>42490</v>
      </c>
      <c r="DM280" s="677">
        <v>42490</v>
      </c>
      <c r="DN280" s="677"/>
      <c r="DQ280" s="677">
        <v>40270</v>
      </c>
      <c r="DR280" s="677">
        <v>39160</v>
      </c>
      <c r="DS280" s="677"/>
      <c r="DT280" s="677"/>
      <c r="DU280" s="677"/>
    </row>
    <row r="281" spans="21:125" s="481" customFormat="1" ht="15" hidden="1">
      <c r="U281" s="483"/>
      <c r="V281" s="483"/>
      <c r="W281" s="483"/>
      <c r="X281" s="106"/>
      <c r="Y281" s="106"/>
      <c r="Z281" s="106"/>
      <c r="AA281" s="106"/>
      <c r="AB281" s="106"/>
      <c r="AC281" s="483"/>
      <c r="AD281" s="483"/>
      <c r="AE281" s="483"/>
      <c r="AF281" s="483"/>
      <c r="AG281" s="483"/>
      <c r="AH281" s="483"/>
      <c r="AU281" s="514">
        <v>44470</v>
      </c>
      <c r="AV281" s="615" t="str">
        <f t="shared" si="49"/>
        <v/>
      </c>
      <c r="AW281" s="489">
        <f>IF(AV$272=11,S$24,AW280)</f>
        <v>0</v>
      </c>
      <c r="AX281" s="705">
        <f>IF(AX$272=11,BO$180,AX280)</f>
        <v>20</v>
      </c>
      <c r="AY281" s="512">
        <v>44501</v>
      </c>
      <c r="AZ281" s="486">
        <f>IF(AZ$272=11,S$20,AZ280)</f>
        <v>7000</v>
      </c>
      <c r="BA281" s="486">
        <f>IF(BA$272=11,S$21,BA280)</f>
        <v>2000</v>
      </c>
      <c r="BB281" s="490">
        <f>IF(BB$272=11,S$22,BB280)</f>
        <v>120</v>
      </c>
      <c r="BD281" s="486"/>
      <c r="BE281" s="486"/>
      <c r="BF281" s="506">
        <f>ROUND(BF280/2,0)</f>
        <v>10910</v>
      </c>
      <c r="BG281" s="519"/>
      <c r="BH281" s="507"/>
      <c r="BI281" s="720">
        <f>ROUND(BI280/2,0)</f>
        <v>3659</v>
      </c>
      <c r="BJ281" s="720">
        <f>ROUND(BJ280/2,0)</f>
        <v>2182</v>
      </c>
      <c r="BK281" s="486"/>
      <c r="BL281" s="490"/>
      <c r="BN281" s="481">
        <f>IF(BF$271=5,BG$262,BN280)</f>
        <v>21230</v>
      </c>
      <c r="BO281" s="481">
        <f>IF(BF$272=5,BG$263,BO280)</f>
        <v>21230</v>
      </c>
      <c r="BP281" s="481">
        <f>IF(BF$273=5,BG$264,BP280)</f>
        <v>21230</v>
      </c>
      <c r="BQ281" s="481">
        <f t="shared" ref="BQ281:BQ286" si="50">MAX(BN281:BP281,0)</f>
        <v>21230</v>
      </c>
      <c r="BR281" s="486"/>
      <c r="BS281" s="486"/>
      <c r="BT281" s="629"/>
      <c r="BU281" s="629"/>
      <c r="BV281" s="629"/>
      <c r="BW281" s="629"/>
      <c r="BX281" s="490"/>
      <c r="BY281" s="487"/>
      <c r="BZ281" s="509"/>
      <c r="CA281" s="488"/>
      <c r="CD281" s="514">
        <f>BO261</f>
        <v>44197</v>
      </c>
      <c r="CE281" s="481">
        <f>BP261</f>
        <v>21230</v>
      </c>
      <c r="CF281" s="481">
        <f>CD265</f>
        <v>6452</v>
      </c>
      <c r="CG281" s="481">
        <f>IF(BC$290=1,BE$294,ROUND(CE281*AY270%,0))</f>
        <v>4246</v>
      </c>
      <c r="CJ281" s="481">
        <f>CK182</f>
        <v>0</v>
      </c>
      <c r="CK281" s="481" t="str">
        <f>IF(BO261&gt;=BN$159,"",ROUND(CE281*CT$203%,0))</f>
        <v/>
      </c>
      <c r="CL281" s="481">
        <f t="shared" ref="CL281:CL286" si="51">IF(CK281="",0,CK281)</f>
        <v>0</v>
      </c>
      <c r="CP281" s="481">
        <f>CG183</f>
        <v>2</v>
      </c>
      <c r="CV281" s="482"/>
      <c r="DB281" s="484"/>
      <c r="DC281" s="481">
        <v>36</v>
      </c>
      <c r="DD281" s="677">
        <v>19050</v>
      </c>
      <c r="DE281" s="654">
        <v>38130</v>
      </c>
      <c r="DF281" s="654">
        <v>39160</v>
      </c>
      <c r="DG281" s="677">
        <v>42490</v>
      </c>
      <c r="DI281" s="677">
        <v>41380</v>
      </c>
      <c r="DJ281" s="677">
        <v>42490</v>
      </c>
      <c r="DK281" s="677">
        <v>42490</v>
      </c>
      <c r="DL281" s="677">
        <v>43680</v>
      </c>
      <c r="DM281" s="677">
        <v>43680</v>
      </c>
      <c r="DN281" s="677"/>
      <c r="DQ281" s="677">
        <v>41380</v>
      </c>
      <c r="DR281" s="677">
        <v>40270</v>
      </c>
      <c r="DS281" s="677"/>
      <c r="DT281" s="677"/>
      <c r="DU281" s="677"/>
    </row>
    <row r="282" spans="21:125" s="481" customFormat="1" ht="15" hidden="1">
      <c r="U282" s="483"/>
      <c r="V282" s="483"/>
      <c r="W282" s="483"/>
      <c r="X282" s="106"/>
      <c r="Y282" s="106"/>
      <c r="Z282" s="106"/>
      <c r="AA282" s="106"/>
      <c r="AB282" s="106"/>
      <c r="AC282" s="483"/>
      <c r="AD282" s="483"/>
      <c r="AE282" s="483"/>
      <c r="AF282" s="483"/>
      <c r="AG282" s="483"/>
      <c r="AH282" s="483"/>
      <c r="AU282" s="514">
        <v>44501</v>
      </c>
      <c r="AV282" s="615" t="str">
        <f t="shared" si="49"/>
        <v/>
      </c>
      <c r="AW282" s="489">
        <f>IF(AV$272=12,S$24,AW281)</f>
        <v>0</v>
      </c>
      <c r="AX282" s="705">
        <f>IF(AX$272=12,BO$180,AX281)</f>
        <v>20</v>
      </c>
      <c r="AY282" s="512">
        <v>44531</v>
      </c>
      <c r="AZ282" s="486">
        <f>IF(AZ$272=12,S$20,AZ281)</f>
        <v>7000</v>
      </c>
      <c r="BA282" s="486">
        <f>IF(BA$272=12,S$21,BA281)</f>
        <v>2000</v>
      </c>
      <c r="BB282" s="490">
        <f>IF(BB$272=12,S$22,BB281)</f>
        <v>120</v>
      </c>
      <c r="BF282" s="489"/>
      <c r="BG282" s="486"/>
      <c r="BH282" s="486"/>
      <c r="BI282" s="720" t="str">
        <f>IF(BG278=2,BI281,IF(BG278=3,BI280,IF(BG278="","")))</f>
        <v/>
      </c>
      <c r="BJ282" s="720" t="str">
        <f>IF(BG278=2,BJ281,IF(BG278=3,BJ280,IF(BG278="","")))</f>
        <v/>
      </c>
      <c r="BK282" s="486" t="str">
        <f>IF(BH280="","",IF(BI282="","",IF(BJ282="","",(BH280+BI282+BJ282+BL285))))</f>
        <v/>
      </c>
      <c r="BL282" s="490"/>
      <c r="BN282" s="481">
        <f>IF(BF$271=6,BG$262,BN281)</f>
        <v>21230</v>
      </c>
      <c r="BO282" s="481">
        <f>IF(BF$272=6,BG$263,BO281)</f>
        <v>21230</v>
      </c>
      <c r="BP282" s="481">
        <f>IF(BF$273=6,BG$264,BP281)</f>
        <v>21230</v>
      </c>
      <c r="BQ282" s="481">
        <f t="shared" si="50"/>
        <v>21230</v>
      </c>
      <c r="BR282" s="486"/>
      <c r="BS282" s="512"/>
      <c r="BT282" s="725"/>
      <c r="BU282" s="634"/>
      <c r="BV282" s="628"/>
      <c r="BW282" s="629"/>
      <c r="BX282" s="490"/>
      <c r="BY282" s="489">
        <v>1</v>
      </c>
      <c r="BZ282" s="512">
        <v>43831</v>
      </c>
      <c r="CA282" s="490">
        <v>2</v>
      </c>
      <c r="CB282" s="481">
        <v>1</v>
      </c>
      <c r="CD282" s="514">
        <f>BO262</f>
        <v>44228</v>
      </c>
      <c r="CE282" s="481">
        <f>BP262</f>
        <v>21230</v>
      </c>
      <c r="CF282" s="481">
        <f>CD266</f>
        <v>6452</v>
      </c>
      <c r="CG282" s="481">
        <f>IF(BC$290=2,BE$294,ROUND(CE282*AX270%,0))</f>
        <v>4246</v>
      </c>
      <c r="CJ282" s="481">
        <f>CJ178</f>
        <v>0</v>
      </c>
      <c r="CK282" s="481" t="str">
        <f>IF(BO262&gt;=BN$159,"",ROUND(CE282*CT$203%,0))</f>
        <v/>
      </c>
      <c r="CL282" s="481">
        <f t="shared" si="51"/>
        <v>0</v>
      </c>
      <c r="CM282" s="481" t="s">
        <v>248</v>
      </c>
      <c r="CN282" s="481" t="s">
        <v>249</v>
      </c>
      <c r="CO282" s="481" t="s">
        <v>7</v>
      </c>
      <c r="CP282" s="481" t="str">
        <f>CE184</f>
        <v>PF</v>
      </c>
      <c r="CQ282" s="481" t="s">
        <v>247</v>
      </c>
      <c r="CR282" s="481" t="s">
        <v>250</v>
      </c>
      <c r="CS282" s="481" t="s">
        <v>106</v>
      </c>
      <c r="CT282" s="481" t="s">
        <v>251</v>
      </c>
      <c r="CU282" s="481" t="s">
        <v>252</v>
      </c>
      <c r="CV282" s="481" t="s">
        <v>246</v>
      </c>
      <c r="CW282" s="481" t="s">
        <v>253</v>
      </c>
      <c r="CX282" s="566" t="s">
        <v>254</v>
      </c>
      <c r="CY282" s="481" t="s">
        <v>378</v>
      </c>
      <c r="CZ282" s="481" t="s">
        <v>377</v>
      </c>
      <c r="DA282" s="481" t="s">
        <v>379</v>
      </c>
      <c r="DB282" s="484" t="s">
        <v>559</v>
      </c>
      <c r="DC282" s="481">
        <v>37</v>
      </c>
      <c r="DD282" s="677">
        <v>19580</v>
      </c>
      <c r="DE282" s="654">
        <v>39160</v>
      </c>
      <c r="DF282" s="654">
        <v>40270</v>
      </c>
      <c r="DG282" s="677">
        <v>43680</v>
      </c>
      <c r="DI282" s="677">
        <v>42490</v>
      </c>
      <c r="DJ282" s="677">
        <v>43680</v>
      </c>
      <c r="DK282" s="677">
        <v>43680</v>
      </c>
      <c r="DL282" s="677">
        <v>44870</v>
      </c>
      <c r="DM282" s="677">
        <v>44870</v>
      </c>
      <c r="DN282" s="677"/>
      <c r="DQ282" s="677">
        <v>42490</v>
      </c>
      <c r="DR282" s="677">
        <v>41380</v>
      </c>
      <c r="DS282" s="677"/>
      <c r="DT282" s="677"/>
      <c r="DU282" s="677"/>
    </row>
    <row r="283" spans="21:125" s="481" customFormat="1" ht="15" hidden="1">
      <c r="U283" s="483"/>
      <c r="V283" s="483"/>
      <c r="W283" s="483"/>
      <c r="X283" s="106"/>
      <c r="Y283" s="106"/>
      <c r="Z283" s="106"/>
      <c r="AA283" s="106"/>
      <c r="AB283" s="106"/>
      <c r="AC283" s="483"/>
      <c r="AD283" s="483"/>
      <c r="AE283" s="483"/>
      <c r="AF283" s="483"/>
      <c r="AG283" s="483"/>
      <c r="AH283" s="483"/>
      <c r="AU283" s="514">
        <v>44531</v>
      </c>
      <c r="AV283" s="615" t="str">
        <f t="shared" si="49"/>
        <v/>
      </c>
      <c r="AW283" s="489">
        <f>IF(AV$272=13,S$24,AW282)</f>
        <v>0</v>
      </c>
      <c r="AX283" s="705">
        <f>IF(AX$272=13,BO$180,AX282)</f>
        <v>20</v>
      </c>
      <c r="AY283" s="512">
        <v>44562</v>
      </c>
      <c r="AZ283" s="486">
        <f>IF(AZ$272=13,S$20,AZ282)</f>
        <v>7000</v>
      </c>
      <c r="BA283" s="486">
        <f>IF(BA$272=13,S$21,BA282)</f>
        <v>2000</v>
      </c>
      <c r="BB283" s="490">
        <f>IF(BB$272=13,S$22,BB282)</f>
        <v>120</v>
      </c>
      <c r="BF283" s="489"/>
      <c r="BG283" s="486"/>
      <c r="BH283" s="512">
        <f t="shared" ref="BH283:BI285" si="52">CD281</f>
        <v>44197</v>
      </c>
      <c r="BI283" s="486">
        <f t="shared" si="52"/>
        <v>21230</v>
      </c>
      <c r="BJ283" s="486">
        <f>CJ281</f>
        <v>0</v>
      </c>
      <c r="BK283" s="486"/>
      <c r="BL283" s="490"/>
      <c r="BN283" s="481">
        <f>IF(BF$271=7,BG$262,BN282)</f>
        <v>21230</v>
      </c>
      <c r="BO283" s="481">
        <f>IF(BF$272=7,BG$263,BO282)</f>
        <v>21230</v>
      </c>
      <c r="BP283" s="481">
        <f>IF(BF$273=7,BG$264,BP282)</f>
        <v>21230</v>
      </c>
      <c r="BQ283" s="481">
        <f t="shared" si="50"/>
        <v>21230</v>
      </c>
      <c r="BR283" s="486"/>
      <c r="BS283" s="486"/>
      <c r="BT283" s="629"/>
      <c r="BU283" s="629"/>
      <c r="BV283" s="633"/>
      <c r="BW283" s="634"/>
      <c r="BX283" s="490"/>
      <c r="BY283" s="489">
        <v>2</v>
      </c>
      <c r="BZ283" s="512">
        <v>43862</v>
      </c>
      <c r="CA283" s="490">
        <v>3</v>
      </c>
      <c r="CB283" s="481">
        <v>2</v>
      </c>
      <c r="CD283" s="514">
        <f>BO263</f>
        <v>44256</v>
      </c>
      <c r="CE283" s="522">
        <f>BP263-BJ137</f>
        <v>21230</v>
      </c>
      <c r="CF283" s="481">
        <f>CD267-BK137</f>
        <v>6452</v>
      </c>
      <c r="CG283" s="481">
        <f>IF(BC$290=3,BE$294,ROUND(CE283*AX273%,0))</f>
        <v>4246</v>
      </c>
      <c r="CH283" s="481">
        <f>CF$181</f>
        <v>0</v>
      </c>
      <c r="CI283" s="481">
        <f>CF$175</f>
        <v>0</v>
      </c>
      <c r="CJ283" s="481">
        <f>CJ178</f>
        <v>0</v>
      </c>
      <c r="CK283" s="481">
        <f>IF(CL$274=1,ROUND(CE283*CT$203%,0),0)</f>
        <v>5732</v>
      </c>
      <c r="CL283" s="481">
        <f t="shared" si="51"/>
        <v>5732</v>
      </c>
      <c r="CM283" s="481">
        <f>SUM(CE283:CL283)</f>
        <v>43392</v>
      </c>
      <c r="CN283" s="481">
        <f>IF(CG$183=1,2*(ROUND((CE283+CF283)/10,0)),ROUND((CE283+CF283)/10,0))</f>
        <v>2768</v>
      </c>
      <c r="CO283" s="481">
        <f>AZ273</f>
        <v>7000</v>
      </c>
      <c r="CP283" s="481">
        <f>IF(CP$282=CO$282,CO283,IF(CP$282=CN$282,CN283))</f>
        <v>7000</v>
      </c>
      <c r="CQ283" s="481">
        <f>BA273</f>
        <v>2000</v>
      </c>
      <c r="CR283" s="481">
        <f>IF(CM283&gt;=20000,200,IF(CM283&gt;=15000,150,IF(CM283&gt;=10000,100,80)))</f>
        <v>200</v>
      </c>
      <c r="CS283" s="481">
        <f>BB273</f>
        <v>120</v>
      </c>
      <c r="CT283" s="481">
        <f>CJ197</f>
        <v>50</v>
      </c>
      <c r="CU283" s="481">
        <f>O29</f>
        <v>8000</v>
      </c>
      <c r="CV283" s="481" t="str">
        <f>AV273</f>
        <v/>
      </c>
      <c r="CW283" s="481">
        <f>SUM(CP283:CV283)</f>
        <v>17370</v>
      </c>
      <c r="CX283" s="481">
        <f t="shared" ref="CX283:CX294" si="53">CM283-CW283</f>
        <v>26022</v>
      </c>
      <c r="CY283" s="481">
        <f>ROUND(CE283*8%,0)</f>
        <v>1698</v>
      </c>
      <c r="CZ283" s="481">
        <f>IF(CP$178=1,0,IF(CY283&gt;2000,2000,CY283))</f>
        <v>0</v>
      </c>
      <c r="DA283" s="481" t="str">
        <f t="shared" ref="DA283:DA294" si="54">IF(L$19="","",CM$182)</f>
        <v/>
      </c>
      <c r="DB283" s="484" t="str">
        <f>IF(CV269=0,"",CV269)</f>
        <v/>
      </c>
      <c r="DC283" s="481">
        <v>38</v>
      </c>
      <c r="DD283" s="677">
        <v>20110</v>
      </c>
      <c r="DE283" s="654">
        <v>40270</v>
      </c>
      <c r="DF283" s="654">
        <v>41380</v>
      </c>
      <c r="DG283" s="677">
        <v>44870</v>
      </c>
      <c r="DI283" s="677">
        <v>43680</v>
      </c>
      <c r="DJ283" s="677">
        <v>44870</v>
      </c>
      <c r="DK283" s="677">
        <v>44870</v>
      </c>
      <c r="DL283" s="677">
        <v>46060</v>
      </c>
      <c r="DM283" s="677">
        <v>46060</v>
      </c>
      <c r="DN283" s="677"/>
      <c r="DQ283" s="677">
        <v>43680</v>
      </c>
      <c r="DR283" s="677">
        <v>42490</v>
      </c>
      <c r="DS283" s="677"/>
      <c r="DT283" s="677"/>
      <c r="DU283" s="677"/>
    </row>
    <row r="284" spans="21:125" s="481" customFormat="1" ht="15" hidden="1">
      <c r="U284" s="483"/>
      <c r="V284" s="483"/>
      <c r="W284" s="483"/>
      <c r="X284" s="106"/>
      <c r="Y284" s="106"/>
      <c r="Z284" s="106"/>
      <c r="AA284" s="106"/>
      <c r="AB284" s="106"/>
      <c r="AC284" s="483"/>
      <c r="AD284" s="483"/>
      <c r="AE284" s="483"/>
      <c r="AF284" s="483"/>
      <c r="AG284" s="483"/>
      <c r="AH284" s="483"/>
      <c r="AU284" s="514">
        <v>44562</v>
      </c>
      <c r="AV284" s="611" t="str">
        <f t="shared" si="49"/>
        <v/>
      </c>
      <c r="AW284" s="726">
        <f>IF(AV$272=14,S$24,AW283)</f>
        <v>0</v>
      </c>
      <c r="AX284" s="727">
        <f>IF(AX$272=14,BO$180,AX283)</f>
        <v>20</v>
      </c>
      <c r="AY284" s="728">
        <v>44593</v>
      </c>
      <c r="AZ284" s="519">
        <f>IF(AZ$272=14,S$20,AZ283)</f>
        <v>7000</v>
      </c>
      <c r="BA284" s="519">
        <f>IF(BA$272=14,S$21,BA283)</f>
        <v>2000</v>
      </c>
      <c r="BB284" s="507">
        <f>IF(BB$272=14,S$22,BB283)</f>
        <v>120</v>
      </c>
      <c r="BF284" s="489"/>
      <c r="BG284" s="486"/>
      <c r="BH284" s="512">
        <f t="shared" si="52"/>
        <v>44228</v>
      </c>
      <c r="BI284" s="693">
        <f t="shared" si="52"/>
        <v>21230</v>
      </c>
      <c r="BJ284" s="486">
        <f>CJ282</f>
        <v>0</v>
      </c>
      <c r="BK284" s="486"/>
      <c r="BL284" s="490"/>
      <c r="BN284" s="481">
        <f>IF(BF$271=8,BG$262,BN283)</f>
        <v>21820</v>
      </c>
      <c r="BO284" s="481">
        <f>IF(BF$272=8,BG$263,BO283)</f>
        <v>21230</v>
      </c>
      <c r="BP284" s="481">
        <f>IF(BF$273=8,BG$264,BP283)</f>
        <v>21230</v>
      </c>
      <c r="BQ284" s="481">
        <f>MAX(BN284:BP284,0)</f>
        <v>21820</v>
      </c>
      <c r="BR284" s="486"/>
      <c r="BS284" s="486"/>
      <c r="BT284" s="629"/>
      <c r="BU284" s="633"/>
      <c r="BV284" s="629"/>
      <c r="BW284" s="629"/>
      <c r="BX284" s="490"/>
      <c r="BY284" s="489">
        <v>3</v>
      </c>
      <c r="BZ284" s="512">
        <v>43891</v>
      </c>
      <c r="CA284" s="490">
        <v>4</v>
      </c>
      <c r="CB284" s="481">
        <v>3</v>
      </c>
      <c r="CD284" s="514">
        <f t="shared" ref="CD284:CD294" si="55">BO264</f>
        <v>44287</v>
      </c>
      <c r="CE284" s="522">
        <f>BP264-BJ138</f>
        <v>21230</v>
      </c>
      <c r="CF284" s="481">
        <f>CD268-BK138</f>
        <v>6452</v>
      </c>
      <c r="CG284" s="481">
        <f>IF(BC$290=4,BE$294,ROUND(CE284*AX274%,0))</f>
        <v>4246</v>
      </c>
      <c r="CH284" s="481">
        <f>CF$181</f>
        <v>0</v>
      </c>
      <c r="CI284" s="481">
        <f t="shared" ref="CI284:CI294" si="56">CF$175</f>
        <v>0</v>
      </c>
      <c r="CJ284" s="481">
        <f>CK179</f>
        <v>0</v>
      </c>
      <c r="CK284" s="481">
        <f>IF(CL$274=1,ROUND(CE284*CT$203%,0),0)</f>
        <v>5732</v>
      </c>
      <c r="CL284" s="481">
        <f t="shared" si="51"/>
        <v>5732</v>
      </c>
      <c r="CM284" s="481">
        <f t="shared" ref="CM284:CM294" si="57">SUM(CE284:CL284)</f>
        <v>43392</v>
      </c>
      <c r="CN284" s="481">
        <f>IF(CG$183=1,2*(ROUND((CE284+CF284)/10,0)),ROUND((CE284+CF284)/10,0))</f>
        <v>2768</v>
      </c>
      <c r="CO284" s="481">
        <f t="shared" ref="CO284:CO294" si="58">AZ274</f>
        <v>7000</v>
      </c>
      <c r="CP284" s="481">
        <f>IF(CP$282=CO$282,CO284,IF(CP$282=CN$282,CN284))</f>
        <v>7000</v>
      </c>
      <c r="CQ284" s="481">
        <f>BA274</f>
        <v>2000</v>
      </c>
      <c r="CR284" s="481">
        <f>IF(CM284&gt;=20000,200,IF(CM284&gt;=15000,150,IF(CM284&gt;=10000,100,80)))</f>
        <v>200</v>
      </c>
      <c r="CS284" s="481">
        <f>BB274</f>
        <v>120</v>
      </c>
      <c r="CU284" s="481">
        <f t="shared" ref="CU284:CU286" si="59">O30</f>
        <v>8000</v>
      </c>
      <c r="CV284" s="481" t="str">
        <f t="shared" ref="CV284:CV294" si="60">AV274</f>
        <v/>
      </c>
      <c r="CW284" s="481">
        <f t="shared" ref="CW284:CW294" si="61">SUM(CP284:CV284)</f>
        <v>17320</v>
      </c>
      <c r="CX284" s="481">
        <f t="shared" si="53"/>
        <v>26072</v>
      </c>
      <c r="CY284" s="481">
        <f t="shared" ref="CY284:CY294" si="62">ROUND(CE284*8%,0)</f>
        <v>1698</v>
      </c>
      <c r="CZ284" s="481">
        <f t="shared" ref="CZ284:CZ294" si="63">IF(CP$178=1,0,IF(CY284&gt;2000,2000,CY284))</f>
        <v>0</v>
      </c>
      <c r="DA284" s="481" t="str">
        <f t="shared" si="54"/>
        <v/>
      </c>
      <c r="DB284" s="484" t="str">
        <f t="shared" ref="DB284:DB294" si="64">IF(CV270=0,"",CV270)</f>
        <v/>
      </c>
      <c r="DC284" s="481">
        <v>39</v>
      </c>
      <c r="DD284" s="677">
        <v>20680</v>
      </c>
      <c r="DE284" s="654">
        <v>41380</v>
      </c>
      <c r="DF284" s="654">
        <v>42490</v>
      </c>
      <c r="DG284" s="677">
        <v>46060</v>
      </c>
      <c r="DI284" s="677">
        <v>44870</v>
      </c>
      <c r="DJ284" s="677">
        <v>46060</v>
      </c>
      <c r="DK284" s="677">
        <v>46060</v>
      </c>
      <c r="DL284" s="677">
        <v>47330</v>
      </c>
      <c r="DM284" s="677">
        <v>47330</v>
      </c>
      <c r="DN284" s="677"/>
      <c r="DQ284" s="677">
        <v>44870</v>
      </c>
      <c r="DR284" s="677">
        <v>43680</v>
      </c>
      <c r="DS284" s="677"/>
      <c r="DT284" s="677"/>
      <c r="DU284" s="677"/>
    </row>
    <row r="285" spans="21:125" s="481" customFormat="1" ht="15" hidden="1">
      <c r="U285" s="483"/>
      <c r="V285" s="483"/>
      <c r="W285" s="483"/>
      <c r="X285" s="106"/>
      <c r="Y285" s="106"/>
      <c r="Z285" s="106"/>
      <c r="AA285" s="106"/>
      <c r="AB285" s="106"/>
      <c r="AC285" s="483"/>
      <c r="AD285" s="483"/>
      <c r="AE285" s="483"/>
      <c r="AF285" s="483"/>
      <c r="AG285" s="483"/>
      <c r="AH285" s="483"/>
      <c r="AU285" s="514">
        <v>44593</v>
      </c>
      <c r="AX285" s="481">
        <f>IF(AX$272=2,BO$180,BO179)</f>
        <v>20</v>
      </c>
      <c r="BF285" s="558"/>
      <c r="BG285" s="486"/>
      <c r="BH285" s="512">
        <f t="shared" si="52"/>
        <v>44256</v>
      </c>
      <c r="BI285" s="693">
        <f t="shared" si="52"/>
        <v>21230</v>
      </c>
      <c r="BJ285" s="486">
        <f>CJ283</f>
        <v>0</v>
      </c>
      <c r="BK285" s="486" t="b">
        <f>IF(CH178="with holidays",VLOOKUP(BF279,BH284:BJ296,3,0),IF(CH178="without holidays",VLOOKUP(BF279,BH284:BJ296,3,0),IF(CH178="Not Applicable","")))</f>
        <v>0</v>
      </c>
      <c r="BL285" s="490" t="str">
        <f>IF(BG278=2,ROUND(BK285/2,0),IF(BG278=3,ROUND(BK285,0),IF(BF278="Not Availed","")))</f>
        <v/>
      </c>
      <c r="BN285" s="481">
        <f>IF(BF$271=9,BG$262,BN284)</f>
        <v>21820</v>
      </c>
      <c r="BO285" s="481">
        <f>IF(BF$272=9,BG$263,BO284)</f>
        <v>21230</v>
      </c>
      <c r="BP285" s="481">
        <f>IF(BF$273=9,BG$264,BP284)</f>
        <v>21230</v>
      </c>
      <c r="BQ285" s="481">
        <f t="shared" si="50"/>
        <v>21820</v>
      </c>
      <c r="BR285" s="486"/>
      <c r="BS285" s="486"/>
      <c r="BT285" s="629"/>
      <c r="BU285" s="629"/>
      <c r="BV285" s="629"/>
      <c r="BW285" s="629"/>
      <c r="BX285" s="490"/>
      <c r="BY285" s="489">
        <v>4</v>
      </c>
      <c r="BZ285" s="512">
        <v>43922</v>
      </c>
      <c r="CA285" s="490">
        <v>5</v>
      </c>
      <c r="CB285" s="481">
        <v>4</v>
      </c>
      <c r="CD285" s="514">
        <f t="shared" si="55"/>
        <v>44317</v>
      </c>
      <c r="CE285" s="522">
        <f t="shared" ref="CE285:CE292" si="65">BP265-BJ139</f>
        <v>21230</v>
      </c>
      <c r="CF285" s="481">
        <f t="shared" ref="CF285:CF292" si="66">CD269-BK139</f>
        <v>6452</v>
      </c>
      <c r="CG285" s="481">
        <f>IF(BC$290=5,BE$294,ROUND(CE285*AX275%,0))</f>
        <v>4246</v>
      </c>
      <c r="CH285" s="481">
        <f t="shared" ref="CH285:CH294" si="67">CF$181</f>
        <v>0</v>
      </c>
      <c r="CI285" s="481">
        <f t="shared" si="56"/>
        <v>0</v>
      </c>
      <c r="CJ285" s="481">
        <f>IF(CJ175=3,CJ178,0)</f>
        <v>0</v>
      </c>
      <c r="CK285" s="481">
        <f>IF(CL$274=1,ROUND(CE285*CT$203%,0),0)</f>
        <v>5732</v>
      </c>
      <c r="CL285" s="481">
        <f t="shared" si="51"/>
        <v>5732</v>
      </c>
      <c r="CM285" s="481">
        <f t="shared" si="57"/>
        <v>43392</v>
      </c>
      <c r="CN285" s="481">
        <f>IF(CG$183=1,2*(ROUND((CE285+CF285)/10,0)),ROUND((CE285+CF285)/10,0))</f>
        <v>2768</v>
      </c>
      <c r="CO285" s="481">
        <f t="shared" si="58"/>
        <v>7000</v>
      </c>
      <c r="CP285" s="481">
        <f>IF(CP$282=CO$282,CO285,IF(CP$282=CN$282,CN285))</f>
        <v>7000</v>
      </c>
      <c r="CQ285" s="481">
        <f>BA275</f>
        <v>2000</v>
      </c>
      <c r="CR285" s="481">
        <f>IF(CM285&gt;=20000,200,IF(CM285&gt;=15000,150,IF(CM285&gt;=10000,100,80)))</f>
        <v>200</v>
      </c>
      <c r="CS285" s="481">
        <f>BB275</f>
        <v>120</v>
      </c>
      <c r="CU285" s="481">
        <f t="shared" si="59"/>
        <v>8000</v>
      </c>
      <c r="CV285" s="481">
        <f t="shared" si="60"/>
        <v>0</v>
      </c>
      <c r="CW285" s="481">
        <f t="shared" si="61"/>
        <v>17320</v>
      </c>
      <c r="CX285" s="481">
        <f t="shared" si="53"/>
        <v>26072</v>
      </c>
      <c r="CY285" s="481">
        <f t="shared" si="62"/>
        <v>1698</v>
      </c>
      <c r="CZ285" s="481">
        <f t="shared" si="63"/>
        <v>0</v>
      </c>
      <c r="DA285" s="481" t="str">
        <f t="shared" si="54"/>
        <v/>
      </c>
      <c r="DB285" s="484" t="str">
        <f t="shared" si="64"/>
        <v/>
      </c>
      <c r="DC285" s="481">
        <v>40</v>
      </c>
      <c r="DD285" s="677">
        <v>21250</v>
      </c>
      <c r="DE285" s="654">
        <v>42490</v>
      </c>
      <c r="DF285" s="654">
        <v>43680</v>
      </c>
      <c r="DG285" s="677">
        <v>47330</v>
      </c>
      <c r="DI285" s="677">
        <v>46060</v>
      </c>
      <c r="DJ285" s="677">
        <v>47330</v>
      </c>
      <c r="DK285" s="677">
        <v>47330</v>
      </c>
      <c r="DL285" s="677">
        <v>48600</v>
      </c>
      <c r="DM285" s="677">
        <v>48600</v>
      </c>
      <c r="DN285" s="677"/>
      <c r="DQ285" s="677">
        <v>46060</v>
      </c>
      <c r="DR285" s="677">
        <v>44870</v>
      </c>
      <c r="DS285" s="677"/>
      <c r="DT285" s="677"/>
      <c r="DU285" s="677"/>
    </row>
    <row r="286" spans="21:125" s="481" customFormat="1" ht="15" hidden="1">
      <c r="U286" s="483"/>
      <c r="V286" s="483"/>
      <c r="W286" s="483"/>
      <c r="X286" s="106"/>
      <c r="Y286" s="106"/>
      <c r="Z286" s="106"/>
      <c r="AA286" s="106"/>
      <c r="AB286" s="106"/>
      <c r="AC286" s="483"/>
      <c r="AD286" s="483"/>
      <c r="AE286" s="483"/>
      <c r="AF286" s="483"/>
      <c r="AG286" s="483"/>
      <c r="AH286" s="483"/>
      <c r="AU286" s="514">
        <v>44621</v>
      </c>
      <c r="AX286" s="481">
        <f>IF(AX$272=3,BO$180,BO179)</f>
        <v>20</v>
      </c>
      <c r="BE286" s="504"/>
      <c r="BF286" s="489"/>
      <c r="BG286" s="486"/>
      <c r="BH286" s="512">
        <f t="shared" ref="BH286:BH296" si="68">CD284</f>
        <v>44287</v>
      </c>
      <c r="BI286" s="693">
        <f t="shared" ref="BI286:BI296" si="69">CE284</f>
        <v>21230</v>
      </c>
      <c r="BJ286" s="486">
        <f t="shared" ref="BJ286:BJ296" si="70">CJ284</f>
        <v>0</v>
      </c>
      <c r="BK286" s="486"/>
      <c r="BL286" s="490"/>
      <c r="BN286" s="481">
        <f>IF(BF$271=10,BG$262,BN285)</f>
        <v>21820</v>
      </c>
      <c r="BO286" s="481">
        <f>IF(BF$272=10,BG$263,BO285)</f>
        <v>21230</v>
      </c>
      <c r="BP286" s="481">
        <f>IF(BF$273=10,BG$264,BP285)</f>
        <v>21230</v>
      </c>
      <c r="BQ286" s="481">
        <f t="shared" si="50"/>
        <v>21820</v>
      </c>
      <c r="BR286" s="486"/>
      <c r="BS286" s="486"/>
      <c r="BT286" s="629"/>
      <c r="BU286" s="629"/>
      <c r="BV286" s="629"/>
      <c r="BW286" s="629"/>
      <c r="BX286" s="490"/>
      <c r="BY286" s="489">
        <v>5</v>
      </c>
      <c r="BZ286" s="512">
        <v>43952</v>
      </c>
      <c r="CA286" s="490">
        <v>6</v>
      </c>
      <c r="CB286" s="481">
        <v>5</v>
      </c>
      <c r="CD286" s="514">
        <f t="shared" si="55"/>
        <v>44348</v>
      </c>
      <c r="CE286" s="522">
        <f t="shared" si="65"/>
        <v>21230</v>
      </c>
      <c r="CF286" s="481">
        <f t="shared" si="66"/>
        <v>6452</v>
      </c>
      <c r="CG286" s="481">
        <f>IF(BC$290=6,BE$294,ROUND(CE286*AX276%,0))</f>
        <v>4246</v>
      </c>
      <c r="CH286" s="481">
        <f t="shared" si="67"/>
        <v>0</v>
      </c>
      <c r="CI286" s="481">
        <f t="shared" si="56"/>
        <v>0</v>
      </c>
      <c r="CJ286" s="481">
        <f>CK180</f>
        <v>0</v>
      </c>
      <c r="CK286" s="481">
        <f>IF(CL$274=1,ROUND(CE286*CT$203%,0),"")</f>
        <v>5732</v>
      </c>
      <c r="CL286" s="481">
        <f t="shared" si="51"/>
        <v>5732</v>
      </c>
      <c r="CM286" s="481">
        <f t="shared" si="57"/>
        <v>43392</v>
      </c>
      <c r="CN286" s="481">
        <f t="shared" ref="CN286:CN294" si="71">IF(CG$183=1,2*(ROUND((CE286+CF286)/10,0)),ROUND((CE286+CF286)/10,0))</f>
        <v>2768</v>
      </c>
      <c r="CO286" s="481">
        <f t="shared" si="58"/>
        <v>7000</v>
      </c>
      <c r="CP286" s="481">
        <f t="shared" ref="CP286:CP294" si="72">IF(CP$282=CO$282,CO286,IF(CP$282=CN$282,CN286))+BJ300</f>
        <v>7000</v>
      </c>
      <c r="CQ286" s="481">
        <f t="shared" ref="CQ286:CQ294" si="73">BA276</f>
        <v>2000</v>
      </c>
      <c r="CR286" s="481">
        <f t="shared" ref="CR286:CR294" si="74">IF(CM286&gt;=20000,200,IF(CM286&gt;=15000,150,IF(CM286&gt;=10000,100,80)))</f>
        <v>200</v>
      </c>
      <c r="CS286" s="481">
        <f t="shared" ref="CS286:CS294" si="75">BB276</f>
        <v>120</v>
      </c>
      <c r="CU286" s="481">
        <f t="shared" si="59"/>
        <v>8000</v>
      </c>
      <c r="CV286" s="481" t="str">
        <f t="shared" si="60"/>
        <v/>
      </c>
      <c r="CW286" s="481">
        <f t="shared" si="61"/>
        <v>17320</v>
      </c>
      <c r="CX286" s="481">
        <f t="shared" si="53"/>
        <v>26072</v>
      </c>
      <c r="CY286" s="481">
        <f t="shared" si="62"/>
        <v>1698</v>
      </c>
      <c r="CZ286" s="481">
        <f t="shared" si="63"/>
        <v>0</v>
      </c>
      <c r="DA286" s="481" t="str">
        <f t="shared" si="54"/>
        <v/>
      </c>
      <c r="DB286" s="484" t="str">
        <f t="shared" si="64"/>
        <v/>
      </c>
      <c r="DC286" s="481">
        <v>41</v>
      </c>
      <c r="DD286" s="677">
        <v>21820</v>
      </c>
      <c r="DE286" s="654">
        <v>43680</v>
      </c>
      <c r="DF286" s="654">
        <v>44870</v>
      </c>
      <c r="DG286" s="677">
        <v>48600</v>
      </c>
      <c r="DI286" s="677">
        <v>47330</v>
      </c>
      <c r="DJ286" s="677">
        <v>48600</v>
      </c>
      <c r="DK286" s="677">
        <v>48600</v>
      </c>
      <c r="DL286" s="677">
        <v>49870</v>
      </c>
      <c r="DM286" s="677">
        <v>49870</v>
      </c>
      <c r="DN286" s="677"/>
      <c r="DQ286" s="677">
        <v>47330</v>
      </c>
      <c r="DR286" s="677">
        <v>46060</v>
      </c>
      <c r="DS286" s="677"/>
      <c r="DT286" s="677"/>
      <c r="DU286" s="677"/>
    </row>
    <row r="287" spans="21:125" s="481" customFormat="1" ht="15" hidden="1">
      <c r="U287" s="483"/>
      <c r="V287" s="483"/>
      <c r="W287" s="483"/>
      <c r="X287" s="106"/>
      <c r="Y287" s="106"/>
      <c r="Z287" s="106"/>
      <c r="AA287" s="106"/>
      <c r="AB287" s="106"/>
      <c r="AC287" s="483"/>
      <c r="AD287" s="483"/>
      <c r="AE287" s="483"/>
      <c r="AF287" s="483"/>
      <c r="AG287" s="483"/>
      <c r="AH287" s="483"/>
      <c r="AZ287" s="514" t="str">
        <f>BM144</f>
        <v>No Change</v>
      </c>
      <c r="BA287" s="583" t="e">
        <f>VLOOKUP(AZ287,BF$156:BG$169,2,TRUE)</f>
        <v>#N/A</v>
      </c>
      <c r="BF287" s="489"/>
      <c r="BG287" s="486"/>
      <c r="BH287" s="512">
        <f t="shared" si="68"/>
        <v>44317</v>
      </c>
      <c r="BI287" s="693">
        <f t="shared" si="69"/>
        <v>21230</v>
      </c>
      <c r="BJ287" s="486">
        <f t="shared" si="70"/>
        <v>0</v>
      </c>
      <c r="BK287" s="486"/>
      <c r="BL287" s="490"/>
      <c r="BN287" s="481">
        <f>IF(BF$271=11,BG$262,BN286)</f>
        <v>21820</v>
      </c>
      <c r="BO287" s="481">
        <f>IF(BF$272=11,BG$263,BO286)</f>
        <v>21230</v>
      </c>
      <c r="BP287" s="481">
        <f>IF(BF$273=11,BG$264,BP286)</f>
        <v>21230</v>
      </c>
      <c r="BQ287" s="481">
        <f>MAX(BN287:BP287,0)</f>
        <v>21820</v>
      </c>
      <c r="BR287" s="486"/>
      <c r="BS287" s="486"/>
      <c r="BT287" s="629"/>
      <c r="BU287" s="633"/>
      <c r="BV287" s="629"/>
      <c r="BW287" s="629"/>
      <c r="BX287" s="490"/>
      <c r="BY287" s="489">
        <v>6</v>
      </c>
      <c r="BZ287" s="512">
        <v>43983</v>
      </c>
      <c r="CA287" s="490">
        <v>7</v>
      </c>
      <c r="CB287" s="481">
        <v>6</v>
      </c>
      <c r="CD287" s="514">
        <f t="shared" si="55"/>
        <v>44378</v>
      </c>
      <c r="CE287" s="522">
        <f t="shared" si="65"/>
        <v>21230</v>
      </c>
      <c r="CF287" s="481">
        <f t="shared" si="66"/>
        <v>7120</v>
      </c>
      <c r="CG287" s="481">
        <f>IF(BC$290=7,BE$294,ROUND(CE287*AX277%,0))</f>
        <v>4246</v>
      </c>
      <c r="CH287" s="481">
        <f>CF$181</f>
        <v>0</v>
      </c>
      <c r="CI287" s="481">
        <f t="shared" si="56"/>
        <v>0</v>
      </c>
      <c r="CJ287" s="481">
        <f>CJ178</f>
        <v>0</v>
      </c>
      <c r="CK287" s="481">
        <f>IF(CL$274=1,ROUND(CE287*CT$203%,0),"")</f>
        <v>5732</v>
      </c>
      <c r="CL287" s="481">
        <f>IF(CK287="","",CK287)</f>
        <v>5732</v>
      </c>
      <c r="CM287" s="481">
        <f t="shared" si="57"/>
        <v>44060</v>
      </c>
      <c r="CN287" s="481">
        <f t="shared" si="71"/>
        <v>2835</v>
      </c>
      <c r="CO287" s="481">
        <f t="shared" si="58"/>
        <v>7000</v>
      </c>
      <c r="CP287" s="481">
        <f t="shared" si="72"/>
        <v>7000</v>
      </c>
      <c r="CQ287" s="481">
        <f t="shared" si="73"/>
        <v>2000</v>
      </c>
      <c r="CR287" s="481">
        <f t="shared" si="74"/>
        <v>200</v>
      </c>
      <c r="CS287" s="481">
        <f t="shared" si="75"/>
        <v>120</v>
      </c>
      <c r="CT287" s="481">
        <f>CI275</f>
        <v>0</v>
      </c>
      <c r="CU287" s="522">
        <f>Q29</f>
        <v>8000</v>
      </c>
      <c r="CV287" s="481" t="str">
        <f t="shared" si="60"/>
        <v/>
      </c>
      <c r="CW287" s="481">
        <f t="shared" si="61"/>
        <v>17320</v>
      </c>
      <c r="CX287" s="481">
        <f t="shared" si="53"/>
        <v>26740</v>
      </c>
      <c r="CY287" s="481">
        <f t="shared" si="62"/>
        <v>1698</v>
      </c>
      <c r="CZ287" s="481">
        <f t="shared" si="63"/>
        <v>0</v>
      </c>
      <c r="DA287" s="481" t="str">
        <f t="shared" si="54"/>
        <v/>
      </c>
      <c r="DB287" s="484" t="str">
        <f t="shared" si="64"/>
        <v/>
      </c>
      <c r="DC287" s="481">
        <v>42</v>
      </c>
      <c r="DD287" s="677">
        <v>22430</v>
      </c>
      <c r="DE287" s="654">
        <v>44870</v>
      </c>
      <c r="DF287" s="654">
        <v>46060</v>
      </c>
      <c r="DG287" s="677">
        <v>49870</v>
      </c>
      <c r="DI287" s="677">
        <v>48600</v>
      </c>
      <c r="DJ287" s="677">
        <v>49870</v>
      </c>
      <c r="DK287" s="677">
        <v>49870</v>
      </c>
      <c r="DL287" s="677">
        <v>51230</v>
      </c>
      <c r="DM287" s="677">
        <v>51230</v>
      </c>
      <c r="DN287" s="677"/>
      <c r="DQ287" s="677">
        <v>48600</v>
      </c>
      <c r="DR287" s="677">
        <v>47330</v>
      </c>
      <c r="DS287" s="677"/>
      <c r="DT287" s="677"/>
      <c r="DU287" s="677"/>
    </row>
    <row r="288" spans="21:125" s="481" customFormat="1" ht="15" hidden="1">
      <c r="U288" s="483"/>
      <c r="V288" s="483"/>
      <c r="W288" s="483"/>
      <c r="X288" s="106"/>
      <c r="Y288" s="106"/>
      <c r="Z288" s="106"/>
      <c r="AA288" s="106"/>
      <c r="AB288" s="106"/>
      <c r="AC288" s="483"/>
      <c r="AD288" s="483"/>
      <c r="AE288" s="483"/>
      <c r="AF288" s="483"/>
      <c r="AG288" s="483"/>
      <c r="AH288" s="483"/>
      <c r="BC288" s="504" t="e">
        <f>BA287</f>
        <v>#N/A</v>
      </c>
      <c r="BD288" s="504"/>
      <c r="BE288" s="504"/>
      <c r="BF288" s="489"/>
      <c r="BG288" s="486"/>
      <c r="BH288" s="512">
        <f t="shared" si="68"/>
        <v>44348</v>
      </c>
      <c r="BI288" s="693">
        <f t="shared" si="69"/>
        <v>21230</v>
      </c>
      <c r="BJ288" s="486">
        <f t="shared" si="70"/>
        <v>0</v>
      </c>
      <c r="BK288" s="486"/>
      <c r="BL288" s="490"/>
      <c r="BN288" s="481">
        <f>IF(BF$271=12,BG$262,BN287)</f>
        <v>21820</v>
      </c>
      <c r="BO288" s="481">
        <f>IF(BF$272=12,BG$263,BO287)</f>
        <v>21230</v>
      </c>
      <c r="BP288" s="481">
        <f>IF(BF$273=12,BG$264,BP287)</f>
        <v>21230</v>
      </c>
      <c r="BQ288" s="481">
        <f>MAX(BN288:BP288,0)</f>
        <v>21820</v>
      </c>
      <c r="BR288" s="486"/>
      <c r="BS288" s="486"/>
      <c r="BT288" s="629"/>
      <c r="BU288" s="629"/>
      <c r="BV288" s="629"/>
      <c r="BW288" s="629"/>
      <c r="BX288" s="490"/>
      <c r="BY288" s="489">
        <v>7</v>
      </c>
      <c r="BZ288" s="512">
        <v>44013</v>
      </c>
      <c r="CA288" s="490">
        <v>8</v>
      </c>
      <c r="CB288" s="481">
        <v>7</v>
      </c>
      <c r="CD288" s="514">
        <f t="shared" si="55"/>
        <v>44409</v>
      </c>
      <c r="CE288" s="522">
        <f>BP268-BJ142</f>
        <v>21820</v>
      </c>
      <c r="CF288" s="481">
        <f>CD272-BK142</f>
        <v>7318</v>
      </c>
      <c r="CG288" s="481">
        <f>IF(BC$290=8,BE$294,ROUND(CE288*AX278%,0))</f>
        <v>4364</v>
      </c>
      <c r="CH288" s="481">
        <f t="shared" si="67"/>
        <v>0</v>
      </c>
      <c r="CI288" s="481">
        <f t="shared" si="56"/>
        <v>0</v>
      </c>
      <c r="CJ288" s="481">
        <f>CJ178</f>
        <v>0</v>
      </c>
      <c r="CK288" s="481">
        <f t="shared" ref="CK288:CK294" si="76">IF(CL$274=1,ROUND(CE288*CT$203%,0),"")</f>
        <v>5891</v>
      </c>
      <c r="CL288" s="481">
        <f t="shared" ref="CL288:CL294" si="77">IF(CK288="","",CK288)</f>
        <v>5891</v>
      </c>
      <c r="CM288" s="481">
        <f t="shared" si="57"/>
        <v>45284</v>
      </c>
      <c r="CN288" s="481">
        <f t="shared" si="71"/>
        <v>2914</v>
      </c>
      <c r="CO288" s="481">
        <f t="shared" si="58"/>
        <v>7000</v>
      </c>
      <c r="CP288" s="481">
        <f t="shared" si="72"/>
        <v>7000</v>
      </c>
      <c r="CQ288" s="481">
        <f t="shared" si="73"/>
        <v>2000</v>
      </c>
      <c r="CR288" s="481">
        <f t="shared" si="74"/>
        <v>200</v>
      </c>
      <c r="CS288" s="481">
        <f t="shared" si="75"/>
        <v>120</v>
      </c>
      <c r="CU288" s="522">
        <f t="shared" ref="CU288:CU290" si="78">Q30</f>
        <v>8000</v>
      </c>
      <c r="CV288" s="481" t="str">
        <f t="shared" si="60"/>
        <v/>
      </c>
      <c r="CW288" s="481">
        <f t="shared" si="61"/>
        <v>17320</v>
      </c>
      <c r="CX288" s="481">
        <f t="shared" si="53"/>
        <v>27964</v>
      </c>
      <c r="CY288" s="481">
        <f t="shared" si="62"/>
        <v>1746</v>
      </c>
      <c r="CZ288" s="481">
        <f t="shared" si="63"/>
        <v>0</v>
      </c>
      <c r="DA288" s="481" t="str">
        <f t="shared" si="54"/>
        <v/>
      </c>
      <c r="DB288" s="484" t="str">
        <f t="shared" si="64"/>
        <v/>
      </c>
      <c r="DC288" s="481">
        <v>43</v>
      </c>
      <c r="DD288" s="677">
        <v>23040</v>
      </c>
      <c r="DE288" s="654">
        <v>46060</v>
      </c>
      <c r="DF288" s="654">
        <v>47330</v>
      </c>
      <c r="DG288" s="677">
        <v>51230</v>
      </c>
      <c r="DI288" s="677">
        <v>49870</v>
      </c>
      <c r="DJ288" s="677">
        <v>51230</v>
      </c>
      <c r="DK288" s="677">
        <v>51230</v>
      </c>
      <c r="DL288" s="677">
        <v>52590</v>
      </c>
      <c r="DM288" s="677">
        <v>52590</v>
      </c>
      <c r="DN288" s="677"/>
      <c r="DQ288" s="677">
        <v>49870</v>
      </c>
      <c r="DR288" s="677">
        <v>48600</v>
      </c>
      <c r="DS288" s="677"/>
      <c r="DT288" s="677"/>
      <c r="DU288" s="677"/>
    </row>
    <row r="289" spans="21:125" s="481" customFormat="1" ht="15" hidden="1">
      <c r="U289" s="483"/>
      <c r="V289" s="483"/>
      <c r="W289" s="483"/>
      <c r="X289" s="106"/>
      <c r="Y289" s="106"/>
      <c r="Z289" s="106"/>
      <c r="AA289" s="106"/>
      <c r="AB289" s="106"/>
      <c r="AC289" s="483"/>
      <c r="AD289" s="483"/>
      <c r="AE289" s="483"/>
      <c r="AF289" s="483"/>
      <c r="AG289" s="483"/>
      <c r="AH289" s="483"/>
      <c r="AZ289" s="481">
        <v>1</v>
      </c>
      <c r="BB289" s="494">
        <v>20</v>
      </c>
      <c r="BF289" s="489"/>
      <c r="BG289" s="486"/>
      <c r="BH289" s="512">
        <f t="shared" si="68"/>
        <v>44378</v>
      </c>
      <c r="BI289" s="693">
        <f t="shared" si="69"/>
        <v>21230</v>
      </c>
      <c r="BJ289" s="486">
        <f t="shared" si="70"/>
        <v>0</v>
      </c>
      <c r="BK289" s="729">
        <v>2</v>
      </c>
      <c r="BL289" s="490" t="s">
        <v>255</v>
      </c>
      <c r="BN289" s="481">
        <f>IF(BF$271=13,BG$262,BN288)</f>
        <v>21820</v>
      </c>
      <c r="BO289" s="481">
        <f>IF(BF$272=13,BG$263,BO288)</f>
        <v>21230</v>
      </c>
      <c r="BP289" s="481">
        <f>IF(BF$273=13,BG$264,BP288)</f>
        <v>21230</v>
      </c>
      <c r="BQ289" s="481">
        <f>MAX(BN289:BP289,0)</f>
        <v>21820</v>
      </c>
      <c r="BR289" s="486"/>
      <c r="BS289" s="486"/>
      <c r="BT289" s="486"/>
      <c r="BU289" s="486"/>
      <c r="BV289" s="486"/>
      <c r="BW289" s="486"/>
      <c r="BX289" s="490"/>
      <c r="BY289" s="489">
        <v>8</v>
      </c>
      <c r="BZ289" s="512">
        <v>44044</v>
      </c>
      <c r="CA289" s="490">
        <v>9</v>
      </c>
      <c r="CB289" s="481">
        <v>8</v>
      </c>
      <c r="CD289" s="514">
        <f t="shared" si="55"/>
        <v>44440</v>
      </c>
      <c r="CE289" s="522">
        <f>BP269-BJ143</f>
        <v>21820</v>
      </c>
      <c r="CF289" s="481">
        <f>CD273-BK143</f>
        <v>7318</v>
      </c>
      <c r="CG289" s="481">
        <f>IF(BC$290=9,BE$294,ROUND(CE289*AX279%,0))</f>
        <v>4364</v>
      </c>
      <c r="CH289" s="481">
        <f t="shared" si="67"/>
        <v>0</v>
      </c>
      <c r="CI289" s="481">
        <f t="shared" si="56"/>
        <v>0</v>
      </c>
      <c r="CJ289" s="481">
        <f>CJ178</f>
        <v>0</v>
      </c>
      <c r="CK289" s="481">
        <f t="shared" si="76"/>
        <v>5891</v>
      </c>
      <c r="CL289" s="481">
        <f t="shared" si="77"/>
        <v>5891</v>
      </c>
      <c r="CM289" s="481">
        <f t="shared" si="57"/>
        <v>45284</v>
      </c>
      <c r="CN289" s="481">
        <f t="shared" si="71"/>
        <v>2914</v>
      </c>
      <c r="CO289" s="481">
        <f t="shared" si="58"/>
        <v>7000</v>
      </c>
      <c r="CP289" s="481">
        <f>IF(CP$282=CO$282,CO289,IF(CP$282=CN$282,CN289))+BJ303</f>
        <v>7000</v>
      </c>
      <c r="CQ289" s="481">
        <f t="shared" si="73"/>
        <v>2000</v>
      </c>
      <c r="CR289" s="481">
        <f t="shared" si="74"/>
        <v>200</v>
      </c>
      <c r="CS289" s="481">
        <f t="shared" si="75"/>
        <v>120</v>
      </c>
      <c r="CU289" s="522">
        <f t="shared" si="78"/>
        <v>8000</v>
      </c>
      <c r="CV289" s="481" t="str">
        <f t="shared" si="60"/>
        <v/>
      </c>
      <c r="CW289" s="481">
        <f t="shared" si="61"/>
        <v>17320</v>
      </c>
      <c r="CX289" s="481">
        <f t="shared" si="53"/>
        <v>27964</v>
      </c>
      <c r="CY289" s="481">
        <f t="shared" si="62"/>
        <v>1746</v>
      </c>
      <c r="CZ289" s="481">
        <f t="shared" si="63"/>
        <v>0</v>
      </c>
      <c r="DA289" s="481" t="str">
        <f t="shared" si="54"/>
        <v/>
      </c>
      <c r="DB289" s="484" t="str">
        <f t="shared" si="64"/>
        <v/>
      </c>
      <c r="DC289" s="481">
        <v>44</v>
      </c>
      <c r="DD289" s="677">
        <v>23650</v>
      </c>
      <c r="DE289" s="654">
        <v>47330</v>
      </c>
      <c r="DF289" s="654">
        <v>48600</v>
      </c>
      <c r="DG289" s="677">
        <v>52590</v>
      </c>
      <c r="DI289" s="677">
        <v>50123</v>
      </c>
      <c r="DJ289" s="677">
        <v>52590</v>
      </c>
      <c r="DK289" s="677">
        <v>52590</v>
      </c>
      <c r="DL289" s="677">
        <v>53950</v>
      </c>
      <c r="DM289" s="677">
        <v>53950</v>
      </c>
      <c r="DN289" s="677"/>
      <c r="DQ289" s="677">
        <v>51230</v>
      </c>
      <c r="DR289" s="677">
        <v>49870</v>
      </c>
      <c r="DS289" s="677"/>
      <c r="DT289" s="677"/>
      <c r="DU289" s="677"/>
    </row>
    <row r="290" spans="21:125" s="481" customFormat="1" ht="15" hidden="1">
      <c r="U290" s="483"/>
      <c r="V290" s="483"/>
      <c r="W290" s="483"/>
      <c r="X290" s="106"/>
      <c r="Y290" s="106"/>
      <c r="Z290" s="106"/>
      <c r="AA290" s="106"/>
      <c r="AB290" s="106"/>
      <c r="AC290" s="483"/>
      <c r="AD290" s="483"/>
      <c r="AE290" s="483"/>
      <c r="AF290" s="483"/>
      <c r="AG290" s="483"/>
      <c r="AH290" s="483"/>
      <c r="BB290" s="514" t="str">
        <f>BM144</f>
        <v>No Change</v>
      </c>
      <c r="BC290" s="481" t="str">
        <f>IF(AZ287=BA254,"",VLOOKUP(BB290,BA255:BB268,2,0))</f>
        <v/>
      </c>
      <c r="BD290" s="481" t="str">
        <f>IF(AZ287=BA254,"",YEAR(BB290))</f>
        <v/>
      </c>
      <c r="BF290" s="489"/>
      <c r="BG290" s="486"/>
      <c r="BH290" s="512">
        <f t="shared" si="68"/>
        <v>44409</v>
      </c>
      <c r="BI290" s="693">
        <f t="shared" si="69"/>
        <v>21820</v>
      </c>
      <c r="BJ290" s="486">
        <f t="shared" si="70"/>
        <v>0</v>
      </c>
      <c r="BK290" s="511">
        <v>2</v>
      </c>
      <c r="BL290" s="490"/>
      <c r="BN290" s="481">
        <f>IF(BF$271=14,BG$262,BN289)</f>
        <v>21820</v>
      </c>
      <c r="BO290" s="481">
        <f>IF(BF$272=14,BG$263,BO289)</f>
        <v>21230</v>
      </c>
      <c r="BP290" s="481">
        <f>IF(BF$273=14,BG$264,BP289)</f>
        <v>21230</v>
      </c>
      <c r="BQ290" s="481">
        <f>IF(BL254=2,VLOOKUP(BQ289,DE252:DF324,2,0),MAX(BN290:BP290,0))</f>
        <v>21820</v>
      </c>
      <c r="BR290" s="486"/>
      <c r="BS290" s="486"/>
      <c r="BT290" s="486"/>
      <c r="BU290" s="486"/>
      <c r="BV290" s="486"/>
      <c r="BW290" s="486"/>
      <c r="BX290" s="490"/>
      <c r="BY290" s="489">
        <v>9</v>
      </c>
      <c r="BZ290" s="512">
        <v>44075</v>
      </c>
      <c r="CA290" s="490">
        <v>10</v>
      </c>
      <c r="CB290" s="481">
        <v>9</v>
      </c>
      <c r="CD290" s="514">
        <f t="shared" si="55"/>
        <v>44470</v>
      </c>
      <c r="CE290" s="522">
        <f>BP270-BJ144</f>
        <v>21820</v>
      </c>
      <c r="CF290" s="481">
        <f>CD274-BK144</f>
        <v>7318</v>
      </c>
      <c r="CG290" s="481">
        <f>IF(BC$290=10,BE$294,ROUND(CE290*AX280%,0))</f>
        <v>4364</v>
      </c>
      <c r="CH290" s="481">
        <f t="shared" si="67"/>
        <v>0</v>
      </c>
      <c r="CI290" s="481">
        <f t="shared" si="56"/>
        <v>0</v>
      </c>
      <c r="CJ290" s="481">
        <f>CK181</f>
        <v>0</v>
      </c>
      <c r="CK290" s="481">
        <f t="shared" si="76"/>
        <v>5891</v>
      </c>
      <c r="CL290" s="481">
        <f t="shared" si="77"/>
        <v>5891</v>
      </c>
      <c r="CM290" s="481">
        <f t="shared" si="57"/>
        <v>45284</v>
      </c>
      <c r="CN290" s="481">
        <f t="shared" si="71"/>
        <v>2914</v>
      </c>
      <c r="CO290" s="481">
        <f t="shared" si="58"/>
        <v>7000</v>
      </c>
      <c r="CP290" s="481">
        <f t="shared" si="72"/>
        <v>7000</v>
      </c>
      <c r="CQ290" s="481">
        <f t="shared" si="73"/>
        <v>2000</v>
      </c>
      <c r="CR290" s="481">
        <f t="shared" si="74"/>
        <v>200</v>
      </c>
      <c r="CS290" s="481">
        <f t="shared" si="75"/>
        <v>120</v>
      </c>
      <c r="CU290" s="522">
        <f t="shared" si="78"/>
        <v>8000</v>
      </c>
      <c r="CV290" s="481" t="str">
        <f t="shared" si="60"/>
        <v/>
      </c>
      <c r="CW290" s="481">
        <f t="shared" si="61"/>
        <v>17320</v>
      </c>
      <c r="CX290" s="481">
        <f t="shared" si="53"/>
        <v>27964</v>
      </c>
      <c r="CY290" s="481">
        <f t="shared" si="62"/>
        <v>1746</v>
      </c>
      <c r="CZ290" s="481">
        <f t="shared" si="63"/>
        <v>0</v>
      </c>
      <c r="DA290" s="481" t="str">
        <f t="shared" si="54"/>
        <v/>
      </c>
      <c r="DB290" s="484" t="str">
        <f t="shared" si="64"/>
        <v/>
      </c>
      <c r="DC290" s="481">
        <v>45</v>
      </c>
      <c r="DD290" s="677">
        <v>24300</v>
      </c>
      <c r="DE290" s="654">
        <v>48600</v>
      </c>
      <c r="DF290" s="654">
        <v>49870</v>
      </c>
      <c r="DG290" s="677">
        <v>53950</v>
      </c>
      <c r="DI290" s="677">
        <v>51230</v>
      </c>
      <c r="DJ290" s="677">
        <v>53950</v>
      </c>
      <c r="DK290" s="677">
        <v>53950</v>
      </c>
      <c r="DL290" s="677">
        <v>55410</v>
      </c>
      <c r="DM290" s="677">
        <v>55410</v>
      </c>
      <c r="DN290" s="677"/>
      <c r="DQ290" s="677">
        <v>52590</v>
      </c>
      <c r="DR290" s="677">
        <v>51230</v>
      </c>
      <c r="DS290" s="677"/>
      <c r="DT290" s="677"/>
      <c r="DU290" s="677"/>
    </row>
    <row r="291" spans="21:125" s="481" customFormat="1" ht="15" hidden="1">
      <c r="U291" s="483"/>
      <c r="V291" s="483"/>
      <c r="W291" s="483"/>
      <c r="X291" s="106"/>
      <c r="Y291" s="106"/>
      <c r="Z291" s="106"/>
      <c r="AA291" s="106"/>
      <c r="AB291" s="106"/>
      <c r="AC291" s="483"/>
      <c r="AD291" s="483"/>
      <c r="AE291" s="483"/>
      <c r="AF291" s="483"/>
      <c r="AG291" s="483"/>
      <c r="AH291" s="483"/>
      <c r="BB291" s="514"/>
      <c r="BE291" s="481" t="e">
        <f>IF(BE292="","",(BD292-BB289)+1)</f>
        <v>#N/A</v>
      </c>
      <c r="BF291" s="489"/>
      <c r="BG291" s="486"/>
      <c r="BH291" s="512">
        <f t="shared" si="68"/>
        <v>44440</v>
      </c>
      <c r="BI291" s="693">
        <f t="shared" si="69"/>
        <v>21820</v>
      </c>
      <c r="BJ291" s="486">
        <f t="shared" si="70"/>
        <v>0</v>
      </c>
      <c r="BK291" s="730" t="str">
        <f>IF(BH280="","",IF(BK290=1,ROUND(BH280*BY262,0),""))</f>
        <v/>
      </c>
      <c r="BL291" s="490" t="str">
        <f>IF(BK290=2,"",BL289)</f>
        <v/>
      </c>
      <c r="BN291" s="481">
        <f>IF(BF$271=15,BG$262,BN290)</f>
        <v>21820</v>
      </c>
      <c r="BO291" s="481">
        <f>IF(BF$272=15,BG$263,BO290)</f>
        <v>21230</v>
      </c>
      <c r="BP291" s="481">
        <f>IF(BF$273=15,BG$264,BP290)</f>
        <v>21230</v>
      </c>
      <c r="BQ291" s="481">
        <f>IF(BL254=2,VLOOKUP(BQ290,DE252:DF324,2,0),MAX(BN291:BP291,0))</f>
        <v>21820</v>
      </c>
      <c r="BR291" s="486"/>
      <c r="BS291" s="486"/>
      <c r="BT291" s="486"/>
      <c r="BU291" s="486"/>
      <c r="BV291" s="486"/>
      <c r="BW291" s="486"/>
      <c r="BX291" s="490"/>
      <c r="BY291" s="489">
        <v>10</v>
      </c>
      <c r="BZ291" s="512">
        <v>44105</v>
      </c>
      <c r="CA291" s="490">
        <v>11</v>
      </c>
      <c r="CB291" s="481">
        <v>10</v>
      </c>
      <c r="CD291" s="514">
        <f t="shared" si="55"/>
        <v>44501</v>
      </c>
      <c r="CE291" s="522">
        <f t="shared" si="65"/>
        <v>21820</v>
      </c>
      <c r="CF291" s="481">
        <f t="shared" si="66"/>
        <v>6632</v>
      </c>
      <c r="CG291" s="481">
        <f>IF(BC$290=11,BE$294,ROUND(CE291*AX281%,0))</f>
        <v>4364</v>
      </c>
      <c r="CH291" s="481">
        <f t="shared" si="67"/>
        <v>0</v>
      </c>
      <c r="CI291" s="481">
        <f t="shared" si="56"/>
        <v>0</v>
      </c>
      <c r="CJ291" s="481">
        <f>CJ178</f>
        <v>0</v>
      </c>
      <c r="CK291" s="481">
        <f t="shared" si="76"/>
        <v>5891</v>
      </c>
      <c r="CL291" s="481">
        <f t="shared" si="77"/>
        <v>5891</v>
      </c>
      <c r="CM291" s="481">
        <f t="shared" si="57"/>
        <v>44598</v>
      </c>
      <c r="CN291" s="481">
        <f t="shared" si="71"/>
        <v>2845</v>
      </c>
      <c r="CO291" s="481">
        <f t="shared" si="58"/>
        <v>7000</v>
      </c>
      <c r="CP291" s="481">
        <f t="shared" si="72"/>
        <v>7000</v>
      </c>
      <c r="CQ291" s="481">
        <f t="shared" si="73"/>
        <v>2000</v>
      </c>
      <c r="CR291" s="481">
        <f t="shared" si="74"/>
        <v>200</v>
      </c>
      <c r="CS291" s="481">
        <f t="shared" si="75"/>
        <v>120</v>
      </c>
      <c r="CU291" s="481">
        <f>T29</f>
        <v>8000</v>
      </c>
      <c r="CV291" s="481" t="str">
        <f t="shared" si="60"/>
        <v/>
      </c>
      <c r="CW291" s="481">
        <f t="shared" si="61"/>
        <v>17320</v>
      </c>
      <c r="CX291" s="481">
        <f t="shared" si="53"/>
        <v>27278</v>
      </c>
      <c r="CY291" s="481">
        <f t="shared" si="62"/>
        <v>1746</v>
      </c>
      <c r="CZ291" s="481">
        <f t="shared" si="63"/>
        <v>0</v>
      </c>
      <c r="DA291" s="481" t="str">
        <f t="shared" si="54"/>
        <v/>
      </c>
      <c r="DB291" s="484" t="str">
        <f t="shared" si="64"/>
        <v/>
      </c>
      <c r="DC291" s="481">
        <v>46</v>
      </c>
      <c r="DD291" s="677">
        <v>24950</v>
      </c>
      <c r="DE291" s="654">
        <v>49870</v>
      </c>
      <c r="DF291" s="654">
        <v>51230</v>
      </c>
      <c r="DG291" s="677">
        <v>55410</v>
      </c>
      <c r="DI291" s="677">
        <v>52590</v>
      </c>
      <c r="DJ291" s="677">
        <v>55410</v>
      </c>
      <c r="DK291" s="677">
        <v>55410</v>
      </c>
      <c r="DL291" s="677">
        <v>56870</v>
      </c>
      <c r="DM291" s="677">
        <v>56870</v>
      </c>
      <c r="DN291" s="677"/>
      <c r="DQ291" s="677">
        <v>53950</v>
      </c>
      <c r="DR291" s="677">
        <v>52590</v>
      </c>
      <c r="DS291" s="677"/>
      <c r="DT291" s="677"/>
      <c r="DU291" s="677"/>
    </row>
    <row r="292" spans="21:125" s="481" customFormat="1" ht="15" hidden="1">
      <c r="U292" s="483"/>
      <c r="V292" s="483"/>
      <c r="W292" s="483"/>
      <c r="X292" s="106"/>
      <c r="Y292" s="106"/>
      <c r="Z292" s="106"/>
      <c r="AA292" s="106"/>
      <c r="AB292" s="106"/>
      <c r="AC292" s="483"/>
      <c r="AD292" s="483"/>
      <c r="AE292" s="483"/>
      <c r="AF292" s="483"/>
      <c r="AG292" s="483"/>
      <c r="AH292" s="483"/>
      <c r="AZ292" s="514" t="str">
        <f>IF(AZ287=BA254,"",AZ287)</f>
        <v/>
      </c>
      <c r="BA292" s="481" t="str">
        <f>IF(BC290="","",VLOOKUP(AZ292,CD$283:CG$294,4,0))</f>
        <v/>
      </c>
      <c r="BB292" s="523" t="str">
        <f>IF(BC290="","",DATE(BD290,BC290,BB289))</f>
        <v/>
      </c>
      <c r="BC292" s="731" t="e">
        <f>BC288</f>
        <v>#N/A</v>
      </c>
      <c r="BD292" s="481" t="e">
        <f>IF(BC292="","",DAY(BC292))</f>
        <v>#N/A</v>
      </c>
      <c r="BE292" s="481" t="e">
        <f>IF(BC292="","",DAY(BC292))</f>
        <v>#N/A</v>
      </c>
      <c r="BF292" s="489"/>
      <c r="BG292" s="486"/>
      <c r="BH292" s="512">
        <f t="shared" si="68"/>
        <v>44470</v>
      </c>
      <c r="BI292" s="693">
        <f t="shared" si="69"/>
        <v>21820</v>
      </c>
      <c r="BJ292" s="486">
        <f t="shared" si="70"/>
        <v>0</v>
      </c>
      <c r="BK292" s="486" t="s">
        <v>373</v>
      </c>
      <c r="BL292" s="490"/>
      <c r="BR292" s="486"/>
      <c r="BS292" s="486"/>
      <c r="BT292" s="486"/>
      <c r="BU292" s="486"/>
      <c r="BV292" s="486"/>
      <c r="BW292" s="486"/>
      <c r="BX292" s="490"/>
      <c r="BY292" s="489">
        <v>11</v>
      </c>
      <c r="BZ292" s="512">
        <v>44136</v>
      </c>
      <c r="CA292" s="490">
        <v>12</v>
      </c>
      <c r="CB292" s="481">
        <v>11</v>
      </c>
      <c r="CD292" s="514">
        <f t="shared" si="55"/>
        <v>44531</v>
      </c>
      <c r="CE292" s="522">
        <f t="shared" si="65"/>
        <v>21820</v>
      </c>
      <c r="CF292" s="481">
        <f t="shared" si="66"/>
        <v>6632</v>
      </c>
      <c r="CG292" s="481">
        <f>IF(BC$290=12,BE$294,ROUND(CE292*AX282%,0))</f>
        <v>4364</v>
      </c>
      <c r="CH292" s="481">
        <f t="shared" si="67"/>
        <v>0</v>
      </c>
      <c r="CI292" s="481">
        <f t="shared" si="56"/>
        <v>0</v>
      </c>
      <c r="CJ292" s="481">
        <f>CJ178</f>
        <v>0</v>
      </c>
      <c r="CK292" s="481">
        <f t="shared" si="76"/>
        <v>5891</v>
      </c>
      <c r="CL292" s="481">
        <f t="shared" si="77"/>
        <v>5891</v>
      </c>
      <c r="CM292" s="481">
        <f t="shared" si="57"/>
        <v>44598</v>
      </c>
      <c r="CN292" s="481">
        <f t="shared" si="71"/>
        <v>2845</v>
      </c>
      <c r="CO292" s="481">
        <f t="shared" si="58"/>
        <v>7000</v>
      </c>
      <c r="CP292" s="481">
        <f t="shared" si="72"/>
        <v>7000</v>
      </c>
      <c r="CQ292" s="481">
        <f t="shared" si="73"/>
        <v>2000</v>
      </c>
      <c r="CR292" s="481">
        <f t="shared" si="74"/>
        <v>200</v>
      </c>
      <c r="CS292" s="481">
        <f t="shared" si="75"/>
        <v>120</v>
      </c>
      <c r="CT292" s="481">
        <f>CK197</f>
        <v>0</v>
      </c>
      <c r="CU292" s="481">
        <f t="shared" ref="CU292:CU294" si="79">T30</f>
        <v>20000</v>
      </c>
      <c r="CV292" s="481" t="str">
        <f t="shared" si="60"/>
        <v/>
      </c>
      <c r="CW292" s="481">
        <f t="shared" si="61"/>
        <v>29320</v>
      </c>
      <c r="CX292" s="481">
        <f t="shared" si="53"/>
        <v>15278</v>
      </c>
      <c r="CY292" s="481">
        <f t="shared" si="62"/>
        <v>1746</v>
      </c>
      <c r="CZ292" s="481">
        <f t="shared" si="63"/>
        <v>0</v>
      </c>
      <c r="DA292" s="481" t="str">
        <f t="shared" si="54"/>
        <v/>
      </c>
      <c r="DB292" s="484" t="str">
        <f t="shared" si="64"/>
        <v/>
      </c>
      <c r="DC292" s="481">
        <v>47</v>
      </c>
      <c r="DD292" s="677">
        <v>25600</v>
      </c>
      <c r="DE292" s="654">
        <v>51230</v>
      </c>
      <c r="DF292" s="654">
        <v>52590</v>
      </c>
      <c r="DG292" s="677">
        <v>56870</v>
      </c>
      <c r="DI292" s="677">
        <v>53950</v>
      </c>
      <c r="DJ292" s="677">
        <v>56870</v>
      </c>
      <c r="DK292" s="677">
        <v>56870</v>
      </c>
      <c r="DL292" s="677">
        <v>58330</v>
      </c>
      <c r="DM292" s="677">
        <v>58330</v>
      </c>
      <c r="DN292" s="677"/>
      <c r="DQ292" s="677">
        <v>55410</v>
      </c>
      <c r="DR292" s="677">
        <v>53950</v>
      </c>
      <c r="DS292" s="677"/>
      <c r="DT292" s="677"/>
      <c r="DU292" s="677"/>
    </row>
    <row r="293" spans="21:125" s="481" customFormat="1" ht="15" hidden="1">
      <c r="U293" s="483"/>
      <c r="V293" s="483"/>
      <c r="W293" s="483"/>
      <c r="X293" s="106"/>
      <c r="Y293" s="106"/>
      <c r="Z293" s="106"/>
      <c r="AA293" s="106"/>
      <c r="AB293" s="106"/>
      <c r="AC293" s="483"/>
      <c r="AD293" s="483"/>
      <c r="AE293" s="483"/>
      <c r="AF293" s="483"/>
      <c r="AG293" s="483"/>
      <c r="AH293" s="483"/>
      <c r="AZ293" s="514"/>
      <c r="BB293" s="504"/>
      <c r="BC293" s="731"/>
      <c r="BE293" s="481" t="e">
        <f>IF(BE292="","",BB289-1)</f>
        <v>#N/A</v>
      </c>
      <c r="BF293" s="489"/>
      <c r="BG293" s="486"/>
      <c r="BH293" s="512">
        <f t="shared" si="68"/>
        <v>44501</v>
      </c>
      <c r="BI293" s="693">
        <f t="shared" si="69"/>
        <v>21820</v>
      </c>
      <c r="BJ293" s="486">
        <f t="shared" si="70"/>
        <v>0</v>
      </c>
      <c r="BK293" s="486">
        <f>VLOOKUP(BF279,CZ178:DL189,12,FALSE)</f>
        <v>0</v>
      </c>
      <c r="BL293" s="490" t="str">
        <f>IF(BG278="","",IF(BG278=2,ROUND(BK293/2,0),IF(BG278=3,BK293)))</f>
        <v/>
      </c>
      <c r="BR293" s="486"/>
      <c r="BS293" s="486"/>
      <c r="BT293" s="486"/>
      <c r="BU293" s="486"/>
      <c r="BV293" s="486"/>
      <c r="BW293" s="486"/>
      <c r="BX293" s="490"/>
      <c r="BY293" s="489">
        <v>12</v>
      </c>
      <c r="BZ293" s="512">
        <v>44166</v>
      </c>
      <c r="CA293" s="490">
        <v>13</v>
      </c>
      <c r="CB293" s="481">
        <v>12</v>
      </c>
      <c r="CD293" s="514">
        <f t="shared" si="55"/>
        <v>44562</v>
      </c>
      <c r="CE293" s="522">
        <f>BP273-BJ147</f>
        <v>21820</v>
      </c>
      <c r="CF293" s="481">
        <f>CD277-BK147</f>
        <v>7318</v>
      </c>
      <c r="CG293" s="481">
        <f>IF(BC$290=13,BE$294,ROUND(CE293*AX283%,0))</f>
        <v>4364</v>
      </c>
      <c r="CH293" s="481">
        <f t="shared" si="67"/>
        <v>0</v>
      </c>
      <c r="CI293" s="481">
        <f t="shared" si="56"/>
        <v>0</v>
      </c>
      <c r="CJ293" s="481">
        <f>CK182</f>
        <v>0</v>
      </c>
      <c r="CK293" s="481">
        <f t="shared" si="76"/>
        <v>5891</v>
      </c>
      <c r="CL293" s="481">
        <f t="shared" si="77"/>
        <v>5891</v>
      </c>
      <c r="CM293" s="481">
        <f t="shared" si="57"/>
        <v>45284</v>
      </c>
      <c r="CN293" s="481">
        <f t="shared" si="71"/>
        <v>2914</v>
      </c>
      <c r="CO293" s="481">
        <f t="shared" si="58"/>
        <v>7000</v>
      </c>
      <c r="CP293" s="481">
        <f t="shared" si="72"/>
        <v>7000</v>
      </c>
      <c r="CQ293" s="481">
        <f t="shared" si="73"/>
        <v>2000</v>
      </c>
      <c r="CR293" s="481">
        <f t="shared" si="74"/>
        <v>200</v>
      </c>
      <c r="CS293" s="481">
        <f t="shared" si="75"/>
        <v>120</v>
      </c>
      <c r="CU293" s="481">
        <f t="shared" si="79"/>
        <v>0</v>
      </c>
      <c r="CV293" s="481" t="str">
        <f t="shared" si="60"/>
        <v/>
      </c>
      <c r="CW293" s="481">
        <f t="shared" si="61"/>
        <v>9320</v>
      </c>
      <c r="CX293" s="481">
        <f t="shared" si="53"/>
        <v>35964</v>
      </c>
      <c r="CY293" s="481">
        <f t="shared" si="62"/>
        <v>1746</v>
      </c>
      <c r="CZ293" s="481">
        <f t="shared" si="63"/>
        <v>0</v>
      </c>
      <c r="DA293" s="481" t="str">
        <f t="shared" si="54"/>
        <v/>
      </c>
      <c r="DB293" s="484" t="str">
        <f t="shared" si="64"/>
        <v/>
      </c>
      <c r="DC293" s="481">
        <v>48</v>
      </c>
      <c r="DD293" s="677">
        <v>26300</v>
      </c>
      <c r="DE293" s="654">
        <v>52590</v>
      </c>
      <c r="DF293" s="654">
        <v>53950</v>
      </c>
      <c r="DG293" s="677">
        <v>58330</v>
      </c>
      <c r="DI293" s="677">
        <v>55410</v>
      </c>
      <c r="DJ293" s="677">
        <v>58330</v>
      </c>
      <c r="DK293" s="677">
        <v>58330</v>
      </c>
      <c r="DL293" s="677">
        <v>59890</v>
      </c>
      <c r="DM293" s="677">
        <v>59890</v>
      </c>
      <c r="DN293" s="677"/>
      <c r="DQ293" s="677">
        <v>56870</v>
      </c>
      <c r="DR293" s="677">
        <v>55410</v>
      </c>
      <c r="DS293" s="677"/>
      <c r="DT293" s="677"/>
      <c r="DU293" s="677"/>
    </row>
    <row r="294" spans="21:125" s="481" customFormat="1" ht="15" hidden="1">
      <c r="U294" s="483"/>
      <c r="V294" s="483"/>
      <c r="W294" s="483"/>
      <c r="X294" s="106"/>
      <c r="Y294" s="106"/>
      <c r="Z294" s="106"/>
      <c r="AA294" s="106"/>
      <c r="AB294" s="106"/>
      <c r="AC294" s="483"/>
      <c r="AD294" s="483"/>
      <c r="AE294" s="483"/>
      <c r="AF294" s="483"/>
      <c r="AG294" s="483"/>
      <c r="AH294" s="483"/>
      <c r="AZ294" s="514" t="str">
        <f>AZ292</f>
        <v/>
      </c>
      <c r="BA294" s="481" t="str">
        <f>IF(AZ292="","",VLOOKUP(AZ292,CD$283:CG$294,2,0))</f>
        <v/>
      </c>
      <c r="BB294" s="481" t="str">
        <f>BA292</f>
        <v/>
      </c>
      <c r="BC294" s="481" t="str">
        <f>IF(BA294="","",ROUND(BA294*BE293/BD292*AV269%,0))</f>
        <v/>
      </c>
      <c r="BD294" s="481" t="str">
        <f>IF(BA294="","",ROUND(BA294*BE291/BD292*AW269%,0))</f>
        <v/>
      </c>
      <c r="BE294" s="481" t="str">
        <f>IF(BC294="","",BC294+BD294)</f>
        <v/>
      </c>
      <c r="BF294" s="489"/>
      <c r="BG294" s="486"/>
      <c r="BH294" s="512">
        <f t="shared" si="68"/>
        <v>44531</v>
      </c>
      <c r="BI294" s="693">
        <f t="shared" si="69"/>
        <v>21820</v>
      </c>
      <c r="BJ294" s="486">
        <f t="shared" si="70"/>
        <v>0</v>
      </c>
      <c r="BK294" s="486"/>
      <c r="BL294" s="490"/>
      <c r="BR294" s="486"/>
      <c r="BS294" s="486"/>
      <c r="BT294" s="486"/>
      <c r="BU294" s="486"/>
      <c r="BV294" s="486"/>
      <c r="BW294" s="486"/>
      <c r="BX294" s="490"/>
      <c r="BY294" s="489">
        <v>13</v>
      </c>
      <c r="BZ294" s="512">
        <v>44197</v>
      </c>
      <c r="CA294" s="490">
        <v>14</v>
      </c>
      <c r="CB294" s="481">
        <v>13</v>
      </c>
      <c r="CD294" s="514">
        <f t="shared" si="55"/>
        <v>44593</v>
      </c>
      <c r="CE294" s="522">
        <f>BP274-BJ148</f>
        <v>21820</v>
      </c>
      <c r="CF294" s="481">
        <f>CD278-BK148</f>
        <v>7318</v>
      </c>
      <c r="CG294" s="481">
        <f>IF(BC$290=14,BE$294,ROUND(CE294*AX284%,0))</f>
        <v>4364</v>
      </c>
      <c r="CH294" s="481">
        <f t="shared" si="67"/>
        <v>0</v>
      </c>
      <c r="CI294" s="481">
        <f t="shared" si="56"/>
        <v>0</v>
      </c>
      <c r="CJ294" s="481">
        <f>CJ178</f>
        <v>0</v>
      </c>
      <c r="CK294" s="481">
        <f t="shared" si="76"/>
        <v>5891</v>
      </c>
      <c r="CL294" s="481">
        <f t="shared" si="77"/>
        <v>5891</v>
      </c>
      <c r="CM294" s="481">
        <f t="shared" si="57"/>
        <v>45284</v>
      </c>
      <c r="CN294" s="481">
        <f t="shared" si="71"/>
        <v>2914</v>
      </c>
      <c r="CO294" s="481">
        <f t="shared" si="58"/>
        <v>7000</v>
      </c>
      <c r="CP294" s="481">
        <f t="shared" si="72"/>
        <v>7000</v>
      </c>
      <c r="CQ294" s="481">
        <f t="shared" si="73"/>
        <v>2000</v>
      </c>
      <c r="CR294" s="481">
        <f t="shared" si="74"/>
        <v>200</v>
      </c>
      <c r="CS294" s="481">
        <f t="shared" si="75"/>
        <v>120</v>
      </c>
      <c r="CU294" s="481">
        <f t="shared" si="79"/>
        <v>0</v>
      </c>
      <c r="CV294" s="481" t="str">
        <f t="shared" si="60"/>
        <v/>
      </c>
      <c r="CW294" s="481">
        <f t="shared" si="61"/>
        <v>9320</v>
      </c>
      <c r="CX294" s="481">
        <f t="shared" si="53"/>
        <v>35964</v>
      </c>
      <c r="CY294" s="481">
        <f t="shared" si="62"/>
        <v>1746</v>
      </c>
      <c r="CZ294" s="481">
        <f t="shared" si="63"/>
        <v>0</v>
      </c>
      <c r="DA294" s="481" t="str">
        <f t="shared" si="54"/>
        <v/>
      </c>
      <c r="DB294" s="484" t="str">
        <f t="shared" si="64"/>
        <v/>
      </c>
      <c r="DC294" s="481">
        <v>49</v>
      </c>
      <c r="DD294" s="677">
        <v>27000</v>
      </c>
      <c r="DE294" s="654">
        <v>53950</v>
      </c>
      <c r="DF294" s="654">
        <v>55410</v>
      </c>
      <c r="DG294" s="677">
        <v>59890</v>
      </c>
      <c r="DI294" s="677">
        <v>56870</v>
      </c>
      <c r="DJ294" s="677">
        <v>59890</v>
      </c>
      <c r="DK294" s="677">
        <v>59890</v>
      </c>
      <c r="DL294" s="677">
        <v>61450</v>
      </c>
      <c r="DM294" s="677">
        <v>61450</v>
      </c>
      <c r="DN294" s="677"/>
      <c r="DQ294" s="677">
        <v>58330</v>
      </c>
      <c r="DR294" s="677">
        <v>56870</v>
      </c>
      <c r="DS294" s="677"/>
      <c r="DT294" s="677"/>
      <c r="DU294" s="677"/>
    </row>
    <row r="295" spans="21:125" s="481" customFormat="1" ht="15" hidden="1">
      <c r="U295" s="483"/>
      <c r="V295" s="483"/>
      <c r="W295" s="483"/>
      <c r="X295" s="106"/>
      <c r="Y295" s="106"/>
      <c r="Z295" s="106"/>
      <c r="AA295" s="106"/>
      <c r="AB295" s="106"/>
      <c r="AC295" s="483"/>
      <c r="AD295" s="483"/>
      <c r="AE295" s="483"/>
      <c r="AF295" s="483"/>
      <c r="AG295" s="483"/>
      <c r="AH295" s="483"/>
      <c r="AZ295" s="514"/>
      <c r="BE295" s="481" t="str">
        <f>IF(BM144=BQ151,"",BE294)</f>
        <v/>
      </c>
      <c r="BF295" s="489"/>
      <c r="BG295" s="486"/>
      <c r="BH295" s="512">
        <f t="shared" si="68"/>
        <v>44562</v>
      </c>
      <c r="BI295" s="693">
        <f t="shared" si="69"/>
        <v>21820</v>
      </c>
      <c r="BJ295" s="486">
        <f t="shared" si="70"/>
        <v>0</v>
      </c>
      <c r="BK295" s="486"/>
      <c r="BL295" s="732" t="s">
        <v>402</v>
      </c>
      <c r="BM295" s="733">
        <f>L23</f>
        <v>0</v>
      </c>
      <c r="BN295" s="733">
        <f>IF(BG278=3,BM295,IF(BG278=2,BM295/2,0))</f>
        <v>0</v>
      </c>
      <c r="BO295" s="733">
        <f>IF(BM295=0,0,BN295)</f>
        <v>0</v>
      </c>
      <c r="BR295" s="486"/>
      <c r="BS295" s="486"/>
      <c r="BT295" s="486"/>
      <c r="BU295" s="486"/>
      <c r="BV295" s="486"/>
      <c r="BW295" s="486"/>
      <c r="BX295" s="490"/>
      <c r="BY295" s="489">
        <v>14</v>
      </c>
      <c r="BZ295" s="512">
        <v>44228</v>
      </c>
      <c r="CA295" s="490">
        <v>15</v>
      </c>
      <c r="CB295" s="481">
        <v>14</v>
      </c>
      <c r="CD295" s="514"/>
      <c r="DB295" s="484"/>
      <c r="DC295" s="481">
        <v>50</v>
      </c>
      <c r="DD295" s="677">
        <v>27700</v>
      </c>
      <c r="DE295" s="654">
        <v>55410</v>
      </c>
      <c r="DF295" s="654">
        <v>56870</v>
      </c>
      <c r="DG295" s="677">
        <v>61450</v>
      </c>
      <c r="DI295" s="677">
        <v>58330</v>
      </c>
      <c r="DJ295" s="677">
        <v>61450</v>
      </c>
      <c r="DK295" s="677">
        <v>61450</v>
      </c>
      <c r="DL295" s="677">
        <v>63010</v>
      </c>
      <c r="DM295" s="677">
        <v>63010</v>
      </c>
      <c r="DN295" s="677"/>
      <c r="DQ295" s="677">
        <v>59890</v>
      </c>
      <c r="DR295" s="677">
        <v>58330</v>
      </c>
      <c r="DS295" s="677"/>
      <c r="DT295" s="677"/>
      <c r="DU295" s="677"/>
    </row>
    <row r="296" spans="21:125" s="481" customFormat="1" ht="15" hidden="1">
      <c r="U296" s="483"/>
      <c r="V296" s="483"/>
      <c r="W296" s="483"/>
      <c r="X296" s="106"/>
      <c r="Y296" s="106"/>
      <c r="Z296" s="106"/>
      <c r="AA296" s="106"/>
      <c r="AB296" s="106"/>
      <c r="AC296" s="483"/>
      <c r="AD296" s="483"/>
      <c r="AE296" s="483"/>
      <c r="AF296" s="483"/>
      <c r="AG296" s="483"/>
      <c r="AH296" s="483"/>
      <c r="BF296" s="506"/>
      <c r="BG296" s="519"/>
      <c r="BH296" s="521">
        <f t="shared" si="68"/>
        <v>44593</v>
      </c>
      <c r="BI296" s="734">
        <f t="shared" si="69"/>
        <v>21820</v>
      </c>
      <c r="BJ296" s="519">
        <f t="shared" si="70"/>
        <v>0</v>
      </c>
      <c r="BK296" s="519"/>
      <c r="BL296" s="507"/>
      <c r="BR296" s="486"/>
      <c r="BS296" s="486"/>
      <c r="BT296" s="735"/>
      <c r="BU296" s="736"/>
      <c r="BV296" s="629"/>
      <c r="BW296" s="629"/>
      <c r="BX296" s="737"/>
      <c r="BY296" s="489">
        <v>15</v>
      </c>
      <c r="BZ296" s="512">
        <v>44256</v>
      </c>
      <c r="CA296" s="490"/>
      <c r="DB296" s="484"/>
      <c r="DC296" s="481">
        <v>51</v>
      </c>
      <c r="DD296" s="677">
        <v>28450</v>
      </c>
      <c r="DE296" s="654">
        <v>56870</v>
      </c>
      <c r="DF296" s="654">
        <v>58330</v>
      </c>
      <c r="DG296" s="677">
        <v>63010</v>
      </c>
      <c r="DI296" s="677">
        <v>59890</v>
      </c>
      <c r="DJ296" s="677">
        <v>63010</v>
      </c>
      <c r="DK296" s="677">
        <v>63010</v>
      </c>
      <c r="DL296" s="677">
        <v>64670</v>
      </c>
      <c r="DM296" s="677">
        <v>64670</v>
      </c>
      <c r="DN296" s="677"/>
      <c r="DQ296" s="677">
        <v>61450</v>
      </c>
      <c r="DR296" s="677">
        <v>59890</v>
      </c>
      <c r="DS296" s="677"/>
      <c r="DT296" s="677"/>
      <c r="DU296" s="677"/>
    </row>
    <row r="297" spans="21:125" s="481" customFormat="1" ht="15" hidden="1">
      <c r="U297" s="483"/>
      <c r="V297" s="483"/>
      <c r="W297" s="483"/>
      <c r="X297" s="106"/>
      <c r="Y297" s="106"/>
      <c r="Z297" s="106"/>
      <c r="AA297" s="106"/>
      <c r="AB297" s="106"/>
      <c r="AC297" s="483"/>
      <c r="AD297" s="483"/>
      <c r="AE297" s="483"/>
      <c r="AF297" s="483"/>
      <c r="AG297" s="483"/>
      <c r="AH297" s="483"/>
      <c r="BH297" s="514"/>
      <c r="BR297" s="486"/>
      <c r="BS297" s="486"/>
      <c r="BT297" s="735"/>
      <c r="BU297" s="629"/>
      <c r="BV297" s="629"/>
      <c r="BW297" s="629"/>
      <c r="BX297" s="737"/>
      <c r="BY297" s="506"/>
      <c r="BZ297" s="519"/>
      <c r="CA297" s="507"/>
      <c r="CD297" s="481" t="s">
        <v>859</v>
      </c>
      <c r="CF297" s="481">
        <f>IF(CL$274=1,AP184,AT183)</f>
        <v>0</v>
      </c>
      <c r="CM297" s="481">
        <f>CF297</f>
        <v>0</v>
      </c>
      <c r="CP297" s="481">
        <f>IF(CF182=2,ROUND(CF297*10%,0),CF297)</f>
        <v>0</v>
      </c>
      <c r="CW297" s="481">
        <f>CP297</f>
        <v>0</v>
      </c>
      <c r="CX297" s="481">
        <f>CM297-CP297</f>
        <v>0</v>
      </c>
      <c r="DB297" s="484"/>
      <c r="DC297" s="481">
        <v>52</v>
      </c>
      <c r="DD297" s="677">
        <v>29200</v>
      </c>
      <c r="DE297" s="654">
        <v>58330</v>
      </c>
      <c r="DF297" s="654">
        <v>59890</v>
      </c>
      <c r="DG297" s="677">
        <v>64670</v>
      </c>
      <c r="DI297" s="677">
        <v>61450</v>
      </c>
      <c r="DJ297" s="677">
        <v>64670</v>
      </c>
      <c r="DK297" s="677">
        <v>64670</v>
      </c>
      <c r="DL297" s="677">
        <v>66330</v>
      </c>
      <c r="DM297" s="677">
        <v>66330</v>
      </c>
      <c r="DN297" s="677"/>
      <c r="DQ297" s="677">
        <v>63010</v>
      </c>
      <c r="DR297" s="677">
        <v>61450</v>
      </c>
      <c r="DS297" s="677"/>
      <c r="DT297" s="677"/>
      <c r="DU297" s="677"/>
    </row>
    <row r="298" spans="21:125" s="481" customFormat="1" ht="15" hidden="1">
      <c r="U298" s="483"/>
      <c r="V298" s="483"/>
      <c r="W298" s="483"/>
      <c r="X298" s="106"/>
      <c r="Y298" s="106"/>
      <c r="Z298" s="106"/>
      <c r="AA298" s="106"/>
      <c r="AB298" s="106"/>
      <c r="AC298" s="483"/>
      <c r="AD298" s="483"/>
      <c r="AE298" s="483"/>
      <c r="AF298" s="483"/>
      <c r="AG298" s="483"/>
      <c r="AH298" s="483"/>
      <c r="BU298" s="482"/>
      <c r="BV298" s="482"/>
      <c r="BW298" s="482"/>
      <c r="BX298" s="738"/>
      <c r="CD298" s="481" t="s">
        <v>760</v>
      </c>
      <c r="CM298" s="481">
        <f>CF298</f>
        <v>0</v>
      </c>
      <c r="CP298" s="481">
        <f>IF(CF182=2,ROUND(CF298*10%,0),CD309)</f>
        <v>0</v>
      </c>
      <c r="CW298" s="481">
        <f>CP298</f>
        <v>0</v>
      </c>
      <c r="CX298" s="481">
        <f>CM298-CP298</f>
        <v>0</v>
      </c>
      <c r="DB298" s="484"/>
      <c r="DC298" s="481">
        <v>53</v>
      </c>
      <c r="DD298" s="677">
        <v>29950</v>
      </c>
      <c r="DE298" s="654">
        <v>59890</v>
      </c>
      <c r="DF298" s="654">
        <v>61450</v>
      </c>
      <c r="DG298" s="677">
        <v>66330</v>
      </c>
      <c r="DI298" s="677">
        <v>63010</v>
      </c>
      <c r="DJ298" s="677">
        <v>66330</v>
      </c>
      <c r="DK298" s="677">
        <v>66330</v>
      </c>
      <c r="DL298" s="677">
        <v>67990</v>
      </c>
      <c r="DM298" s="677">
        <v>67990</v>
      </c>
      <c r="DN298" s="677"/>
      <c r="DQ298" s="677">
        <v>64670</v>
      </c>
      <c r="DR298" s="677">
        <v>63010</v>
      </c>
      <c r="DS298" s="677"/>
      <c r="DT298" s="677"/>
      <c r="DU298" s="677"/>
    </row>
    <row r="299" spans="21:125" s="481" customFormat="1" ht="15" hidden="1">
      <c r="U299" s="483"/>
      <c r="V299" s="483"/>
      <c r="W299" s="483"/>
      <c r="X299" s="106"/>
      <c r="Y299" s="106"/>
      <c r="Z299" s="106"/>
      <c r="AA299" s="106"/>
      <c r="AB299" s="106"/>
      <c r="AC299" s="483"/>
      <c r="AD299" s="483"/>
      <c r="AE299" s="483"/>
      <c r="AF299" s="483"/>
      <c r="AG299" s="483"/>
      <c r="AH299" s="483"/>
      <c r="BB299" s="514">
        <v>44197</v>
      </c>
      <c r="BC299" s="481">
        <f>BP261</f>
        <v>21230</v>
      </c>
      <c r="BD299" s="481">
        <f>CG281</f>
        <v>4246</v>
      </c>
      <c r="BE299" s="481">
        <f>IF(BC$290=1,BE$294,BD299)</f>
        <v>4246</v>
      </c>
      <c r="BR299" s="486"/>
      <c r="BS299" s="486"/>
      <c r="BT299" s="486"/>
      <c r="BU299" s="629"/>
      <c r="BV299" s="629"/>
      <c r="BW299" s="629"/>
      <c r="BX299" s="629"/>
      <c r="BY299" s="486"/>
      <c r="CD299" s="481" t="s">
        <v>788</v>
      </c>
      <c r="CM299" s="481">
        <f>CF299</f>
        <v>0</v>
      </c>
      <c r="CP299" s="481">
        <f>IF(CF182=2,ROUND(CF299*10%,0),CD310)</f>
        <v>0</v>
      </c>
      <c r="CW299" s="481">
        <f>CP299</f>
        <v>0</v>
      </c>
      <c r="CX299" s="481">
        <f>CM299-CP299</f>
        <v>0</v>
      </c>
      <c r="DB299" s="484"/>
      <c r="DC299" s="481">
        <v>54</v>
      </c>
      <c r="DD299" s="677">
        <v>30750</v>
      </c>
      <c r="DE299" s="654">
        <v>61450</v>
      </c>
      <c r="DF299" s="654">
        <v>63010</v>
      </c>
      <c r="DG299" s="677">
        <v>67990</v>
      </c>
      <c r="DI299" s="677">
        <v>64670</v>
      </c>
      <c r="DJ299" s="677">
        <v>67990</v>
      </c>
      <c r="DK299" s="677">
        <v>67990</v>
      </c>
      <c r="DL299" s="677">
        <v>69750</v>
      </c>
      <c r="DM299" s="677">
        <v>69750</v>
      </c>
      <c r="DN299" s="677"/>
      <c r="DQ299" s="677">
        <v>66330</v>
      </c>
      <c r="DR299" s="677">
        <v>64670</v>
      </c>
      <c r="DS299" s="677"/>
      <c r="DT299" s="677"/>
      <c r="DU299" s="677"/>
    </row>
    <row r="300" spans="21:125" s="481" customFormat="1" ht="15" hidden="1">
      <c r="U300" s="483"/>
      <c r="V300" s="483"/>
      <c r="W300" s="483"/>
      <c r="X300" s="106"/>
      <c r="Y300" s="106"/>
      <c r="Z300" s="106"/>
      <c r="AA300" s="106"/>
      <c r="AB300" s="106"/>
      <c r="AC300" s="483"/>
      <c r="AD300" s="483"/>
      <c r="AE300" s="483"/>
      <c r="AF300" s="483"/>
      <c r="AG300" s="483"/>
      <c r="AH300" s="483"/>
      <c r="BB300" s="514">
        <v>44228</v>
      </c>
      <c r="BC300" s="481">
        <f t="shared" ref="BC300:BC312" si="80">BP262</f>
        <v>21230</v>
      </c>
      <c r="BD300" s="481">
        <f t="shared" ref="BD300:BD312" si="81">CG282</f>
        <v>4246</v>
      </c>
      <c r="BE300" s="481">
        <f>IF(BC$290=2,BE$294,BD300)</f>
        <v>4246</v>
      </c>
      <c r="BH300" s="502">
        <v>44348</v>
      </c>
      <c r="BI300" s="481" t="str">
        <f>IF(CL$274=2,"","")</f>
        <v/>
      </c>
      <c r="BJ300" s="481">
        <f>IF(BI300="",0,IF(CF$182=2,#REF!,BI300))</f>
        <v>0</v>
      </c>
      <c r="BR300" s="486"/>
      <c r="BS300" s="486"/>
      <c r="BT300" s="486"/>
      <c r="BU300" s="628"/>
      <c r="BV300" s="629"/>
      <c r="BW300" s="629"/>
      <c r="BX300" s="629"/>
      <c r="BY300" s="486"/>
      <c r="CD300" s="481" t="s">
        <v>256</v>
      </c>
      <c r="CE300" s="481" t="str">
        <f>BH280</f>
        <v/>
      </c>
      <c r="CF300" s="481" t="str">
        <f>BI282</f>
        <v/>
      </c>
      <c r="CG300" s="481" t="str">
        <f>BJ282</f>
        <v/>
      </c>
      <c r="CJ300" s="481" t="str">
        <f>IF(BL285=0,"",BL285)</f>
        <v/>
      </c>
      <c r="CM300" s="481">
        <f>SUM(CE300:CL300)</f>
        <v>0</v>
      </c>
      <c r="CX300" s="481">
        <f>CM300</f>
        <v>0</v>
      </c>
      <c r="DB300" s="484"/>
      <c r="DC300" s="481">
        <v>55</v>
      </c>
      <c r="DD300" s="677">
        <v>31550</v>
      </c>
      <c r="DE300" s="654">
        <v>63010</v>
      </c>
      <c r="DF300" s="654">
        <v>64670</v>
      </c>
      <c r="DG300" s="677">
        <v>69750</v>
      </c>
      <c r="DI300" s="677">
        <v>66330</v>
      </c>
      <c r="DJ300" s="677">
        <v>69750</v>
      </c>
      <c r="DK300" s="677">
        <v>69750</v>
      </c>
      <c r="DL300" s="677">
        <v>71510</v>
      </c>
      <c r="DM300" s="677">
        <v>71510</v>
      </c>
      <c r="DQ300" s="677">
        <v>67990</v>
      </c>
      <c r="DR300" s="677">
        <v>66330</v>
      </c>
      <c r="DS300" s="677"/>
      <c r="DT300" s="677"/>
      <c r="DU300" s="677"/>
    </row>
    <row r="301" spans="21:125" s="481" customFormat="1" ht="15" hidden="1">
      <c r="U301" s="483"/>
      <c r="V301" s="483"/>
      <c r="W301" s="483"/>
      <c r="X301" s="106"/>
      <c r="Y301" s="106"/>
      <c r="Z301" s="106"/>
      <c r="AA301" s="106"/>
      <c r="AB301" s="106"/>
      <c r="AC301" s="483"/>
      <c r="AD301" s="483"/>
      <c r="AE301" s="483"/>
      <c r="AF301" s="483"/>
      <c r="AG301" s="483"/>
      <c r="AH301" s="483"/>
      <c r="BB301" s="514">
        <v>44256</v>
      </c>
      <c r="BC301" s="481">
        <f t="shared" si="80"/>
        <v>21230</v>
      </c>
      <c r="BD301" s="481">
        <f t="shared" si="81"/>
        <v>4246</v>
      </c>
      <c r="BE301" s="481">
        <f>IF(BC$290=3,BE$294,BD301)</f>
        <v>4246</v>
      </c>
      <c r="BH301" s="502">
        <v>44378</v>
      </c>
      <c r="BI301" s="481" t="str">
        <f t="shared" ref="BI301:BI308" si="82">IF(CL$274=2,"","")</f>
        <v/>
      </c>
      <c r="BJ301" s="481">
        <f>IF(BI301="",0,IF(CF$182=2,#REF!,BI301))</f>
        <v>0</v>
      </c>
      <c r="BR301" s="486"/>
      <c r="BS301" s="486"/>
      <c r="BT301" s="486"/>
      <c r="BU301" s="633"/>
      <c r="BV301" s="629"/>
      <c r="BW301" s="629"/>
      <c r="BX301" s="629"/>
      <c r="BY301" s="486"/>
      <c r="CD301" s="481">
        <f>J35</f>
        <v>0</v>
      </c>
      <c r="DB301" s="484"/>
      <c r="DC301" s="481">
        <v>56</v>
      </c>
      <c r="DD301" s="677">
        <v>32350</v>
      </c>
      <c r="DE301" s="654">
        <v>64670</v>
      </c>
      <c r="DF301" s="654">
        <v>66330</v>
      </c>
      <c r="DG301" s="677">
        <v>71510</v>
      </c>
      <c r="DI301" s="677">
        <v>67990</v>
      </c>
      <c r="DJ301" s="677">
        <v>71510</v>
      </c>
      <c r="DK301" s="677">
        <v>71510</v>
      </c>
      <c r="DL301" s="677">
        <v>73270</v>
      </c>
      <c r="DM301" s="677">
        <v>73270</v>
      </c>
      <c r="DQ301" s="677">
        <v>69750</v>
      </c>
      <c r="DR301" s="677">
        <v>67990</v>
      </c>
      <c r="DS301" s="677"/>
      <c r="DT301" s="677"/>
      <c r="DU301" s="677"/>
    </row>
    <row r="302" spans="21:125" s="481" customFormat="1" ht="15" hidden="1">
      <c r="U302" s="483"/>
      <c r="V302" s="483"/>
      <c r="W302" s="483"/>
      <c r="X302" s="106"/>
      <c r="Y302" s="106"/>
      <c r="Z302" s="106"/>
      <c r="AA302" s="106"/>
      <c r="AB302" s="106"/>
      <c r="AC302" s="483"/>
      <c r="AD302" s="483"/>
      <c r="AE302" s="483"/>
      <c r="AF302" s="483"/>
      <c r="AG302" s="483"/>
      <c r="AH302" s="483"/>
      <c r="BB302" s="514">
        <v>44287</v>
      </c>
      <c r="BC302" s="481">
        <f t="shared" si="80"/>
        <v>21230</v>
      </c>
      <c r="BD302" s="481">
        <f t="shared" si="81"/>
        <v>4246</v>
      </c>
      <c r="BE302" s="481">
        <f>IF(BC$290=4,BE$294,BD302)</f>
        <v>4246</v>
      </c>
      <c r="BH302" s="502">
        <v>44409</v>
      </c>
      <c r="BI302" s="481" t="str">
        <f t="shared" si="82"/>
        <v/>
      </c>
      <c r="BJ302" s="481">
        <f>IF(BI302="",0,IF(CF$182=2,#REF!,BI302))</f>
        <v>0</v>
      </c>
      <c r="BR302" s="486"/>
      <c r="BS302" s="486"/>
      <c r="BT302" s="486"/>
      <c r="BU302" s="633"/>
      <c r="BV302" s="629"/>
      <c r="BW302" s="629"/>
      <c r="BX302" s="629"/>
      <c r="BY302" s="486"/>
      <c r="CH302" s="481" t="s">
        <v>818</v>
      </c>
      <c r="CI302" s="481" t="s">
        <v>373</v>
      </c>
      <c r="CJ302" s="481" t="s">
        <v>817</v>
      </c>
      <c r="CK302" s="481" t="s">
        <v>374</v>
      </c>
      <c r="DB302" s="484"/>
      <c r="DC302" s="481">
        <v>57</v>
      </c>
      <c r="DD302" s="677">
        <v>33200</v>
      </c>
      <c r="DE302" s="654">
        <v>66330</v>
      </c>
      <c r="DF302" s="654">
        <v>67990</v>
      </c>
      <c r="DG302" s="677">
        <v>73270</v>
      </c>
      <c r="DI302" s="677">
        <v>69750</v>
      </c>
      <c r="DJ302" s="677">
        <v>73270</v>
      </c>
      <c r="DK302" s="677">
        <v>73270</v>
      </c>
      <c r="DL302" s="677">
        <v>75150</v>
      </c>
      <c r="DM302" s="677">
        <v>75150</v>
      </c>
      <c r="DQ302" s="677">
        <v>71510</v>
      </c>
      <c r="DR302" s="677">
        <v>69750</v>
      </c>
      <c r="DS302" s="677"/>
      <c r="DT302" s="677"/>
      <c r="DU302" s="677"/>
    </row>
    <row r="303" spans="21:125" s="481" customFormat="1" ht="15" hidden="1">
      <c r="U303" s="483"/>
      <c r="V303" s="483"/>
      <c r="W303" s="483"/>
      <c r="X303" s="106"/>
      <c r="Y303" s="106"/>
      <c r="Z303" s="106"/>
      <c r="AA303" s="106"/>
      <c r="AB303" s="106"/>
      <c r="AC303" s="483"/>
      <c r="AD303" s="483"/>
      <c r="AE303" s="483"/>
      <c r="AF303" s="483"/>
      <c r="AG303" s="483"/>
      <c r="AH303" s="483"/>
      <c r="BB303" s="514">
        <v>44317</v>
      </c>
      <c r="BC303" s="481">
        <f t="shared" si="80"/>
        <v>21230</v>
      </c>
      <c r="BD303" s="481">
        <f t="shared" si="81"/>
        <v>4246</v>
      </c>
      <c r="BE303" s="481">
        <f>IF(BC$290=5,BE$294,BD303)</f>
        <v>4246</v>
      </c>
      <c r="BH303" s="502">
        <v>44440</v>
      </c>
      <c r="BI303" s="481" t="str">
        <f t="shared" si="82"/>
        <v/>
      </c>
      <c r="BJ303" s="481">
        <f>IF(BI303="",0,IF(CF$182=2,#REF!,BI303))</f>
        <v>0</v>
      </c>
      <c r="BR303" s="486"/>
      <c r="BS303" s="486"/>
      <c r="BT303" s="486"/>
      <c r="BU303" s="629"/>
      <c r="BV303" s="629"/>
      <c r="BW303" s="629"/>
      <c r="BX303" s="629"/>
      <c r="BY303" s="486"/>
      <c r="CC303" s="1864" t="str">
        <f>BZ250</f>
        <v/>
      </c>
      <c r="CD303" s="1864"/>
      <c r="CE303" s="481" t="str">
        <f>BU254</f>
        <v/>
      </c>
      <c r="CF303" s="481" t="str">
        <f>CB250</f>
        <v/>
      </c>
      <c r="CG303" s="481" t="str">
        <f>CD250</f>
        <v/>
      </c>
      <c r="CH303" s="481" t="str">
        <f>BY254</f>
        <v/>
      </c>
      <c r="CI303" s="481" t="str">
        <f>BX254</f>
        <v/>
      </c>
      <c r="CJ303" s="481" t="str">
        <f>CH257</f>
        <v/>
      </c>
      <c r="CK303" s="481" t="str">
        <f>IF(CE303="","",ROUND(CE303*27%,0))</f>
        <v/>
      </c>
      <c r="CM303" s="481">
        <f>SUM(CE303:CL303)</f>
        <v>0</v>
      </c>
      <c r="CN303" s="481" t="str">
        <f>IF(CE303="","",CE303+CF303)</f>
        <v/>
      </c>
      <c r="CO303" s="481" t="str">
        <f>IF(CN303="","",IF(CF$182=2,ROUND(CN303*10%,0),""))</f>
        <v/>
      </c>
      <c r="DB303" s="484"/>
      <c r="DC303" s="481">
        <v>58</v>
      </c>
      <c r="DD303" s="677">
        <v>34050</v>
      </c>
      <c r="DE303" s="654">
        <v>67990</v>
      </c>
      <c r="DF303" s="654">
        <v>69750</v>
      </c>
      <c r="DG303" s="677">
        <v>75150</v>
      </c>
      <c r="DI303" s="677">
        <v>71510</v>
      </c>
      <c r="DJ303" s="677">
        <v>75150</v>
      </c>
      <c r="DK303" s="677">
        <v>75150</v>
      </c>
      <c r="DL303" s="677">
        <v>77030</v>
      </c>
      <c r="DM303" s="677">
        <v>77030</v>
      </c>
      <c r="DQ303" s="677">
        <v>73270</v>
      </c>
      <c r="DR303" s="677">
        <v>71510</v>
      </c>
      <c r="DS303" s="677"/>
      <c r="DT303" s="677"/>
      <c r="DU303" s="677"/>
    </row>
    <row r="304" spans="21:125" s="481" customFormat="1" ht="15" hidden="1">
      <c r="U304" s="483"/>
      <c r="V304" s="483"/>
      <c r="W304" s="483"/>
      <c r="X304" s="106"/>
      <c r="Y304" s="106"/>
      <c r="Z304" s="106"/>
      <c r="AA304" s="106"/>
      <c r="AB304" s="106"/>
      <c r="AC304" s="483"/>
      <c r="AD304" s="483"/>
      <c r="AE304" s="483"/>
      <c r="AF304" s="483"/>
      <c r="AG304" s="483"/>
      <c r="AH304" s="483"/>
      <c r="BB304" s="514">
        <v>44348</v>
      </c>
      <c r="BC304" s="481">
        <f t="shared" si="80"/>
        <v>21230</v>
      </c>
      <c r="BD304" s="481">
        <f t="shared" si="81"/>
        <v>4246</v>
      </c>
      <c r="BE304" s="481">
        <f>IF(BC$290=6,BE$294,BD304)</f>
        <v>4246</v>
      </c>
      <c r="BH304" s="502">
        <v>44470</v>
      </c>
      <c r="BI304" s="481" t="str">
        <f t="shared" si="82"/>
        <v/>
      </c>
      <c r="BJ304" s="481">
        <f>IF(BI304="",0,IF(CF$182=2,#REF!,BI304))</f>
        <v>0</v>
      </c>
      <c r="BR304" s="486"/>
      <c r="BS304" s="486"/>
      <c r="BT304" s="486"/>
      <c r="BU304" s="629"/>
      <c r="BV304" s="629"/>
      <c r="BW304" s="629"/>
      <c r="BX304" s="629"/>
      <c r="BY304" s="486"/>
      <c r="CC304" s="1864" t="str">
        <f>BZ251</f>
        <v/>
      </c>
      <c r="CD304" s="1864"/>
      <c r="CE304" s="481" t="str">
        <f>BU255</f>
        <v/>
      </c>
      <c r="CF304" s="481" t="str">
        <f>CB251</f>
        <v/>
      </c>
      <c r="CG304" s="481" t="str">
        <f>CD251</f>
        <v/>
      </c>
      <c r="CH304" s="481">
        <f>BY255</f>
        <v>0</v>
      </c>
      <c r="CI304" s="481">
        <f>BX255</f>
        <v>0</v>
      </c>
      <c r="CJ304" s="481" t="str">
        <f>IF(CH258=0,"",CH258)</f>
        <v/>
      </c>
      <c r="CK304" s="481" t="str">
        <f>IF(CL274=1,CK305,0)</f>
        <v/>
      </c>
      <c r="CN304" s="481" t="str">
        <f>IF(CE304="","",CE304+CF304)</f>
        <v/>
      </c>
      <c r="CO304" s="481" t="str">
        <f>IF(CN304="","",IF(CF$182=2,ROUND(CN304*10%,0),""))</f>
        <v/>
      </c>
      <c r="DB304" s="484"/>
      <c r="DC304" s="481">
        <v>59</v>
      </c>
      <c r="DD304" s="677">
        <v>34900</v>
      </c>
      <c r="DE304" s="654">
        <v>69750</v>
      </c>
      <c r="DF304" s="654">
        <v>71510</v>
      </c>
      <c r="DG304" s="677">
        <v>77030</v>
      </c>
      <c r="DI304" s="677">
        <v>73270</v>
      </c>
      <c r="DJ304" s="677">
        <v>77030</v>
      </c>
      <c r="DK304" s="677">
        <v>77030</v>
      </c>
      <c r="DL304" s="677">
        <v>78910</v>
      </c>
      <c r="DM304" s="677">
        <v>78910</v>
      </c>
      <c r="DQ304" s="677">
        <v>75150</v>
      </c>
      <c r="DR304" s="677">
        <v>73270</v>
      </c>
      <c r="DS304" s="677"/>
      <c r="DT304" s="677"/>
      <c r="DU304" s="677"/>
    </row>
    <row r="305" spans="21:125" s="481" customFormat="1" ht="15" hidden="1">
      <c r="U305" s="483"/>
      <c r="V305" s="483"/>
      <c r="W305" s="483"/>
      <c r="X305" s="106"/>
      <c r="Y305" s="106"/>
      <c r="Z305" s="106"/>
      <c r="AA305" s="106"/>
      <c r="AB305" s="106"/>
      <c r="AC305" s="483"/>
      <c r="AD305" s="483"/>
      <c r="AE305" s="483"/>
      <c r="AF305" s="483"/>
      <c r="AG305" s="483"/>
      <c r="AH305" s="483"/>
      <c r="BB305" s="514">
        <v>44378</v>
      </c>
      <c r="BC305" s="481">
        <f t="shared" si="80"/>
        <v>21230</v>
      </c>
      <c r="BD305" s="481">
        <f t="shared" si="81"/>
        <v>4246</v>
      </c>
      <c r="BE305" s="481">
        <f>IF(BC$290=7,BE$294,BD305)</f>
        <v>4246</v>
      </c>
      <c r="BH305" s="502">
        <v>44501</v>
      </c>
      <c r="BI305" s="481" t="str">
        <f t="shared" si="82"/>
        <v/>
      </c>
      <c r="BJ305" s="481">
        <f>IF(BI305="",0,IF(CF$182=2,#REF!,BI305))</f>
        <v>0</v>
      </c>
      <c r="BR305" s="486"/>
      <c r="BS305" s="486"/>
      <c r="BT305" s="486"/>
      <c r="BU305" s="629"/>
      <c r="BV305" s="629"/>
      <c r="BW305" s="629"/>
      <c r="BX305" s="629"/>
      <c r="BY305" s="486"/>
      <c r="CC305" s="739" t="str">
        <f>BZ252</f>
        <v/>
      </c>
      <c r="CD305" s="739"/>
      <c r="CE305" s="481" t="str">
        <f>BU256</f>
        <v/>
      </c>
      <c r="CF305" s="481" t="str">
        <f>CB252</f>
        <v/>
      </c>
      <c r="CG305" s="481" t="str">
        <f>CD252</f>
        <v/>
      </c>
      <c r="CH305" s="481">
        <f>BY256</f>
        <v>0</v>
      </c>
      <c r="CI305" s="481">
        <f>BX256</f>
        <v>0</v>
      </c>
      <c r="CJ305" s="481" t="str">
        <f>IF(CH259=0,"",CH259)</f>
        <v/>
      </c>
      <c r="CK305" s="481" t="str">
        <f>IF(CE304="","",ROUND(CE304*27%,0))</f>
        <v/>
      </c>
      <c r="CN305" s="481" t="str">
        <f>IF(CE305="","",CE305+CF305)</f>
        <v/>
      </c>
      <c r="CO305" s="481" t="str">
        <f>IF(CN305="","",IF(CF$182=2,ROUND(CN305*10%,0),""))</f>
        <v/>
      </c>
      <c r="DB305" s="484"/>
      <c r="DC305" s="481">
        <v>60</v>
      </c>
      <c r="DD305" s="677">
        <v>35800</v>
      </c>
      <c r="DE305" s="654">
        <v>71510</v>
      </c>
      <c r="DF305" s="654">
        <v>73270</v>
      </c>
      <c r="DG305" s="677">
        <v>78910</v>
      </c>
      <c r="DI305" s="677">
        <v>75150</v>
      </c>
      <c r="DJ305" s="677">
        <v>78910</v>
      </c>
      <c r="DK305" s="677">
        <v>78910</v>
      </c>
      <c r="DL305" s="677">
        <v>80930</v>
      </c>
      <c r="DM305" s="677">
        <v>80930</v>
      </c>
      <c r="DQ305" s="677">
        <v>77030</v>
      </c>
      <c r="DR305" s="677">
        <v>75150</v>
      </c>
      <c r="DS305" s="677"/>
      <c r="DT305" s="677"/>
      <c r="DU305" s="677"/>
    </row>
    <row r="306" spans="21:125" s="481" customFormat="1" ht="15" hidden="1">
      <c r="U306" s="483"/>
      <c r="V306" s="483"/>
      <c r="W306" s="483"/>
      <c r="X306" s="106"/>
      <c r="Y306" s="106"/>
      <c r="Z306" s="106"/>
      <c r="AA306" s="106"/>
      <c r="AB306" s="106"/>
      <c r="AC306" s="483"/>
      <c r="AD306" s="483"/>
      <c r="AE306" s="483"/>
      <c r="AF306" s="483"/>
      <c r="AG306" s="483"/>
      <c r="AH306" s="483"/>
      <c r="BB306" s="514">
        <v>44409</v>
      </c>
      <c r="BC306" s="481">
        <f t="shared" si="80"/>
        <v>21820</v>
      </c>
      <c r="BD306" s="481">
        <f t="shared" si="81"/>
        <v>4364</v>
      </c>
      <c r="BE306" s="481">
        <f>IF(BC$290=8,BE$294,BD306)</f>
        <v>4364</v>
      </c>
      <c r="BH306" s="502">
        <v>44531</v>
      </c>
      <c r="BI306" s="481" t="str">
        <f t="shared" si="82"/>
        <v/>
      </c>
      <c r="BJ306" s="481">
        <f>IF(BI306="",0,IF(CF$182=2,#REF!,BI306))</f>
        <v>0</v>
      </c>
      <c r="BR306" s="486"/>
      <c r="BS306" s="486"/>
      <c r="BT306" s="486"/>
      <c r="BU306" s="629"/>
      <c r="BV306" s="629"/>
      <c r="BW306" s="629"/>
      <c r="BX306" s="629"/>
      <c r="BY306" s="486"/>
      <c r="CF306" s="482"/>
      <c r="DB306" s="484"/>
      <c r="DC306" s="481">
        <v>61</v>
      </c>
      <c r="DD306" s="677">
        <v>36700</v>
      </c>
      <c r="DE306" s="654">
        <v>73270</v>
      </c>
      <c r="DF306" s="654">
        <v>75150</v>
      </c>
      <c r="DG306" s="677">
        <v>80930</v>
      </c>
      <c r="DI306" s="677">
        <v>77030</v>
      </c>
      <c r="DJ306" s="677">
        <v>80930</v>
      </c>
      <c r="DK306" s="677">
        <v>80930</v>
      </c>
      <c r="DL306" s="677">
        <v>82950</v>
      </c>
      <c r="DM306" s="677">
        <v>82950</v>
      </c>
      <c r="DQ306" s="677">
        <v>78910</v>
      </c>
      <c r="DR306" s="677">
        <v>77030</v>
      </c>
      <c r="DS306" s="677"/>
      <c r="DT306" s="677"/>
      <c r="DU306" s="677"/>
    </row>
    <row r="307" spans="21:125" s="481" customFormat="1" ht="15" hidden="1">
      <c r="U307" s="483"/>
      <c r="V307" s="483"/>
      <c r="W307" s="483"/>
      <c r="X307" s="106"/>
      <c r="Y307" s="106"/>
      <c r="Z307" s="106"/>
      <c r="AA307" s="106"/>
      <c r="AB307" s="106"/>
      <c r="AC307" s="483"/>
      <c r="AD307" s="483"/>
      <c r="AE307" s="483"/>
      <c r="AF307" s="483"/>
      <c r="AG307" s="483"/>
      <c r="AH307" s="483"/>
      <c r="BB307" s="514">
        <v>44440</v>
      </c>
      <c r="BC307" s="481">
        <f t="shared" si="80"/>
        <v>21820</v>
      </c>
      <c r="BD307" s="481">
        <f t="shared" si="81"/>
        <v>4364</v>
      </c>
      <c r="BE307" s="481">
        <f>IF(BC$290=9,BE$294,BD307)</f>
        <v>4364</v>
      </c>
      <c r="BH307" s="502">
        <v>44562</v>
      </c>
      <c r="BI307" s="481" t="str">
        <f t="shared" si="82"/>
        <v/>
      </c>
      <c r="BJ307" s="481">
        <f>IF(BI307="",0,IF(CF$182=2,#REF!,BI307))</f>
        <v>0</v>
      </c>
      <c r="BR307" s="486"/>
      <c r="BS307" s="486"/>
      <c r="BT307" s="486"/>
      <c r="BU307" s="629"/>
      <c r="BV307" s="629"/>
      <c r="BW307" s="629"/>
      <c r="BX307" s="629"/>
      <c r="BY307" s="486"/>
      <c r="CF307" s="482"/>
      <c r="CI307" s="505"/>
      <c r="CJ307" s="740"/>
      <c r="CK307" s="741"/>
      <c r="CL307" s="741"/>
      <c r="CM307" s="741"/>
      <c r="CN307" s="741"/>
      <c r="CO307" s="741"/>
      <c r="CP307" s="741"/>
      <c r="CQ307" s="741"/>
      <c r="CR307" s="741"/>
      <c r="CS307" s="741"/>
      <c r="CT307" s="741"/>
      <c r="CU307" s="741"/>
      <c r="CV307" s="741"/>
      <c r="CW307" s="741"/>
      <c r="CX307" s="741"/>
      <c r="CY307" s="741"/>
      <c r="CZ307" s="742"/>
      <c r="DC307" s="481">
        <v>62</v>
      </c>
      <c r="DD307" s="677">
        <v>37600</v>
      </c>
      <c r="DE307" s="654">
        <v>75150</v>
      </c>
      <c r="DF307" s="654">
        <v>77030</v>
      </c>
      <c r="DG307" s="677">
        <v>82950</v>
      </c>
      <c r="DI307" s="677">
        <v>78910</v>
      </c>
      <c r="DJ307" s="677">
        <v>82950</v>
      </c>
      <c r="DK307" s="677">
        <v>82950</v>
      </c>
      <c r="DL307" s="677">
        <v>84970</v>
      </c>
      <c r="DM307" s="677">
        <v>84970</v>
      </c>
      <c r="DQ307" s="677">
        <v>80930</v>
      </c>
      <c r="DR307" s="677">
        <v>78910</v>
      </c>
      <c r="DS307" s="677"/>
      <c r="DT307" s="677"/>
      <c r="DU307" s="677"/>
    </row>
    <row r="308" spans="21:125" s="481" customFormat="1" ht="15" hidden="1">
      <c r="U308" s="483"/>
      <c r="V308" s="483"/>
      <c r="W308" s="483"/>
      <c r="X308" s="106"/>
      <c r="Y308" s="106"/>
      <c r="Z308" s="106"/>
      <c r="AA308" s="106"/>
      <c r="AB308" s="106"/>
      <c r="AC308" s="483"/>
      <c r="AD308" s="483"/>
      <c r="AE308" s="483"/>
      <c r="AF308" s="483"/>
      <c r="AG308" s="483"/>
      <c r="AH308" s="483"/>
      <c r="BB308" s="514">
        <v>44470</v>
      </c>
      <c r="BC308" s="481">
        <f t="shared" si="80"/>
        <v>21820</v>
      </c>
      <c r="BD308" s="481">
        <f t="shared" si="81"/>
        <v>4364</v>
      </c>
      <c r="BE308" s="481">
        <f>IF(BC$290=10,BE$294,BD308)</f>
        <v>4364</v>
      </c>
      <c r="BH308" s="502">
        <v>44593</v>
      </c>
      <c r="BI308" s="481" t="str">
        <f t="shared" si="82"/>
        <v/>
      </c>
      <c r="BJ308" s="481">
        <f>IF(BI308="",0,IF(CF$182=2,#REF!,BI308))</f>
        <v>0</v>
      </c>
      <c r="BR308" s="486"/>
      <c r="BS308" s="486"/>
      <c r="BT308" s="486"/>
      <c r="BU308" s="629"/>
      <c r="BV308" s="629"/>
      <c r="BW308" s="629"/>
      <c r="BX308" s="629"/>
      <c r="BY308" s="486"/>
      <c r="CF308" s="482">
        <v>15000</v>
      </c>
      <c r="CH308" s="481" t="s">
        <v>923</v>
      </c>
      <c r="CI308" s="505" t="s">
        <v>387</v>
      </c>
      <c r="CJ308" s="743"/>
      <c r="CK308" s="486"/>
      <c r="CL308" s="486" t="s">
        <v>11</v>
      </c>
      <c r="CM308" s="486" t="s">
        <v>12</v>
      </c>
      <c r="CN308" s="486" t="s">
        <v>13</v>
      </c>
      <c r="CO308" s="486" t="s">
        <v>374</v>
      </c>
      <c r="CP308" s="486" t="s">
        <v>10</v>
      </c>
      <c r="CQ308" s="486" t="str">
        <f t="shared" ref="CQ308:CV308" si="83">CP282</f>
        <v>PF</v>
      </c>
      <c r="CR308" s="486" t="str">
        <f t="shared" si="83"/>
        <v>APGLI</v>
      </c>
      <c r="CS308" s="486" t="str">
        <f t="shared" si="83"/>
        <v>Ptax</v>
      </c>
      <c r="CT308" s="486" t="str">
        <f t="shared" si="83"/>
        <v>GIS</v>
      </c>
      <c r="CU308" s="486" t="str">
        <f t="shared" si="83"/>
        <v>SWF/EWF</v>
      </c>
      <c r="CV308" s="486" t="str">
        <f t="shared" si="83"/>
        <v>Advance Tax</v>
      </c>
      <c r="CW308" s="735" t="s">
        <v>899</v>
      </c>
      <c r="CX308" s="486" t="s">
        <v>373</v>
      </c>
      <c r="CY308" s="486" t="s">
        <v>900</v>
      </c>
      <c r="CZ308" s="744" t="s">
        <v>377</v>
      </c>
      <c r="DA308" s="481" t="s">
        <v>901</v>
      </c>
      <c r="DB308" s="481" t="s">
        <v>921</v>
      </c>
      <c r="DC308" s="481">
        <v>63</v>
      </c>
      <c r="DD308" s="677">
        <v>38570</v>
      </c>
      <c r="DE308" s="654">
        <v>77030</v>
      </c>
      <c r="DF308" s="654">
        <v>78910</v>
      </c>
      <c r="DG308" s="677">
        <v>84970</v>
      </c>
      <c r="DI308" s="677">
        <v>80930</v>
      </c>
      <c r="DJ308" s="677">
        <v>84970</v>
      </c>
      <c r="DK308" s="677">
        <v>84970</v>
      </c>
      <c r="DL308" s="677">
        <v>87130</v>
      </c>
      <c r="DM308" s="677">
        <v>87130</v>
      </c>
      <c r="DQ308" s="677">
        <v>82950</v>
      </c>
      <c r="DR308" s="677">
        <v>80930</v>
      </c>
      <c r="DS308" s="677"/>
      <c r="DT308" s="677"/>
      <c r="DU308" s="677"/>
    </row>
    <row r="309" spans="21:125" s="481" customFormat="1" ht="15" hidden="1">
      <c r="U309" s="483"/>
      <c r="V309" s="483"/>
      <c r="W309" s="483"/>
      <c r="X309" s="106"/>
      <c r="Y309" s="106"/>
      <c r="Z309" s="106"/>
      <c r="AA309" s="106"/>
      <c r="AB309" s="106"/>
      <c r="AC309" s="483"/>
      <c r="AD309" s="483"/>
      <c r="AE309" s="483"/>
      <c r="AF309" s="483"/>
      <c r="AG309" s="483"/>
      <c r="AH309" s="483"/>
      <c r="BB309" s="514">
        <v>44501</v>
      </c>
      <c r="BC309" s="481">
        <f t="shared" si="80"/>
        <v>21820</v>
      </c>
      <c r="BD309" s="481">
        <f t="shared" si="81"/>
        <v>4364</v>
      </c>
      <c r="BE309" s="481">
        <f>IF(BC$290=11,BE$294,BD309)</f>
        <v>4364</v>
      </c>
      <c r="BR309" s="745"/>
      <c r="BS309" s="746"/>
      <c r="BT309" s="486"/>
      <c r="BU309" s="486"/>
      <c r="BV309" s="486"/>
      <c r="BW309" s="486"/>
      <c r="BX309" s="486"/>
      <c r="BY309" s="486"/>
      <c r="CE309" s="502">
        <v>44256</v>
      </c>
      <c r="CF309" s="482">
        <f>IF(CG283&gt;=CF$308,CF$308,(CG283))</f>
        <v>4246</v>
      </c>
      <c r="CI309" s="492">
        <f>DF164</f>
        <v>0</v>
      </c>
      <c r="CJ309" s="743">
        <f>BR263</f>
        <v>21230</v>
      </c>
      <c r="CK309" s="486">
        <f>IF(CL274=1,ROUND(CJ309*BS267,0),ROUND(CJ309*BX261,0))</f>
        <v>6452</v>
      </c>
      <c r="CL309" s="486">
        <f t="shared" ref="CL309:CN310" si="84">CE283</f>
        <v>21230</v>
      </c>
      <c r="CM309" s="486">
        <f t="shared" si="84"/>
        <v>6452</v>
      </c>
      <c r="CN309" s="486">
        <f t="shared" si="84"/>
        <v>4246</v>
      </c>
      <c r="CO309" s="486">
        <f>IF(DATA!CL274=1,CK285,L24)</f>
        <v>5732</v>
      </c>
      <c r="CP309" s="486">
        <f>SUM(CL309:CO309)</f>
        <v>37660</v>
      </c>
      <c r="CQ309" s="486">
        <f>IF(CP$282=CO$282,CO283,IF(CP$282=CN$282,CN283))</f>
        <v>7000</v>
      </c>
      <c r="CR309" s="486">
        <f>BA273</f>
        <v>2000</v>
      </c>
      <c r="CS309" s="486">
        <f>IF(CM283&gt;=20000,200,IF(CM283&gt;=15000,150,IF(CM283&gt;=10000,100,80)))</f>
        <v>200</v>
      </c>
      <c r="CT309" s="486">
        <f>BB273</f>
        <v>120</v>
      </c>
      <c r="CU309" s="486">
        <f>CT283</f>
        <v>50</v>
      </c>
      <c r="CV309" s="486">
        <f>AE55</f>
        <v>0</v>
      </c>
      <c r="CW309" s="735" t="str">
        <f>IF(CR273=1,IF(CL274=1,CP273,""),"")</f>
        <v/>
      </c>
      <c r="CX309" s="486">
        <f>DK178</f>
        <v>0</v>
      </c>
      <c r="CY309" s="486">
        <f>CJ283</f>
        <v>0</v>
      </c>
      <c r="CZ309" s="744">
        <f>CZ283</f>
        <v>0</v>
      </c>
      <c r="DA309" s="481">
        <f>CH283</f>
        <v>0</v>
      </c>
      <c r="DB309" s="481">
        <f>CI283</f>
        <v>0</v>
      </c>
      <c r="DC309" s="481">
        <v>64</v>
      </c>
      <c r="DD309" s="677">
        <v>39540</v>
      </c>
      <c r="DE309" s="654">
        <v>78910</v>
      </c>
      <c r="DF309" s="654">
        <v>80930</v>
      </c>
      <c r="DG309" s="677">
        <v>87130</v>
      </c>
      <c r="DI309" s="677">
        <v>82950</v>
      </c>
      <c r="DJ309" s="677">
        <v>87130</v>
      </c>
      <c r="DK309" s="677">
        <v>87130</v>
      </c>
      <c r="DL309" s="677">
        <v>89290</v>
      </c>
      <c r="DM309" s="677">
        <v>89290</v>
      </c>
      <c r="DQ309" s="677">
        <v>84970</v>
      </c>
      <c r="DR309" s="677">
        <v>82950</v>
      </c>
      <c r="DS309" s="677"/>
      <c r="DT309" s="677"/>
      <c r="DU309" s="677"/>
    </row>
    <row r="310" spans="21:125" s="481" customFormat="1" ht="15" hidden="1">
      <c r="U310" s="483"/>
      <c r="V310" s="483"/>
      <c r="W310" s="483"/>
      <c r="X310" s="106"/>
      <c r="Y310" s="106"/>
      <c r="Z310" s="106"/>
      <c r="AA310" s="106"/>
      <c r="AB310" s="106"/>
      <c r="AC310" s="483"/>
      <c r="AD310" s="483"/>
      <c r="AE310" s="483"/>
      <c r="AF310" s="483"/>
      <c r="AG310" s="483"/>
      <c r="AH310" s="483"/>
      <c r="BB310" s="514">
        <v>44531</v>
      </c>
      <c r="BC310" s="481">
        <f t="shared" si="80"/>
        <v>21820</v>
      </c>
      <c r="BD310" s="481">
        <f t="shared" si="81"/>
        <v>4364</v>
      </c>
      <c r="BE310" s="481">
        <f>IF(BC$290=12,BE$294,BD310)</f>
        <v>4364</v>
      </c>
      <c r="BR310" s="486"/>
      <c r="BS310" s="486"/>
      <c r="BT310" s="486"/>
      <c r="BU310" s="486"/>
      <c r="BV310" s="486"/>
      <c r="BW310" s="486"/>
      <c r="BX310" s="486"/>
      <c r="BY310" s="486"/>
      <c r="CE310" s="502">
        <v>44287</v>
      </c>
      <c r="CF310" s="482">
        <f t="shared" ref="CF310:CF320" si="85">IF(CG284&gt;=CF$308,CF$308,(CG284))</f>
        <v>4246</v>
      </c>
      <c r="CI310" s="492">
        <f>DF165</f>
        <v>0</v>
      </c>
      <c r="CJ310" s="743">
        <f>BR264</f>
        <v>21230</v>
      </c>
      <c r="CK310" s="486">
        <f>IF(CL274=1,ROUND(CJ310*BS267,0),ROUND(CJ310*BX261,0))</f>
        <v>6452</v>
      </c>
      <c r="CL310" s="486">
        <f t="shared" si="84"/>
        <v>21230</v>
      </c>
      <c r="CM310" s="486">
        <f t="shared" si="84"/>
        <v>6452</v>
      </c>
      <c r="CN310" s="486">
        <f t="shared" si="84"/>
        <v>4246</v>
      </c>
      <c r="CO310" s="486">
        <f>IF(DATA!CL274=1,CK286,L24)</f>
        <v>5732</v>
      </c>
      <c r="CP310" s="486">
        <f>SUM(CL310:CO310)</f>
        <v>37660</v>
      </c>
      <c r="CQ310" s="486">
        <f>IF(CP$282=CO$282,CO284,IF(CP$282=CN$282,CN284))</f>
        <v>7000</v>
      </c>
      <c r="CR310" s="486">
        <f>BA274</f>
        <v>2000</v>
      </c>
      <c r="CS310" s="486">
        <f>IF(CM284&gt;=20000,200,IF(CM284&gt;=15000,150,IF(CM284&gt;=10000,100,80)))</f>
        <v>200</v>
      </c>
      <c r="CT310" s="486">
        <f>BB274</f>
        <v>120</v>
      </c>
      <c r="CU310" s="486"/>
      <c r="CV310" s="486">
        <f>AE56</f>
        <v>0</v>
      </c>
      <c r="CW310" s="735" t="str">
        <f>IF(CW309="","",IF(CQ$273=2,CQ$271,CW309))</f>
        <v/>
      </c>
      <c r="CX310" s="486">
        <f>DK179</f>
        <v>0</v>
      </c>
      <c r="CY310" s="486">
        <f>CJ284</f>
        <v>0</v>
      </c>
      <c r="CZ310" s="744">
        <f>CZ284</f>
        <v>0</v>
      </c>
      <c r="DA310" s="481">
        <f>CH284</f>
        <v>0</v>
      </c>
      <c r="DB310" s="481">
        <f>CI284</f>
        <v>0</v>
      </c>
      <c r="DC310" s="481">
        <v>65</v>
      </c>
      <c r="DD310" s="677">
        <v>40510</v>
      </c>
      <c r="DE310" s="654">
        <v>80930</v>
      </c>
      <c r="DF310" s="654">
        <v>82950</v>
      </c>
      <c r="DG310" s="677">
        <v>89290</v>
      </c>
      <c r="DI310" s="677">
        <v>84970</v>
      </c>
      <c r="DJ310" s="677">
        <v>89290</v>
      </c>
      <c r="DK310" s="677">
        <v>89290</v>
      </c>
      <c r="DL310" s="677">
        <v>91450</v>
      </c>
      <c r="DM310" s="677">
        <v>91450</v>
      </c>
      <c r="DQ310" s="677">
        <v>87130</v>
      </c>
      <c r="DR310" s="677">
        <v>84970</v>
      </c>
      <c r="DS310" s="677"/>
      <c r="DT310" s="677"/>
      <c r="DU310" s="677"/>
    </row>
    <row r="311" spans="21:125" s="481" customFormat="1" ht="15" hidden="1">
      <c r="U311" s="483"/>
      <c r="V311" s="483"/>
      <c r="W311" s="483"/>
      <c r="X311" s="106"/>
      <c r="Y311" s="106"/>
      <c r="Z311" s="106"/>
      <c r="AA311" s="106"/>
      <c r="AB311" s="106"/>
      <c r="AC311" s="483"/>
      <c r="AD311" s="483"/>
      <c r="AE311" s="483"/>
      <c r="AF311" s="483"/>
      <c r="AG311" s="483"/>
      <c r="AH311" s="483"/>
      <c r="BB311" s="514">
        <v>44562</v>
      </c>
      <c r="BC311" s="481">
        <f t="shared" si="80"/>
        <v>21820</v>
      </c>
      <c r="BD311" s="481">
        <f t="shared" si="81"/>
        <v>4364</v>
      </c>
      <c r="BE311" s="481">
        <f>IF(BC$290=13,BE$294,BD311)</f>
        <v>4364</v>
      </c>
      <c r="BR311" s="486"/>
      <c r="BS311" s="486"/>
      <c r="BT311" s="486"/>
      <c r="BU311" s="486"/>
      <c r="BV311" s="486"/>
      <c r="BW311" s="486"/>
      <c r="BX311" s="486"/>
      <c r="BY311" s="486"/>
      <c r="CE311" s="502">
        <v>44317</v>
      </c>
      <c r="CF311" s="482">
        <f t="shared" si="85"/>
        <v>4246</v>
      </c>
      <c r="CI311" s="492" t="str">
        <f>IF(CL274=1,"",DF166)</f>
        <v/>
      </c>
      <c r="CJ311" s="743">
        <f>BR265</f>
        <v>21230</v>
      </c>
      <c r="CK311" s="486">
        <f>IF(CL274=1,ROUND(CJ311*BS267,0),ROUND(CJ311*BX261,0))</f>
        <v>6452</v>
      </c>
      <c r="CL311" s="486" t="str">
        <f>IF(CL274=1,"",CE285)</f>
        <v/>
      </c>
      <c r="CM311" s="486" t="str">
        <f>IF(CL$274=1,"",CF285)</f>
        <v/>
      </c>
      <c r="CN311" s="486" t="str">
        <f>IF(CL$274=1,"",CG285)</f>
        <v/>
      </c>
      <c r="CO311" s="486" t="str">
        <f>IF(CL$274=1,"",L24)</f>
        <v/>
      </c>
      <c r="CP311" s="486" t="str">
        <f>IF(CL$274=1,"",SUM(CL311:CO311))</f>
        <v/>
      </c>
      <c r="CQ311" s="486" t="str">
        <f>IF(CL$274=1,"",IF(CP$282=CO$282,CO285,IF(CP$282=CN$282,CN285)))</f>
        <v/>
      </c>
      <c r="CR311" s="486" t="str">
        <f>IF(CL274=1,"",BA275)</f>
        <v/>
      </c>
      <c r="CS311" s="486" t="str">
        <f>IF(CL274=1,"",IF(CM285&gt;=20000,200,IF(CM285&gt;=15000,150,IF(CM285&gt;=10000,100,80))))</f>
        <v/>
      </c>
      <c r="CT311" s="486" t="str">
        <f>IF(CL274=1,"",BB275)</f>
        <v/>
      </c>
      <c r="CU311" s="486"/>
      <c r="CV311" s="486" t="str">
        <f>IF(CL274=1,"",AE57)</f>
        <v/>
      </c>
      <c r="CW311" s="735" t="str">
        <f>IF(CL311="","",(IF(CR273=1,IF(CL274=1,CP272,""),"")))</f>
        <v/>
      </c>
      <c r="CX311" s="486" t="str">
        <f>IF(CL274=1,"",DK180)</f>
        <v/>
      </c>
      <c r="CY311" s="486" t="str">
        <f>IF(CL274=1,"",CJ285)</f>
        <v/>
      </c>
      <c r="CZ311" s="744" t="str">
        <f>IF(CL274=1,"",CZ285)</f>
        <v/>
      </c>
      <c r="DA311" s="481" t="str">
        <f>IF(CL274=1,"",CH285)</f>
        <v/>
      </c>
      <c r="DB311" s="481" t="str">
        <f>IF(CL274=1,"",CI285)</f>
        <v/>
      </c>
      <c r="DC311" s="481">
        <v>66</v>
      </c>
      <c r="DD311" s="677">
        <v>41550</v>
      </c>
      <c r="DE311" s="654">
        <v>82950</v>
      </c>
      <c r="DF311" s="654">
        <v>84970</v>
      </c>
      <c r="DG311" s="677">
        <v>91450</v>
      </c>
      <c r="DI311" s="677">
        <v>87130</v>
      </c>
      <c r="DJ311" s="677">
        <v>91450</v>
      </c>
      <c r="DK311" s="677">
        <v>91450</v>
      </c>
      <c r="DL311" s="677">
        <v>93780</v>
      </c>
      <c r="DM311" s="677">
        <v>93780</v>
      </c>
      <c r="DQ311" s="677">
        <v>89290</v>
      </c>
      <c r="DR311" s="677">
        <v>87130</v>
      </c>
      <c r="DS311" s="677"/>
      <c r="DT311" s="677"/>
      <c r="DU311" s="677"/>
    </row>
    <row r="312" spans="21:125" s="481" customFormat="1" ht="15" hidden="1">
      <c r="U312" s="483"/>
      <c r="V312" s="483"/>
      <c r="W312" s="483"/>
      <c r="X312" s="106"/>
      <c r="Y312" s="106"/>
      <c r="Z312" s="106"/>
      <c r="AA312" s="106"/>
      <c r="AB312" s="106"/>
      <c r="AC312" s="483"/>
      <c r="AD312" s="483"/>
      <c r="AE312" s="483"/>
      <c r="AF312" s="483"/>
      <c r="AG312" s="483"/>
      <c r="AH312" s="483"/>
      <c r="BB312" s="514">
        <v>44593</v>
      </c>
      <c r="BC312" s="481">
        <f t="shared" si="80"/>
        <v>21820</v>
      </c>
      <c r="BD312" s="481">
        <f t="shared" si="81"/>
        <v>4364</v>
      </c>
      <c r="BE312" s="481">
        <f>IF(BC$290=14,BE$294,BD312)</f>
        <v>4364</v>
      </c>
      <c r="CE312" s="502">
        <v>44348</v>
      </c>
      <c r="CF312" s="482">
        <f t="shared" si="85"/>
        <v>4246</v>
      </c>
      <c r="CI312" s="492"/>
      <c r="CJ312" s="743"/>
      <c r="CK312" s="486"/>
      <c r="CL312" s="486"/>
      <c r="CM312" s="486"/>
      <c r="CN312" s="486"/>
      <c r="CO312" s="486"/>
      <c r="CP312" s="486"/>
      <c r="CQ312" s="486"/>
      <c r="CR312" s="486"/>
      <c r="CS312" s="486"/>
      <c r="CT312" s="486"/>
      <c r="CU312" s="486"/>
      <c r="CV312" s="486"/>
      <c r="CW312" s="486"/>
      <c r="CX312" s="486"/>
      <c r="CY312" s="486"/>
      <c r="CZ312" s="744"/>
      <c r="DB312" s="484"/>
      <c r="DC312" s="481">
        <v>67</v>
      </c>
      <c r="DD312" s="677">
        <v>42590</v>
      </c>
      <c r="DE312" s="654">
        <v>84970</v>
      </c>
      <c r="DF312" s="654">
        <v>87130</v>
      </c>
      <c r="DG312" s="677">
        <v>93780</v>
      </c>
      <c r="DI312" s="677">
        <v>89290</v>
      </c>
      <c r="DJ312" s="677">
        <v>93780</v>
      </c>
      <c r="DK312" s="677">
        <v>93780</v>
      </c>
      <c r="DL312" s="677">
        <v>96110</v>
      </c>
      <c r="DM312" s="677">
        <v>96110</v>
      </c>
      <c r="DQ312" s="677">
        <v>91450</v>
      </c>
      <c r="DR312" s="677">
        <v>89290</v>
      </c>
      <c r="DS312" s="677"/>
      <c r="DT312" s="677"/>
      <c r="DU312" s="677"/>
    </row>
    <row r="313" spans="21:125" s="481" customFormat="1" ht="15" hidden="1">
      <c r="U313" s="483"/>
      <c r="V313" s="483"/>
      <c r="W313" s="483"/>
      <c r="X313" s="106"/>
      <c r="Y313" s="106"/>
      <c r="Z313" s="106"/>
      <c r="AA313" s="106"/>
      <c r="AB313" s="106"/>
      <c r="AC313" s="483"/>
      <c r="AD313" s="483"/>
      <c r="AE313" s="483"/>
      <c r="AF313" s="483"/>
      <c r="AG313" s="483"/>
      <c r="AH313" s="483"/>
      <c r="BV313" s="570"/>
      <c r="BW313" s="571" t="s">
        <v>397</v>
      </c>
      <c r="BX313" s="747">
        <v>2</v>
      </c>
      <c r="BY313" s="571"/>
      <c r="BZ313" s="587" t="s">
        <v>397</v>
      </c>
      <c r="CA313" s="572"/>
      <c r="CE313" s="502">
        <v>44378</v>
      </c>
      <c r="CF313" s="482">
        <f t="shared" si="85"/>
        <v>4246</v>
      </c>
      <c r="CI313" s="492">
        <f>SUM(CI309:CI311)</f>
        <v>0</v>
      </c>
      <c r="CJ313" s="743"/>
      <c r="CK313" s="486" t="s">
        <v>532</v>
      </c>
      <c r="CL313" s="486">
        <f>ROUND(SUM(CL309:CL311)/2,0)</f>
        <v>21230</v>
      </c>
      <c r="CM313" s="486">
        <f>ROUND(SUM(CM309:CM311)/2,0)</f>
        <v>6452</v>
      </c>
      <c r="CN313" s="486">
        <f>ROUND(SUM(CN309:CN311)/2,0)</f>
        <v>4246</v>
      </c>
      <c r="CO313" s="486">
        <f>ROUND(SUM(CO309:CO311)/2,0)</f>
        <v>5732</v>
      </c>
      <c r="CP313" s="486">
        <f>ROUND(SUM(CP309:CP311)/2,0)</f>
        <v>37660</v>
      </c>
      <c r="CQ313" s="486">
        <f t="shared" ref="CQ313:DB313" si="86">SUM(CQ309:CQ311)</f>
        <v>14000</v>
      </c>
      <c r="CR313" s="486">
        <f t="shared" si="86"/>
        <v>4000</v>
      </c>
      <c r="CS313" s="486">
        <f t="shared" si="86"/>
        <v>400</v>
      </c>
      <c r="CT313" s="486">
        <f t="shared" si="86"/>
        <v>240</v>
      </c>
      <c r="CU313" s="486">
        <f t="shared" si="86"/>
        <v>50</v>
      </c>
      <c r="CV313" s="486">
        <f t="shared" si="86"/>
        <v>0</v>
      </c>
      <c r="CW313" s="486">
        <f t="shared" si="86"/>
        <v>0</v>
      </c>
      <c r="CX313" s="486">
        <f t="shared" si="86"/>
        <v>0</v>
      </c>
      <c r="CY313" s="486">
        <f t="shared" si="86"/>
        <v>0</v>
      </c>
      <c r="CZ313" s="744">
        <f t="shared" si="86"/>
        <v>0</v>
      </c>
      <c r="DA313" s="481">
        <f t="shared" si="86"/>
        <v>0</v>
      </c>
      <c r="DB313" s="481">
        <f t="shared" si="86"/>
        <v>0</v>
      </c>
      <c r="DC313" s="481">
        <v>68</v>
      </c>
      <c r="DD313" s="677">
        <v>43630</v>
      </c>
      <c r="DE313" s="654">
        <v>87130</v>
      </c>
      <c r="DF313" s="654">
        <v>89290</v>
      </c>
      <c r="DG313" s="677">
        <v>96110</v>
      </c>
      <c r="DI313" s="677">
        <v>91450</v>
      </c>
      <c r="DJ313" s="677">
        <v>96110</v>
      </c>
      <c r="DK313" s="677">
        <v>96110</v>
      </c>
      <c r="DL313" s="677">
        <v>98440</v>
      </c>
      <c r="DM313" s="677">
        <v>98440</v>
      </c>
      <c r="DQ313" s="677">
        <v>93780</v>
      </c>
      <c r="DR313" s="677">
        <v>91450</v>
      </c>
      <c r="DS313" s="677"/>
      <c r="DT313" s="677"/>
      <c r="DU313" s="677"/>
    </row>
    <row r="314" spans="21:125" s="481" customFormat="1" ht="15" hidden="1">
      <c r="U314" s="483"/>
      <c r="V314" s="483"/>
      <c r="W314" s="483"/>
      <c r="X314" s="106"/>
      <c r="Y314" s="106"/>
      <c r="Z314" s="106"/>
      <c r="AA314" s="106"/>
      <c r="AB314" s="106"/>
      <c r="AC314" s="483"/>
      <c r="AD314" s="483"/>
      <c r="AE314" s="483"/>
      <c r="AF314" s="483"/>
      <c r="AG314" s="483"/>
      <c r="AH314" s="483"/>
      <c r="BP314" s="484"/>
      <c r="BV314" s="574">
        <v>1</v>
      </c>
      <c r="BW314" s="746" t="e">
        <f>VLOOKUP(BU287,AX$255:AY$268,2,0)</f>
        <v>#N/A</v>
      </c>
      <c r="BX314" s="748">
        <f>BX313-1</f>
        <v>1</v>
      </c>
      <c r="BY314" s="486">
        <v>1</v>
      </c>
      <c r="BZ314" s="746" t="e">
        <f>VLOOKUP(BX298,AX$255:AY$268,2,0)</f>
        <v>#N/A</v>
      </c>
      <c r="CA314" s="599">
        <v>1</v>
      </c>
      <c r="CE314" s="502">
        <v>44409</v>
      </c>
      <c r="CF314" s="482">
        <f t="shared" si="85"/>
        <v>4364</v>
      </c>
      <c r="CI314" s="492"/>
      <c r="CJ314" s="743"/>
      <c r="CK314" s="486"/>
      <c r="CL314" s="486"/>
      <c r="CM314" s="486"/>
      <c r="CN314" s="486"/>
      <c r="CO314" s="486"/>
      <c r="CP314" s="486"/>
      <c r="CQ314" s="486"/>
      <c r="CR314" s="486"/>
      <c r="CS314" s="486"/>
      <c r="CT314" s="486"/>
      <c r="CU314" s="486"/>
      <c r="CV314" s="486"/>
      <c r="CW314" s="486"/>
      <c r="CX314" s="486"/>
      <c r="CY314" s="486"/>
      <c r="CZ314" s="744"/>
      <c r="DB314" s="484"/>
      <c r="DC314" s="481">
        <v>69</v>
      </c>
      <c r="DD314" s="677">
        <v>44740</v>
      </c>
      <c r="DE314" s="654">
        <v>89290</v>
      </c>
      <c r="DF314" s="654">
        <v>91450</v>
      </c>
      <c r="DG314" s="677">
        <v>98440</v>
      </c>
      <c r="DI314" s="677">
        <v>93780</v>
      </c>
      <c r="DJ314" s="677">
        <v>98440</v>
      </c>
      <c r="DK314" s="677">
        <v>98440</v>
      </c>
      <c r="DL314" s="677">
        <v>100770</v>
      </c>
      <c r="DM314" s="677">
        <v>100770</v>
      </c>
      <c r="DQ314" s="677">
        <v>96110</v>
      </c>
      <c r="DR314" s="677">
        <v>93780</v>
      </c>
      <c r="DS314" s="677"/>
      <c r="DT314" s="677"/>
      <c r="DU314" s="677"/>
    </row>
    <row r="315" spans="21:125" s="481" customFormat="1" ht="15" hidden="1">
      <c r="U315" s="483"/>
      <c r="V315" s="483"/>
      <c r="W315" s="483"/>
      <c r="X315" s="106"/>
      <c r="Y315" s="106"/>
      <c r="Z315" s="106"/>
      <c r="AA315" s="106"/>
      <c r="AB315" s="106"/>
      <c r="AC315" s="483"/>
      <c r="AD315" s="483"/>
      <c r="AE315" s="483"/>
      <c r="AF315" s="483"/>
      <c r="AG315" s="483"/>
      <c r="AH315" s="483"/>
      <c r="BO315" s="505"/>
      <c r="BP315" s="522"/>
      <c r="BQ315" s="514"/>
      <c r="BS315" s="514"/>
      <c r="BV315" s="574">
        <v>2</v>
      </c>
      <c r="BW315" s="746" t="e">
        <f>VLOOKUP(BW314,AX$255:AY$268,2,0)</f>
        <v>#N/A</v>
      </c>
      <c r="BX315" s="486"/>
      <c r="BY315" s="486">
        <v>2</v>
      </c>
      <c r="BZ315" s="746" t="e">
        <f>VLOOKUP(BZ314,AX$255:AY$268,2,0)</f>
        <v>#N/A</v>
      </c>
      <c r="CA315" s="749">
        <f>CA314-1</f>
        <v>0</v>
      </c>
      <c r="CE315" s="502">
        <v>44440</v>
      </c>
      <c r="CF315" s="482">
        <f t="shared" si="85"/>
        <v>4364</v>
      </c>
      <c r="CI315" s="492">
        <f>ROUND(CI313/4,0)</f>
        <v>0</v>
      </c>
      <c r="CJ315" s="743"/>
      <c r="CK315" s="486" t="s">
        <v>532</v>
      </c>
      <c r="CL315" s="486">
        <f>ROUND(CL$313/4,0)</f>
        <v>5308</v>
      </c>
      <c r="CM315" s="486">
        <f>ROUND(CM$313/4,0)</f>
        <v>1613</v>
      </c>
      <c r="CN315" s="486">
        <f t="shared" ref="CN315:CX315" si="87">ROUND(CN313/4,0)</f>
        <v>1062</v>
      </c>
      <c r="CO315" s="486">
        <f t="shared" si="87"/>
        <v>1433</v>
      </c>
      <c r="CP315" s="486">
        <f t="shared" si="87"/>
        <v>9415</v>
      </c>
      <c r="CQ315" s="486">
        <f t="shared" si="87"/>
        <v>3500</v>
      </c>
      <c r="CR315" s="486">
        <f>ROUND(CR313/4,0)</f>
        <v>1000</v>
      </c>
      <c r="CS315" s="486">
        <f>ROUND(CS313/4,0)</f>
        <v>100</v>
      </c>
      <c r="CT315" s="486">
        <f t="shared" si="87"/>
        <v>60</v>
      </c>
      <c r="CU315" s="486">
        <f t="shared" si="87"/>
        <v>13</v>
      </c>
      <c r="CV315" s="486">
        <f t="shared" si="87"/>
        <v>0</v>
      </c>
      <c r="CW315" s="486">
        <f t="shared" si="87"/>
        <v>0</v>
      </c>
      <c r="CX315" s="486">
        <f t="shared" si="87"/>
        <v>0</v>
      </c>
      <c r="CY315" s="486">
        <f>ROUND(CY313/4,0)</f>
        <v>0</v>
      </c>
      <c r="CZ315" s="744">
        <f>ROUND(CZ313/4,0)</f>
        <v>0</v>
      </c>
      <c r="DA315" s="481">
        <f>ROUND(DA313/4,0)</f>
        <v>0</v>
      </c>
      <c r="DB315" s="481">
        <f>ROUND(DB313/4,0)</f>
        <v>0</v>
      </c>
      <c r="DC315" s="481">
        <v>70</v>
      </c>
      <c r="DD315" s="677">
        <v>45850</v>
      </c>
      <c r="DE315" s="654">
        <v>91450</v>
      </c>
      <c r="DF315" s="654">
        <v>93780</v>
      </c>
      <c r="DG315" s="677">
        <v>100770</v>
      </c>
      <c r="DI315" s="677">
        <v>96110</v>
      </c>
      <c r="DJ315" s="677">
        <v>100770</v>
      </c>
      <c r="DK315" s="677">
        <v>100770</v>
      </c>
      <c r="DL315" s="677">
        <v>103290</v>
      </c>
      <c r="DM315" s="677">
        <v>103290</v>
      </c>
      <c r="DQ315" s="677">
        <v>98440</v>
      </c>
      <c r="DR315" s="677">
        <v>96110</v>
      </c>
      <c r="DS315" s="677"/>
      <c r="DT315" s="677"/>
      <c r="DU315" s="677"/>
    </row>
    <row r="316" spans="21:125" s="481" customFormat="1" ht="15" hidden="1">
      <c r="U316" s="483"/>
      <c r="V316" s="483"/>
      <c r="W316" s="483"/>
      <c r="X316" s="106"/>
      <c r="Y316" s="106"/>
      <c r="Z316" s="106"/>
      <c r="AA316" s="106"/>
      <c r="AB316" s="106"/>
      <c r="AC316" s="483"/>
      <c r="AD316" s="483"/>
      <c r="AE316" s="483"/>
      <c r="AF316" s="483"/>
      <c r="AG316" s="483"/>
      <c r="AH316" s="483"/>
      <c r="BO316" s="505"/>
      <c r="BP316" s="597"/>
      <c r="BQ316" s="738"/>
      <c r="BR316" s="482"/>
      <c r="BS316" s="738"/>
      <c r="BT316" s="482"/>
      <c r="BU316" s="482"/>
      <c r="BV316" s="750">
        <v>3</v>
      </c>
      <c r="BW316" s="751" t="e">
        <f>VLOOKUP(BW315,AX$255:AY$268,2,0)</f>
        <v>#N/A</v>
      </c>
      <c r="BX316" s="486"/>
      <c r="BY316" s="486">
        <v>3</v>
      </c>
      <c r="BZ316" s="746" t="e">
        <f>IF(CA316=BZ296,"",CA316)</f>
        <v>#N/A</v>
      </c>
      <c r="CA316" s="752" t="e">
        <f>VLOOKUP(BZ315,AX$255:AY$268,2,0)</f>
        <v>#N/A</v>
      </c>
      <c r="CE316" s="502">
        <v>44470</v>
      </c>
      <c r="CF316" s="482">
        <f t="shared" si="85"/>
        <v>4364</v>
      </c>
      <c r="CI316" s="492">
        <f>ROUND(CI309/2,0)</f>
        <v>0</v>
      </c>
      <c r="CJ316" s="743"/>
      <c r="CK316" s="486" t="s">
        <v>536</v>
      </c>
      <c r="CL316" s="486">
        <f t="shared" ref="CL316:CP317" si="88">ROUND(CL309/2,0)</f>
        <v>10615</v>
      </c>
      <c r="CM316" s="486">
        <f t="shared" si="88"/>
        <v>3226</v>
      </c>
      <c r="CN316" s="486">
        <f t="shared" si="88"/>
        <v>2123</v>
      </c>
      <c r="CO316" s="486">
        <f t="shared" si="88"/>
        <v>2866</v>
      </c>
      <c r="CP316" s="486">
        <f t="shared" si="88"/>
        <v>18830</v>
      </c>
      <c r="CQ316" s="486"/>
      <c r="CR316" s="486"/>
      <c r="CS316" s="486"/>
      <c r="CT316" s="486"/>
      <c r="CU316" s="486"/>
      <c r="CV316" s="486"/>
      <c r="CW316" s="486"/>
      <c r="CX316" s="486">
        <f>ROUND(CX309/2,0)</f>
        <v>0</v>
      </c>
      <c r="CY316" s="486">
        <f>ROUND(CY309/2,0)</f>
        <v>0</v>
      </c>
      <c r="CZ316" s="744">
        <f>ROUND(CZ309/2,0)</f>
        <v>0</v>
      </c>
      <c r="DA316" s="481">
        <f>ROUND(DA309/2,0)</f>
        <v>0</v>
      </c>
      <c r="DB316" s="481">
        <f>ROUND(DB309/2,0)</f>
        <v>0</v>
      </c>
      <c r="DC316" s="481">
        <v>71</v>
      </c>
      <c r="DD316" s="677">
        <v>46960</v>
      </c>
      <c r="DE316" s="654">
        <v>93780</v>
      </c>
      <c r="DF316" s="654">
        <v>96110</v>
      </c>
      <c r="DG316" s="677">
        <v>103290</v>
      </c>
      <c r="DI316" s="677">
        <v>98440</v>
      </c>
      <c r="DJ316" s="677">
        <v>103290</v>
      </c>
      <c r="DK316" s="677">
        <v>103290</v>
      </c>
      <c r="DL316" s="677">
        <v>105810</v>
      </c>
      <c r="DM316" s="677">
        <v>105810</v>
      </c>
      <c r="DQ316" s="677">
        <v>100770</v>
      </c>
      <c r="DR316" s="677">
        <v>98440</v>
      </c>
      <c r="DS316" s="677"/>
      <c r="DT316" s="677"/>
      <c r="DU316" s="677"/>
    </row>
    <row r="317" spans="21:125" s="481" customFormat="1" ht="15" hidden="1">
      <c r="U317" s="483"/>
      <c r="V317" s="483"/>
      <c r="W317" s="483"/>
      <c r="X317" s="106"/>
      <c r="Y317" s="106"/>
      <c r="Z317" s="106"/>
      <c r="AA317" s="106"/>
      <c r="AB317" s="106"/>
      <c r="AC317" s="483"/>
      <c r="AD317" s="483"/>
      <c r="AE317" s="483"/>
      <c r="AF317" s="483"/>
      <c r="AG317" s="483"/>
      <c r="AH317" s="483"/>
      <c r="BO317" s="505"/>
      <c r="BP317" s="597"/>
      <c r="BQ317" s="738"/>
      <c r="BR317" s="753"/>
      <c r="BS317" s="738"/>
      <c r="BT317" s="482"/>
      <c r="BU317" s="482"/>
      <c r="BV317" s="750">
        <v>4</v>
      </c>
      <c r="BW317" s="751" t="e">
        <f>VLOOKUP(BW316,AX$255:AY$268,2,0)</f>
        <v>#N/A</v>
      </c>
      <c r="BX317" s="486"/>
      <c r="BY317" s="486"/>
      <c r="BZ317" s="746"/>
      <c r="CA317" s="576"/>
      <c r="CE317" s="502">
        <v>44501</v>
      </c>
      <c r="CF317" s="482">
        <f t="shared" si="85"/>
        <v>4364</v>
      </c>
      <c r="CI317" s="492"/>
      <c r="CJ317" s="754"/>
      <c r="CK317" s="755" t="s">
        <v>536</v>
      </c>
      <c r="CL317" s="755">
        <f t="shared" si="88"/>
        <v>10615</v>
      </c>
      <c r="CM317" s="755">
        <f t="shared" si="88"/>
        <v>3226</v>
      </c>
      <c r="CN317" s="755">
        <f t="shared" si="88"/>
        <v>2123</v>
      </c>
      <c r="CO317" s="755">
        <f t="shared" si="88"/>
        <v>2866</v>
      </c>
      <c r="CP317" s="755">
        <f t="shared" si="88"/>
        <v>18830</v>
      </c>
      <c r="CQ317" s="755"/>
      <c r="CR317" s="755"/>
      <c r="CS317" s="755"/>
      <c r="CT317" s="755"/>
      <c r="CU317" s="755"/>
      <c r="CV317" s="755"/>
      <c r="CW317" s="755"/>
      <c r="CX317" s="755"/>
      <c r="CY317" s="755"/>
      <c r="CZ317" s="756"/>
      <c r="DB317" s="484"/>
      <c r="DC317" s="481">
        <v>72</v>
      </c>
      <c r="DD317" s="677">
        <v>48160</v>
      </c>
      <c r="DE317" s="654">
        <v>96110</v>
      </c>
      <c r="DF317" s="654">
        <v>98440</v>
      </c>
      <c r="DG317" s="677">
        <v>105810</v>
      </c>
      <c r="DI317" s="677">
        <v>100770</v>
      </c>
      <c r="DJ317" s="677">
        <v>105810</v>
      </c>
      <c r="DK317" s="677">
        <v>105810</v>
      </c>
      <c r="DL317" s="677">
        <v>108330</v>
      </c>
      <c r="DM317" s="677">
        <v>108330</v>
      </c>
      <c r="DQ317" s="677">
        <v>103290</v>
      </c>
      <c r="DR317" s="677">
        <v>100770</v>
      </c>
      <c r="DS317" s="677"/>
      <c r="DT317" s="677"/>
      <c r="DU317" s="677"/>
    </row>
    <row r="318" spans="21:125" s="481" customFormat="1" ht="15" hidden="1">
      <c r="U318" s="483"/>
      <c r="V318" s="483"/>
      <c r="W318" s="483"/>
      <c r="X318" s="106"/>
      <c r="Y318" s="106"/>
      <c r="Z318" s="106"/>
      <c r="AA318" s="106"/>
      <c r="AB318" s="106"/>
      <c r="AC318" s="483"/>
      <c r="AD318" s="483"/>
      <c r="AE318" s="483"/>
      <c r="AF318" s="483"/>
      <c r="AG318" s="483"/>
      <c r="AH318" s="483"/>
      <c r="BO318" s="505"/>
      <c r="BP318" s="597"/>
      <c r="BQ318" s="738"/>
      <c r="BR318" s="482"/>
      <c r="BS318" s="738"/>
      <c r="BT318" s="482"/>
      <c r="BU318" s="482"/>
      <c r="BV318" s="757">
        <v>5</v>
      </c>
      <c r="BW318" s="758" t="e">
        <f>VLOOKUP(BW317,AX$255:AY$268,2,0)</f>
        <v>#N/A</v>
      </c>
      <c r="BX318" s="578"/>
      <c r="BY318" s="578"/>
      <c r="BZ318" s="578"/>
      <c r="CA318" s="580"/>
      <c r="CE318" s="502">
        <v>44531</v>
      </c>
      <c r="CF318" s="482">
        <f t="shared" si="85"/>
        <v>4364</v>
      </c>
      <c r="CI318" s="505"/>
      <c r="DB318" s="484"/>
      <c r="DC318" s="481">
        <v>73</v>
      </c>
      <c r="DD318" s="677">
        <v>49360</v>
      </c>
      <c r="DE318" s="654">
        <v>98440</v>
      </c>
      <c r="DF318" s="654">
        <v>100770</v>
      </c>
      <c r="DG318" s="677">
        <v>108330</v>
      </c>
      <c r="DI318" s="677">
        <v>103290</v>
      </c>
      <c r="DJ318" s="677">
        <v>108330</v>
      </c>
      <c r="DK318" s="677">
        <v>108330</v>
      </c>
      <c r="DL318" s="677">
        <v>110850</v>
      </c>
      <c r="DM318" s="677">
        <v>110850</v>
      </c>
      <c r="DQ318" s="677">
        <v>105810</v>
      </c>
      <c r="DR318" s="677">
        <v>103290</v>
      </c>
      <c r="DS318" s="677"/>
      <c r="DT318" s="677"/>
      <c r="DU318" s="677"/>
    </row>
    <row r="319" spans="21:125" s="481" customFormat="1" ht="15" hidden="1">
      <c r="U319" s="483"/>
      <c r="V319" s="483"/>
      <c r="W319" s="483"/>
      <c r="X319" s="106"/>
      <c r="Y319" s="106"/>
      <c r="Z319" s="106"/>
      <c r="AA319" s="106"/>
      <c r="AB319" s="106"/>
      <c r="AC319" s="483"/>
      <c r="AD319" s="483"/>
      <c r="AE319" s="483"/>
      <c r="AF319" s="483"/>
      <c r="AG319" s="483"/>
      <c r="AH319" s="483"/>
      <c r="BO319" s="505"/>
      <c r="BP319" s="597"/>
      <c r="BQ319" s="759"/>
      <c r="BR319" s="482"/>
      <c r="BS319" s="760"/>
      <c r="BT319" s="482"/>
      <c r="BU319" s="482"/>
      <c r="BV319" s="482"/>
      <c r="BW319" s="760"/>
      <c r="CE319" s="502">
        <v>44562</v>
      </c>
      <c r="CF319" s="482">
        <f t="shared" si="85"/>
        <v>4364</v>
      </c>
      <c r="CI319" s="505"/>
      <c r="CL319" s="761">
        <f>IF(AND(CL274=2,CR273=1),ROUND(CE285/2,0),CE285)</f>
        <v>21230</v>
      </c>
      <c r="CM319" s="762">
        <f>IF(AND(CL274=2,CR273=1),ROUND(CF285/2,0),CF285)</f>
        <v>6452</v>
      </c>
      <c r="CN319" s="762">
        <f>IF(AND(CL274=2,CR273=1),ROUND(CG285/2,0),CG285)</f>
        <v>4246</v>
      </c>
      <c r="CO319" s="762">
        <f>IF(AND(CL274=2,CR273=1),ROUND(CO320/2,0),CO320)</f>
        <v>5732</v>
      </c>
      <c r="CP319" s="762">
        <f>IF(AND(CL274=2,CR273=1),ROUND(CH285/2,0),CH285)</f>
        <v>0</v>
      </c>
      <c r="CQ319" s="762">
        <f>IF(AND(CL274=2,CR273=1),ROUND(DATA!CZ285/2,0),DATA!CZ285)</f>
        <v>0</v>
      </c>
      <c r="CR319" s="762">
        <f>IF(AND(CL274=2,CR273=1),ROUND(CI285/2,0),CI285)</f>
        <v>0</v>
      </c>
      <c r="CS319" s="763">
        <f>IF(AND(CL274=2,CR273=1),ROUND(DATA!CJ285/2,0),DATA!CJ285)</f>
        <v>0</v>
      </c>
      <c r="CT319" s="763">
        <f>IF(AND(CL274=2,CR273=1),ROUND(DATA!DK180/2,0),DATA!DK180)</f>
        <v>0</v>
      </c>
      <c r="CU319" s="763">
        <f>IF(AND(CL274=2,CR273=1),ROUND(DF164/2,0),DF164)</f>
        <v>0</v>
      </c>
      <c r="CV319" s="763">
        <f>IF(AND(CL274=2,CR273=1),0,CV320)</f>
        <v>7000</v>
      </c>
      <c r="CW319" s="763">
        <f>IF(AND(CL274=2,CR273=1),0,DATA!CQ285)</f>
        <v>2000</v>
      </c>
      <c r="CX319" s="763">
        <f>IF(AND(CL274=2,CR273=1),"",CX320)</f>
        <v>200</v>
      </c>
      <c r="CY319" s="763">
        <f>IF(AND(CL274=2,CR273=1),0,CY320)</f>
        <v>120</v>
      </c>
      <c r="CZ319" s="763" t="str">
        <f>IF(AND(CL274=2,CR273=1),0,DATA!DB285)</f>
        <v/>
      </c>
      <c r="DA319" s="763">
        <f>IF(AND(CL274=2,CR273=1),0,DATA!CV285)</f>
        <v>0</v>
      </c>
      <c r="DB319" s="764" t="str">
        <f>IF(AND(CL274=2,CR273=1),0,DB320)</f>
        <v/>
      </c>
      <c r="DC319" s="481">
        <v>74</v>
      </c>
      <c r="DD319" s="677">
        <v>50560</v>
      </c>
      <c r="DE319" s="654">
        <v>100770</v>
      </c>
      <c r="DF319" s="654">
        <v>103290</v>
      </c>
      <c r="DG319" s="677">
        <v>110850</v>
      </c>
      <c r="DI319" s="677">
        <v>105810</v>
      </c>
      <c r="DJ319" s="677">
        <v>110850</v>
      </c>
      <c r="DK319" s="677">
        <v>110850</v>
      </c>
      <c r="DL319" s="677">
        <v>110850</v>
      </c>
      <c r="DM319" s="677">
        <v>110850</v>
      </c>
      <c r="DQ319" s="677">
        <v>108330</v>
      </c>
      <c r="DR319" s="677">
        <v>105810</v>
      </c>
      <c r="DS319" s="677"/>
      <c r="DT319" s="677"/>
      <c r="DU319" s="677"/>
    </row>
    <row r="320" spans="21:125" s="481" customFormat="1" ht="15" hidden="1">
      <c r="U320" s="483"/>
      <c r="V320" s="483"/>
      <c r="W320" s="483"/>
      <c r="X320" s="106"/>
      <c r="Y320" s="106"/>
      <c r="Z320" s="106"/>
      <c r="AA320" s="106"/>
      <c r="AB320" s="106"/>
      <c r="AC320" s="483"/>
      <c r="AD320" s="483"/>
      <c r="AE320" s="483"/>
      <c r="AF320" s="483"/>
      <c r="AG320" s="483"/>
      <c r="AH320" s="483"/>
      <c r="BO320" s="505"/>
      <c r="BP320" s="738"/>
      <c r="BQ320" s="738"/>
      <c r="BR320" s="482"/>
      <c r="BS320" s="482"/>
      <c r="BT320" s="482"/>
      <c r="BU320" s="482"/>
      <c r="BV320" s="482"/>
      <c r="BW320" s="482"/>
      <c r="CE320" s="502">
        <v>44593</v>
      </c>
      <c r="CF320" s="482">
        <f t="shared" si="85"/>
        <v>4364</v>
      </c>
      <c r="CL320" s="482"/>
      <c r="CM320" s="482"/>
      <c r="CN320" s="482"/>
      <c r="CO320" s="679">
        <f>IF(DATA!CL$274=2,DATA!L$24,DATA!CL286)</f>
        <v>5732</v>
      </c>
      <c r="CP320" s="482">
        <f>IF(AND(CL274=2,CR273=1),ROUND(CI285/2,0),CI285)</f>
        <v>0</v>
      </c>
      <c r="CQ320" s="482"/>
      <c r="CR320" s="482"/>
      <c r="CU320" s="481" t="s">
        <v>387</v>
      </c>
      <c r="CV320" s="481">
        <f>DATA!CP285+Bill!AP7</f>
        <v>7000</v>
      </c>
      <c r="CX320" s="481">
        <f>IF(DATA!CJ$175=1,DATA!CR285,0)</f>
        <v>200</v>
      </c>
      <c r="CY320" s="481">
        <f>DATA!CS286</f>
        <v>120</v>
      </c>
      <c r="DB320" s="484" t="str">
        <f>IF(CM$273=2,"",IF(DATA!AE57="","",DATA!AE57))</f>
        <v/>
      </c>
      <c r="DC320" s="481">
        <v>75</v>
      </c>
      <c r="DD320" s="677">
        <v>51760</v>
      </c>
      <c r="DE320" s="654">
        <v>103290</v>
      </c>
      <c r="DF320" s="677">
        <v>105810</v>
      </c>
      <c r="DG320" s="677">
        <v>110850</v>
      </c>
      <c r="DI320" s="677">
        <v>108330</v>
      </c>
      <c r="DJ320" s="677">
        <v>110850</v>
      </c>
      <c r="DK320" s="677">
        <v>110850</v>
      </c>
      <c r="DL320" s="677">
        <v>110850</v>
      </c>
      <c r="DM320" s="677">
        <v>110850</v>
      </c>
      <c r="DQ320" s="677">
        <v>110850</v>
      </c>
      <c r="DR320" s="677">
        <v>108330</v>
      </c>
      <c r="DS320" s="677"/>
      <c r="DT320" s="677"/>
      <c r="DU320" s="677"/>
    </row>
    <row r="321" spans="1:125" s="481" customFormat="1" ht="15" hidden="1">
      <c r="U321" s="483"/>
      <c r="V321" s="483"/>
      <c r="W321" s="483"/>
      <c r="X321" s="106"/>
      <c r="Y321" s="106"/>
      <c r="Z321" s="106"/>
      <c r="AA321" s="106"/>
      <c r="AB321" s="106"/>
      <c r="AC321" s="483"/>
      <c r="AD321" s="483"/>
      <c r="AE321" s="483"/>
      <c r="AF321" s="483"/>
      <c r="AG321" s="483"/>
      <c r="AH321" s="483"/>
      <c r="BO321" s="505"/>
      <c r="BP321" s="738"/>
      <c r="BQ321" s="482"/>
      <c r="BR321" s="596"/>
      <c r="BS321" s="596"/>
      <c r="BT321" s="760"/>
      <c r="BU321" s="760"/>
      <c r="BV321" s="482"/>
      <c r="BW321" s="482"/>
      <c r="CL321" s="482" t="s">
        <v>902</v>
      </c>
      <c r="CM321" s="482">
        <f>ROUND(CE293*1/30,0)</f>
        <v>727</v>
      </c>
      <c r="CN321" s="482">
        <f>IF(CL274=1,CM321,0)</f>
        <v>727</v>
      </c>
      <c r="CO321" s="482"/>
      <c r="CP321" s="482"/>
      <c r="CQ321" s="482"/>
      <c r="CR321" s="482"/>
      <c r="DB321" s="484"/>
      <c r="DC321" s="481">
        <v>76</v>
      </c>
      <c r="DD321" s="677">
        <v>53060</v>
      </c>
      <c r="DE321" s="677">
        <v>105810</v>
      </c>
      <c r="DF321" s="677">
        <v>108330</v>
      </c>
      <c r="DG321" s="677">
        <v>110850</v>
      </c>
      <c r="DI321" s="677">
        <v>110850</v>
      </c>
      <c r="DJ321" s="677">
        <v>110850</v>
      </c>
      <c r="DK321" s="677">
        <v>110850</v>
      </c>
      <c r="DL321" s="677">
        <v>110850</v>
      </c>
      <c r="DM321" s="677">
        <v>110850</v>
      </c>
      <c r="DQ321" s="677">
        <v>110850</v>
      </c>
      <c r="DR321" s="677">
        <v>110850</v>
      </c>
      <c r="DS321" s="677"/>
      <c r="DT321" s="677"/>
      <c r="DU321" s="677"/>
    </row>
    <row r="322" spans="1:125" s="481" customFormat="1" ht="15" hidden="1">
      <c r="U322" s="483"/>
      <c r="V322" s="483"/>
      <c r="W322" s="483"/>
      <c r="X322" s="106"/>
      <c r="Y322" s="106"/>
      <c r="Z322" s="106"/>
      <c r="AA322" s="106"/>
      <c r="AB322" s="106"/>
      <c r="AC322" s="483"/>
      <c r="AD322" s="483"/>
      <c r="AE322" s="483"/>
      <c r="AF322" s="483"/>
      <c r="AG322" s="483"/>
      <c r="AH322" s="483"/>
      <c r="BO322" s="505"/>
      <c r="BP322" s="765"/>
      <c r="BQ322" s="482"/>
      <c r="BR322" s="482"/>
      <c r="BS322" s="482"/>
      <c r="BT322" s="482"/>
      <c r="BU322" s="482"/>
      <c r="BV322" s="482"/>
      <c r="BW322" s="482"/>
      <c r="CL322" s="482"/>
      <c r="CM322" s="482"/>
      <c r="CN322" s="482"/>
      <c r="CO322" s="482"/>
      <c r="CP322" s="482"/>
      <c r="CQ322" s="482"/>
      <c r="CR322" s="482"/>
      <c r="CZ322" s="481" t="s">
        <v>246</v>
      </c>
      <c r="DB322" s="484"/>
      <c r="DC322" s="481">
        <v>77</v>
      </c>
      <c r="DD322" s="677">
        <v>54360</v>
      </c>
      <c r="DE322" s="677">
        <v>108330</v>
      </c>
      <c r="DF322" s="677">
        <v>110850</v>
      </c>
      <c r="DG322" s="677">
        <v>110850</v>
      </c>
      <c r="DI322" s="677">
        <v>110850</v>
      </c>
      <c r="DJ322" s="677">
        <v>110850</v>
      </c>
      <c r="DK322" s="677">
        <v>110850</v>
      </c>
      <c r="DL322" s="677">
        <v>110850</v>
      </c>
      <c r="DM322" s="677">
        <v>110850</v>
      </c>
      <c r="DQ322" s="677">
        <v>110850</v>
      </c>
      <c r="DR322" s="677">
        <v>110850</v>
      </c>
      <c r="DS322" s="677"/>
      <c r="DT322" s="677"/>
      <c r="DU322" s="677"/>
    </row>
    <row r="323" spans="1:125" s="481" customFormat="1" ht="15" hidden="1">
      <c r="U323" s="483"/>
      <c r="V323" s="483"/>
      <c r="W323" s="483"/>
      <c r="X323" s="106"/>
      <c r="Y323" s="106"/>
      <c r="Z323" s="106"/>
      <c r="AA323" s="106"/>
      <c r="AB323" s="106"/>
      <c r="AC323" s="483"/>
      <c r="AD323" s="483"/>
      <c r="AE323" s="483"/>
      <c r="AF323" s="483"/>
      <c r="AG323" s="483"/>
      <c r="AH323" s="483"/>
      <c r="BO323" s="505"/>
      <c r="BP323" s="765"/>
      <c r="BQ323" s="482"/>
      <c r="BR323" s="482"/>
      <c r="BS323" s="482"/>
      <c r="BT323" s="482"/>
      <c r="BU323" s="482"/>
      <c r="BV323" s="482"/>
      <c r="BW323" s="482"/>
      <c r="CZ323" s="481" t="str">
        <f>CV283</f>
        <v/>
      </c>
      <c r="DB323" s="484"/>
      <c r="DC323" s="481">
        <v>78</v>
      </c>
      <c r="DD323" s="677">
        <v>55660</v>
      </c>
      <c r="DE323" s="677">
        <v>110850</v>
      </c>
      <c r="DF323" s="677">
        <v>110850</v>
      </c>
      <c r="DG323" s="677">
        <v>110850</v>
      </c>
      <c r="DI323" s="677"/>
      <c r="DJ323" s="677"/>
      <c r="DK323" s="677"/>
      <c r="DQ323" s="677">
        <v>110850</v>
      </c>
      <c r="DR323" s="677">
        <v>110850</v>
      </c>
      <c r="DS323" s="677"/>
      <c r="DT323" s="677"/>
      <c r="DU323" s="677"/>
    </row>
    <row r="324" spans="1:125" s="481" customFormat="1" ht="15" hidden="1">
      <c r="U324" s="483"/>
      <c r="V324" s="483"/>
      <c r="W324" s="483"/>
      <c r="X324" s="106"/>
      <c r="Y324" s="106"/>
      <c r="Z324" s="106"/>
      <c r="AA324" s="106"/>
      <c r="AB324" s="106"/>
      <c r="AC324" s="483"/>
      <c r="AD324" s="483"/>
      <c r="AE324" s="483"/>
      <c r="AF324" s="483"/>
      <c r="AG324" s="483"/>
      <c r="AH324" s="483"/>
      <c r="BO324" s="505"/>
      <c r="BP324" s="738"/>
      <c r="BQ324" s="482"/>
      <c r="BR324" s="482"/>
      <c r="BS324" s="482"/>
      <c r="BT324" s="482"/>
      <c r="BU324" s="482"/>
      <c r="BV324" s="482"/>
      <c r="BW324" s="482"/>
      <c r="CZ324" s="481" t="str">
        <f>CV284</f>
        <v/>
      </c>
      <c r="DB324" s="484"/>
      <c r="DC324" s="481">
        <v>79</v>
      </c>
      <c r="DD324" s="108"/>
      <c r="DE324" s="677">
        <v>110850</v>
      </c>
      <c r="DF324" s="677">
        <v>108330</v>
      </c>
      <c r="DG324" s="108"/>
      <c r="DI324" s="677"/>
    </row>
    <row r="325" spans="1:125" s="481" customFormat="1" ht="15" hidden="1">
      <c r="U325" s="483"/>
      <c r="V325" s="483"/>
      <c r="W325" s="483"/>
      <c r="X325" s="106"/>
      <c r="Y325" s="106"/>
      <c r="Z325" s="106"/>
      <c r="AA325" s="106"/>
      <c r="AB325" s="106"/>
      <c r="AC325" s="483"/>
      <c r="AD325" s="483"/>
      <c r="AE325" s="483"/>
      <c r="AF325" s="483"/>
      <c r="AG325" s="483"/>
      <c r="AH325" s="483"/>
      <c r="BO325" s="505"/>
      <c r="BP325" s="738"/>
      <c r="BQ325" s="482"/>
      <c r="BR325" s="482"/>
      <c r="BS325" s="482"/>
      <c r="BT325" s="482"/>
      <c r="BU325" s="482"/>
      <c r="BV325" s="482"/>
      <c r="BW325" s="482"/>
      <c r="CZ325" s="481" t="str">
        <f>IF(CL274=1,"",CV285)</f>
        <v/>
      </c>
      <c r="DB325" s="484"/>
      <c r="DC325" s="481">
        <v>80</v>
      </c>
      <c r="DD325" s="108"/>
      <c r="DE325" s="677">
        <v>108330</v>
      </c>
      <c r="DF325" s="677">
        <v>110850</v>
      </c>
      <c r="DG325" s="108"/>
    </row>
    <row r="326" spans="1:125" s="481" customFormat="1" ht="15" hidden="1">
      <c r="U326" s="483"/>
      <c r="V326" s="483"/>
      <c r="W326" s="483"/>
      <c r="X326" s="106"/>
      <c r="Y326" s="106"/>
      <c r="Z326" s="106"/>
      <c r="AA326" s="106"/>
      <c r="AB326" s="106"/>
      <c r="AC326" s="483"/>
      <c r="AD326" s="483"/>
      <c r="AE326" s="483"/>
      <c r="AF326" s="483"/>
      <c r="AG326" s="483"/>
      <c r="AH326" s="483"/>
      <c r="BO326" s="505"/>
      <c r="BP326" s="738"/>
      <c r="BQ326" s="482"/>
      <c r="BR326" s="482"/>
      <c r="BS326" s="482"/>
      <c r="BT326" s="482"/>
      <c r="BU326" s="482"/>
      <c r="BV326" s="482"/>
      <c r="BW326" s="482"/>
      <c r="DB326" s="484"/>
      <c r="DC326" s="481">
        <v>81</v>
      </c>
      <c r="DD326" s="108"/>
      <c r="DE326" s="677">
        <v>110850</v>
      </c>
      <c r="DF326" s="677">
        <v>110850</v>
      </c>
      <c r="DG326" s="108"/>
    </row>
    <row r="327" spans="1:125" s="481" customFormat="1" ht="15" hidden="1">
      <c r="U327" s="483"/>
      <c r="V327" s="483"/>
      <c r="W327" s="483"/>
      <c r="X327" s="106"/>
      <c r="Y327" s="106"/>
      <c r="Z327" s="106"/>
      <c r="AA327" s="106"/>
      <c r="AB327" s="106"/>
      <c r="AC327" s="483"/>
      <c r="AD327" s="483"/>
      <c r="AE327" s="483"/>
      <c r="AF327" s="483"/>
      <c r="AG327" s="483"/>
      <c r="AH327" s="483"/>
      <c r="BO327" s="505"/>
      <c r="BP327" s="597"/>
      <c r="BQ327" s="482"/>
      <c r="BR327" s="482"/>
      <c r="BS327" s="482"/>
      <c r="BT327" s="482"/>
      <c r="BU327" s="482"/>
      <c r="BV327" s="482"/>
      <c r="BW327" s="482"/>
      <c r="CZ327" s="481">
        <f>SUM(CZ323:CZ325)</f>
        <v>0</v>
      </c>
      <c r="DB327" s="484"/>
      <c r="DC327" s="481">
        <v>82</v>
      </c>
      <c r="DD327" s="108"/>
      <c r="DE327" s="677">
        <v>110850</v>
      </c>
      <c r="DF327" s="677">
        <v>110850</v>
      </c>
      <c r="DG327" s="108"/>
    </row>
    <row r="328" spans="1:125" s="481" customFormat="1" ht="15" hidden="1">
      <c r="U328" s="483"/>
      <c r="V328" s="483"/>
      <c r="W328" s="483"/>
      <c r="X328" s="106"/>
      <c r="Y328" s="106"/>
      <c r="Z328" s="106"/>
      <c r="AA328" s="106"/>
      <c r="AB328" s="106"/>
      <c r="AC328" s="483"/>
      <c r="AD328" s="483"/>
      <c r="AE328" s="483"/>
      <c r="AF328" s="483"/>
      <c r="AG328" s="483"/>
      <c r="AH328" s="483"/>
      <c r="BO328" s="505"/>
      <c r="BP328" s="738"/>
      <c r="BQ328" s="482"/>
      <c r="BR328" s="482"/>
      <c r="BS328" s="482"/>
      <c r="BT328" s="482"/>
      <c r="BU328" s="482"/>
      <c r="BV328" s="482"/>
      <c r="BW328" s="482"/>
      <c r="CZ328" s="481">
        <f>ROUND(CZ327/4,0)</f>
        <v>0</v>
      </c>
      <c r="DB328" s="484"/>
      <c r="DD328" s="108"/>
      <c r="DE328" s="109"/>
      <c r="DF328" s="109"/>
      <c r="DG328" s="108"/>
    </row>
    <row r="329" spans="1:125" s="481" customFormat="1" ht="15" hidden="1">
      <c r="U329" s="483"/>
      <c r="V329" s="483"/>
      <c r="W329" s="483"/>
      <c r="X329" s="106"/>
      <c r="Y329" s="106"/>
      <c r="Z329" s="106"/>
      <c r="AA329" s="106"/>
      <c r="AB329" s="106"/>
      <c r="AC329" s="483"/>
      <c r="AD329" s="483"/>
      <c r="AE329" s="483"/>
      <c r="AF329" s="483"/>
      <c r="AG329" s="483"/>
      <c r="AH329" s="483"/>
      <c r="BO329" s="505"/>
      <c r="DB329" s="484"/>
      <c r="DD329" s="108"/>
      <c r="DE329" s="109"/>
      <c r="DF329" s="109"/>
      <c r="DG329" s="108"/>
    </row>
    <row r="330" spans="1:125" s="481" customFormat="1" ht="15" hidden="1">
      <c r="U330" s="483"/>
      <c r="V330" s="483"/>
      <c r="W330" s="483"/>
      <c r="X330" s="106"/>
      <c r="Y330" s="106"/>
      <c r="Z330" s="106"/>
      <c r="AA330" s="106"/>
      <c r="AB330" s="106"/>
      <c r="AC330" s="483"/>
      <c r="AD330" s="483"/>
      <c r="AE330" s="483"/>
      <c r="AF330" s="483"/>
      <c r="AG330" s="483"/>
      <c r="AH330" s="483"/>
      <c r="DB330" s="484"/>
      <c r="DD330" s="108"/>
      <c r="DE330" s="109"/>
      <c r="DF330" s="109"/>
      <c r="DG330" s="108"/>
    </row>
    <row r="331" spans="1:125" s="481" customFormat="1" ht="15" hidden="1">
      <c r="U331" s="483"/>
      <c r="V331" s="483"/>
      <c r="W331" s="483"/>
      <c r="X331" s="106"/>
      <c r="Y331" s="106"/>
      <c r="Z331" s="106"/>
      <c r="AA331" s="106"/>
      <c r="AB331" s="106"/>
      <c r="AC331" s="483"/>
      <c r="AD331" s="483"/>
      <c r="AE331" s="483"/>
      <c r="AF331" s="483"/>
      <c r="AG331" s="483"/>
      <c r="AH331" s="483"/>
      <c r="DB331" s="484"/>
      <c r="DD331" s="108"/>
      <c r="DE331" s="109"/>
      <c r="DF331" s="109"/>
      <c r="DG331" s="108"/>
    </row>
    <row r="332" spans="1:125" s="481" customFormat="1" ht="15" hidden="1">
      <c r="P332" s="140"/>
      <c r="U332" s="483"/>
      <c r="V332" s="483"/>
      <c r="W332" s="483"/>
      <c r="X332" s="106"/>
      <c r="Y332" s="106"/>
      <c r="Z332" s="106"/>
      <c r="AA332" s="106"/>
      <c r="AB332" s="106"/>
      <c r="AC332" s="483"/>
      <c r="AD332" s="483"/>
      <c r="AE332" s="483"/>
      <c r="AF332" s="483"/>
      <c r="AG332" s="483"/>
      <c r="AH332" s="483"/>
      <c r="DB332" s="484"/>
      <c r="DD332" s="108"/>
      <c r="DE332" s="109"/>
      <c r="DF332" s="109"/>
      <c r="DG332" s="108"/>
    </row>
    <row r="333" spans="1:125" s="481" customFormat="1" ht="15" hidden="1">
      <c r="P333" s="140"/>
      <c r="U333" s="483"/>
      <c r="V333" s="483"/>
      <c r="W333" s="483"/>
      <c r="X333" s="106"/>
      <c r="Y333" s="106"/>
      <c r="Z333" s="106"/>
      <c r="AA333" s="106"/>
      <c r="AB333" s="106"/>
      <c r="AC333" s="483"/>
      <c r="AD333" s="483"/>
      <c r="AE333" s="483"/>
      <c r="AF333" s="483"/>
      <c r="AG333" s="483"/>
      <c r="AH333" s="483"/>
      <c r="DB333" s="484"/>
      <c r="DD333" s="108"/>
      <c r="DE333" s="109"/>
      <c r="DF333" s="109"/>
      <c r="DG333" s="108"/>
    </row>
    <row r="334" spans="1:125">
      <c r="A334" s="110"/>
      <c r="B334" s="110"/>
      <c r="C334" s="110"/>
      <c r="D334" s="110"/>
      <c r="E334" s="110"/>
      <c r="F334" s="110"/>
      <c r="G334" s="110"/>
      <c r="H334" s="110"/>
      <c r="I334" s="110"/>
      <c r="J334" s="110"/>
      <c r="K334" s="110"/>
      <c r="L334" s="110"/>
      <c r="M334" s="110"/>
      <c r="N334" s="110"/>
      <c r="O334" s="110"/>
      <c r="P334" s="110"/>
      <c r="Q334" s="110"/>
      <c r="R334" s="110"/>
      <c r="S334" s="110"/>
      <c r="T334" s="110"/>
      <c r="U334" s="111"/>
      <c r="V334" s="111"/>
      <c r="W334" s="111"/>
      <c r="X334" s="112"/>
      <c r="Y334" s="112"/>
      <c r="Z334" s="112"/>
      <c r="AA334" s="112"/>
      <c r="AB334" s="112"/>
      <c r="AC334" s="111"/>
      <c r="AD334" s="111"/>
      <c r="AE334" s="111"/>
      <c r="AF334" s="111"/>
      <c r="AG334" s="111"/>
      <c r="AH334" s="111"/>
      <c r="AI334" s="110"/>
      <c r="AJ334" s="110"/>
      <c r="AK334" s="110"/>
      <c r="AL334" s="110"/>
      <c r="AM334" s="110"/>
      <c r="AN334" s="110"/>
      <c r="AO334" s="110"/>
      <c r="AP334" s="110"/>
      <c r="AQ334" s="110"/>
      <c r="AR334" s="110"/>
      <c r="AS334" s="110"/>
      <c r="AT334" s="110"/>
      <c r="AU334" s="110"/>
      <c r="AV334" s="110"/>
      <c r="AW334" s="110"/>
      <c r="AX334" s="110"/>
      <c r="AY334" s="110"/>
      <c r="AZ334" s="110"/>
      <c r="BA334" s="110"/>
      <c r="BB334" s="110"/>
      <c r="BC334" s="110"/>
      <c r="BD334" s="110"/>
      <c r="BE334" s="110"/>
      <c r="BF334" s="110"/>
      <c r="BG334" s="110"/>
      <c r="BH334" s="110"/>
      <c r="BI334" s="110"/>
      <c r="BJ334" s="110"/>
      <c r="BK334" s="110"/>
      <c r="BL334" s="110"/>
      <c r="BM334" s="110"/>
      <c r="BN334" s="110"/>
      <c r="BO334" s="110"/>
      <c r="BP334" s="110"/>
      <c r="BQ334" s="110"/>
      <c r="BR334" s="110"/>
      <c r="BS334" s="110"/>
      <c r="BT334" s="110"/>
      <c r="BU334" s="110"/>
      <c r="BV334" s="110"/>
      <c r="BW334" s="110"/>
      <c r="BX334" s="110"/>
      <c r="BY334" s="110"/>
      <c r="BZ334" s="110"/>
      <c r="CA334" s="110"/>
      <c r="CB334" s="110"/>
      <c r="CC334" s="110"/>
      <c r="CD334" s="110"/>
      <c r="CE334" s="110"/>
      <c r="CF334" s="110"/>
      <c r="CG334" s="110"/>
      <c r="CH334" s="110"/>
      <c r="CI334" s="110"/>
      <c r="CJ334" s="110"/>
      <c r="CK334" s="110"/>
      <c r="CL334" s="110"/>
      <c r="CM334" s="110"/>
      <c r="CN334" s="110"/>
      <c r="CO334" s="110"/>
    </row>
    <row r="335" spans="1:125">
      <c r="A335" s="110"/>
      <c r="B335" s="110"/>
      <c r="C335" s="110"/>
      <c r="D335" s="110"/>
      <c r="E335" s="110"/>
      <c r="F335" s="110"/>
      <c r="G335" s="110"/>
      <c r="H335" s="110"/>
      <c r="I335" s="110"/>
      <c r="J335" s="110"/>
      <c r="K335" s="110"/>
      <c r="L335" s="110"/>
      <c r="M335" s="110"/>
      <c r="N335" s="110"/>
      <c r="O335" s="110"/>
      <c r="P335" s="110"/>
      <c r="Q335" s="110"/>
      <c r="R335" s="110"/>
      <c r="S335" s="110"/>
      <c r="T335" s="110"/>
      <c r="U335" s="111"/>
      <c r="V335" s="111"/>
      <c r="W335" s="111"/>
      <c r="X335" s="112"/>
      <c r="Y335" s="112"/>
      <c r="Z335" s="112"/>
      <c r="AA335" s="112"/>
      <c r="AB335" s="112"/>
      <c r="AC335" s="111"/>
      <c r="AD335" s="111"/>
      <c r="AE335" s="111"/>
      <c r="AF335" s="111"/>
      <c r="AG335" s="111"/>
      <c r="AH335" s="111"/>
      <c r="AI335" s="110"/>
      <c r="AJ335" s="110"/>
      <c r="AK335" s="110"/>
      <c r="AL335" s="110"/>
      <c r="AM335" s="110"/>
      <c r="AN335" s="110"/>
      <c r="AO335" s="110"/>
      <c r="AP335" s="110"/>
      <c r="AQ335" s="110"/>
      <c r="AR335" s="110"/>
      <c r="AS335" s="110"/>
      <c r="AT335" s="110"/>
      <c r="AU335" s="110"/>
      <c r="AV335" s="110"/>
      <c r="AW335" s="110"/>
      <c r="AX335" s="110"/>
      <c r="AY335" s="110"/>
      <c r="AZ335" s="110"/>
      <c r="BA335" s="110"/>
      <c r="BB335" s="110"/>
      <c r="BC335" s="110"/>
      <c r="BD335" s="110"/>
      <c r="BE335" s="110"/>
      <c r="BF335" s="110"/>
      <c r="BG335" s="110"/>
      <c r="BH335" s="110"/>
      <c r="BI335" s="110"/>
      <c r="BJ335" s="110"/>
      <c r="BK335" s="110"/>
      <c r="BL335" s="110"/>
      <c r="BM335" s="110"/>
      <c r="BN335" s="110"/>
      <c r="BO335" s="110"/>
      <c r="BP335" s="110"/>
      <c r="BQ335" s="110"/>
      <c r="BR335" s="110"/>
      <c r="BS335" s="110"/>
      <c r="BT335" s="110"/>
      <c r="BU335" s="110"/>
      <c r="BV335" s="110"/>
      <c r="BW335" s="110"/>
      <c r="BX335" s="110"/>
      <c r="BY335" s="110"/>
      <c r="BZ335" s="110"/>
      <c r="CA335" s="110"/>
      <c r="CB335" s="110"/>
      <c r="CC335" s="110"/>
      <c r="CD335" s="110"/>
      <c r="CE335" s="110"/>
      <c r="CF335" s="110"/>
      <c r="CG335" s="110"/>
      <c r="CH335" s="110"/>
      <c r="CI335" s="110"/>
      <c r="CJ335" s="110"/>
      <c r="CK335" s="110"/>
      <c r="CL335" s="110"/>
      <c r="CM335" s="110"/>
      <c r="CN335" s="110"/>
      <c r="CO335" s="110"/>
    </row>
    <row r="336" spans="1:125">
      <c r="A336" s="110"/>
      <c r="B336" s="110"/>
      <c r="C336" s="110"/>
      <c r="D336" s="110"/>
      <c r="E336" s="110"/>
      <c r="F336" s="110"/>
      <c r="G336" s="110"/>
      <c r="H336" s="110"/>
      <c r="I336" s="110"/>
      <c r="J336" s="110"/>
      <c r="K336" s="110"/>
      <c r="L336" s="110"/>
      <c r="M336" s="110"/>
      <c r="N336" s="110"/>
      <c r="O336" s="110"/>
      <c r="P336" s="110"/>
      <c r="Q336" s="110"/>
      <c r="R336" s="110"/>
      <c r="S336" s="110"/>
      <c r="T336" s="110"/>
      <c r="U336" s="111"/>
      <c r="V336" s="111"/>
      <c r="W336" s="111"/>
      <c r="X336" s="112"/>
      <c r="Y336" s="112"/>
      <c r="Z336" s="112"/>
      <c r="AA336" s="112"/>
      <c r="AB336" s="112"/>
      <c r="AC336" s="111"/>
      <c r="AD336" s="111"/>
      <c r="AE336" s="111"/>
      <c r="AF336" s="111"/>
      <c r="AG336" s="111"/>
      <c r="AH336" s="111"/>
      <c r="AI336" s="110"/>
      <c r="AJ336" s="110"/>
      <c r="AK336" s="110"/>
      <c r="AL336" s="110"/>
      <c r="AM336" s="110"/>
      <c r="AN336" s="110"/>
      <c r="AO336" s="110"/>
      <c r="AP336" s="110"/>
      <c r="AQ336" s="110"/>
      <c r="AR336" s="110"/>
      <c r="AS336" s="110"/>
      <c r="AT336" s="110"/>
      <c r="AU336" s="110"/>
      <c r="AV336" s="110"/>
      <c r="AW336" s="110"/>
      <c r="AX336" s="110"/>
      <c r="AY336" s="110"/>
      <c r="AZ336" s="110"/>
      <c r="BA336" s="110"/>
      <c r="BB336" s="110"/>
      <c r="BC336" s="110"/>
      <c r="BD336" s="110"/>
      <c r="BE336" s="110"/>
      <c r="BF336" s="110"/>
      <c r="BG336" s="110"/>
      <c r="BH336" s="110"/>
      <c r="BI336" s="110"/>
      <c r="BJ336" s="110"/>
      <c r="BK336" s="110"/>
      <c r="BL336" s="110"/>
      <c r="BM336" s="110"/>
      <c r="BN336" s="110"/>
      <c r="BO336" s="110"/>
      <c r="BP336" s="110"/>
      <c r="BQ336" s="110"/>
      <c r="BR336" s="110"/>
      <c r="BS336" s="110"/>
      <c r="BT336" s="110"/>
      <c r="BU336" s="110"/>
      <c r="BV336" s="110"/>
      <c r="BW336" s="110"/>
      <c r="BX336" s="110"/>
      <c r="BY336" s="110"/>
      <c r="BZ336" s="110"/>
      <c r="CA336" s="110"/>
      <c r="CB336" s="110"/>
      <c r="CC336" s="110"/>
      <c r="CD336" s="110"/>
      <c r="CE336" s="110"/>
      <c r="CF336" s="110"/>
      <c r="CG336" s="110"/>
      <c r="CH336" s="110"/>
      <c r="CI336" s="110"/>
      <c r="CJ336" s="110"/>
      <c r="CK336" s="110"/>
      <c r="CL336" s="110"/>
      <c r="CM336" s="110"/>
      <c r="CN336" s="110"/>
      <c r="CO336" s="110"/>
    </row>
    <row r="337" spans="1:93">
      <c r="A337" s="110"/>
      <c r="B337" s="110"/>
      <c r="C337" s="110"/>
      <c r="D337" s="110"/>
      <c r="E337" s="110"/>
      <c r="F337" s="110"/>
      <c r="G337" s="110"/>
      <c r="H337" s="110"/>
      <c r="I337" s="110"/>
      <c r="J337" s="110"/>
      <c r="K337" s="110"/>
      <c r="L337" s="110"/>
      <c r="M337" s="110"/>
      <c r="N337" s="110"/>
      <c r="O337" s="110"/>
      <c r="P337" s="110"/>
      <c r="Q337" s="110"/>
      <c r="R337" s="110"/>
      <c r="S337" s="110"/>
      <c r="T337" s="110"/>
      <c r="U337" s="111"/>
      <c r="V337" s="111"/>
      <c r="W337" s="111"/>
      <c r="X337" s="112"/>
      <c r="Y337" s="112"/>
      <c r="Z337" s="112"/>
      <c r="AA337" s="112"/>
      <c r="AB337" s="112"/>
      <c r="AC337" s="111"/>
      <c r="AD337" s="111"/>
      <c r="AE337" s="111"/>
      <c r="AF337" s="111"/>
      <c r="AG337" s="111"/>
      <c r="AH337" s="111"/>
      <c r="AI337" s="110"/>
      <c r="AJ337" s="110"/>
      <c r="AK337" s="110"/>
      <c r="AL337" s="110"/>
      <c r="AM337" s="110"/>
      <c r="AN337" s="110"/>
      <c r="AO337" s="110"/>
      <c r="AP337" s="110"/>
      <c r="AQ337" s="110"/>
      <c r="AR337" s="110"/>
      <c r="AS337" s="110"/>
      <c r="AT337" s="110"/>
      <c r="AU337" s="110"/>
      <c r="AV337" s="110"/>
      <c r="AW337" s="110"/>
      <c r="AX337" s="110"/>
      <c r="AY337" s="110"/>
      <c r="AZ337" s="110"/>
      <c r="BA337" s="110"/>
      <c r="BB337" s="110"/>
      <c r="BC337" s="110"/>
      <c r="BD337" s="110"/>
      <c r="BE337" s="110"/>
      <c r="BF337" s="110"/>
      <c r="BG337" s="110"/>
      <c r="BH337" s="110"/>
      <c r="BI337" s="110"/>
      <c r="BJ337" s="110"/>
      <c r="BK337" s="110"/>
      <c r="BL337" s="110"/>
      <c r="BM337" s="110"/>
      <c r="BN337" s="110"/>
      <c r="BO337" s="110"/>
      <c r="BP337" s="110"/>
      <c r="BQ337" s="110"/>
      <c r="BR337" s="110"/>
      <c r="BS337" s="110"/>
      <c r="BT337" s="110"/>
      <c r="BU337" s="110"/>
      <c r="BV337" s="110"/>
      <c r="BW337" s="110"/>
      <c r="BX337" s="110"/>
      <c r="BY337" s="110"/>
      <c r="BZ337" s="110"/>
      <c r="CA337" s="110"/>
      <c r="CB337" s="110"/>
      <c r="CC337" s="110"/>
      <c r="CD337" s="110"/>
      <c r="CE337" s="110"/>
      <c r="CF337" s="110"/>
      <c r="CG337" s="110"/>
      <c r="CH337" s="110"/>
      <c r="CI337" s="110"/>
      <c r="CJ337" s="110"/>
      <c r="CK337" s="110"/>
      <c r="CL337" s="110"/>
      <c r="CM337" s="110"/>
      <c r="CN337" s="110"/>
      <c r="CO337" s="110"/>
    </row>
    <row r="338" spans="1:93">
      <c r="A338" s="110"/>
      <c r="B338" s="110"/>
      <c r="C338" s="110"/>
      <c r="D338" s="110"/>
      <c r="E338" s="110"/>
      <c r="F338" s="110"/>
      <c r="G338" s="110"/>
      <c r="H338" s="110"/>
      <c r="I338" s="110"/>
      <c r="J338" s="110"/>
      <c r="K338" s="110"/>
      <c r="L338" s="110"/>
      <c r="M338" s="110"/>
      <c r="N338" s="110"/>
      <c r="O338" s="110"/>
      <c r="P338" s="110"/>
      <c r="Q338" s="110"/>
      <c r="R338" s="110"/>
      <c r="S338" s="110"/>
      <c r="T338" s="110"/>
      <c r="U338" s="111"/>
      <c r="V338" s="111"/>
      <c r="W338" s="111"/>
      <c r="X338" s="112"/>
      <c r="Y338" s="112"/>
      <c r="Z338" s="112"/>
      <c r="AA338" s="112"/>
      <c r="AB338" s="112"/>
      <c r="AC338" s="111"/>
      <c r="AD338" s="111"/>
      <c r="AE338" s="111"/>
      <c r="AF338" s="111"/>
      <c r="AG338" s="111"/>
      <c r="AH338" s="111"/>
      <c r="AI338" s="110"/>
      <c r="AJ338" s="110"/>
      <c r="AK338" s="110"/>
      <c r="AL338" s="110"/>
      <c r="AM338" s="110"/>
      <c r="AN338" s="110"/>
      <c r="AO338" s="110"/>
      <c r="AP338" s="110"/>
      <c r="AQ338" s="110"/>
      <c r="AR338" s="110"/>
      <c r="AS338" s="110"/>
      <c r="AT338" s="110"/>
      <c r="AU338" s="110"/>
      <c r="AV338" s="110"/>
      <c r="AW338" s="110"/>
      <c r="AX338" s="110"/>
      <c r="AY338" s="110"/>
      <c r="AZ338" s="110"/>
      <c r="BA338" s="110"/>
      <c r="BB338" s="110"/>
      <c r="BC338" s="110"/>
      <c r="BD338" s="110"/>
      <c r="BE338" s="110"/>
      <c r="BF338" s="110"/>
      <c r="BG338" s="110"/>
      <c r="BH338" s="110"/>
      <c r="BI338" s="110"/>
      <c r="BJ338" s="110"/>
      <c r="BK338" s="110"/>
      <c r="BL338" s="110"/>
      <c r="BM338" s="110"/>
      <c r="BN338" s="110"/>
      <c r="BO338" s="110"/>
      <c r="BP338" s="110"/>
      <c r="BQ338" s="110"/>
      <c r="BR338" s="110"/>
      <c r="BS338" s="110"/>
      <c r="BT338" s="110"/>
      <c r="BU338" s="110"/>
      <c r="BV338" s="110"/>
      <c r="BW338" s="110"/>
      <c r="BX338" s="110"/>
      <c r="BY338" s="110"/>
      <c r="BZ338" s="110"/>
      <c r="CA338" s="110"/>
      <c r="CB338" s="110"/>
      <c r="CC338" s="110"/>
      <c r="CD338" s="110"/>
      <c r="CE338" s="110"/>
      <c r="CF338" s="110"/>
      <c r="CG338" s="110"/>
      <c r="CH338" s="110"/>
      <c r="CI338" s="110"/>
      <c r="CJ338" s="110"/>
      <c r="CK338" s="110"/>
      <c r="CL338" s="110"/>
      <c r="CM338" s="110"/>
      <c r="CN338" s="110"/>
      <c r="CO338" s="110"/>
    </row>
    <row r="339" spans="1:93">
      <c r="A339" s="110"/>
      <c r="B339" s="110"/>
      <c r="C339" s="110"/>
      <c r="D339" s="110"/>
      <c r="E339" s="110"/>
      <c r="F339" s="110"/>
      <c r="G339" s="110"/>
      <c r="H339" s="110"/>
      <c r="I339" s="110"/>
      <c r="J339" s="110"/>
      <c r="K339" s="110"/>
      <c r="L339" s="110"/>
      <c r="M339" s="110"/>
      <c r="N339" s="110"/>
      <c r="O339" s="110"/>
      <c r="P339" s="110"/>
      <c r="Q339" s="110"/>
      <c r="R339" s="110"/>
      <c r="S339" s="110"/>
      <c r="T339" s="110"/>
      <c r="U339" s="111"/>
      <c r="V339" s="111"/>
      <c r="W339" s="111"/>
      <c r="X339" s="112"/>
      <c r="Y339" s="112"/>
      <c r="Z339" s="112"/>
      <c r="AA339" s="112"/>
      <c r="AB339" s="112"/>
      <c r="AC339" s="111"/>
      <c r="AD339" s="111"/>
      <c r="AE339" s="111"/>
      <c r="AF339" s="111"/>
      <c r="AG339" s="111"/>
      <c r="AH339" s="111"/>
      <c r="AI339" s="110"/>
      <c r="AJ339" s="110"/>
      <c r="AK339" s="110"/>
      <c r="AL339" s="110"/>
      <c r="AM339" s="110"/>
      <c r="AN339" s="110"/>
      <c r="AO339" s="110"/>
      <c r="AP339" s="110"/>
      <c r="AQ339" s="110"/>
      <c r="AR339" s="110"/>
      <c r="AS339" s="110"/>
      <c r="AT339" s="110"/>
      <c r="AU339" s="110"/>
      <c r="AV339" s="110"/>
      <c r="AW339" s="110"/>
      <c r="AX339" s="110"/>
      <c r="AY339" s="110"/>
      <c r="AZ339" s="110"/>
      <c r="BA339" s="110"/>
      <c r="BB339" s="110"/>
      <c r="BC339" s="110"/>
      <c r="BD339" s="110"/>
      <c r="BE339" s="110"/>
      <c r="BF339" s="110"/>
      <c r="BG339" s="110"/>
      <c r="BH339" s="110"/>
      <c r="BI339" s="110"/>
      <c r="BJ339" s="110"/>
      <c r="BK339" s="110"/>
      <c r="BL339" s="110"/>
      <c r="BM339" s="110"/>
      <c r="BN339" s="110"/>
      <c r="BO339" s="110"/>
      <c r="BP339" s="110"/>
      <c r="BQ339" s="110"/>
      <c r="BR339" s="110"/>
      <c r="BS339" s="110"/>
      <c r="BT339" s="110"/>
      <c r="BU339" s="110"/>
      <c r="BV339" s="110"/>
      <c r="BW339" s="110"/>
      <c r="BX339" s="110"/>
      <c r="BY339" s="110"/>
      <c r="BZ339" s="110"/>
      <c r="CA339" s="110"/>
      <c r="CB339" s="110"/>
      <c r="CC339" s="110"/>
      <c r="CD339" s="110"/>
      <c r="CE339" s="110"/>
      <c r="CF339" s="110"/>
      <c r="CG339" s="110"/>
      <c r="CH339" s="110"/>
      <c r="CI339" s="110"/>
      <c r="CJ339" s="110"/>
      <c r="CK339" s="110"/>
      <c r="CL339" s="110"/>
      <c r="CM339" s="110"/>
      <c r="CN339" s="110"/>
      <c r="CO339" s="110"/>
    </row>
    <row r="340" spans="1:93">
      <c r="A340" s="110"/>
      <c r="B340" s="110"/>
      <c r="C340" s="110"/>
      <c r="D340" s="110"/>
      <c r="E340" s="110"/>
      <c r="F340" s="110"/>
      <c r="G340" s="110"/>
      <c r="H340" s="110"/>
      <c r="I340" s="110"/>
      <c r="J340" s="110"/>
      <c r="K340" s="110"/>
      <c r="L340" s="110"/>
      <c r="M340" s="110"/>
      <c r="N340" s="110"/>
      <c r="O340" s="110"/>
      <c r="P340" s="110"/>
      <c r="Q340" s="110"/>
      <c r="R340" s="110"/>
      <c r="S340" s="110"/>
      <c r="T340" s="110"/>
      <c r="U340" s="111"/>
      <c r="V340" s="111"/>
      <c r="W340" s="111"/>
      <c r="X340" s="112"/>
      <c r="Y340" s="112"/>
      <c r="Z340" s="112"/>
      <c r="AA340" s="112"/>
      <c r="AB340" s="112"/>
      <c r="AC340" s="111"/>
      <c r="AD340" s="111"/>
      <c r="AE340" s="111"/>
      <c r="AF340" s="111"/>
      <c r="AG340" s="111"/>
      <c r="AH340" s="111"/>
      <c r="AI340" s="110"/>
      <c r="AJ340" s="110"/>
      <c r="AK340" s="110"/>
      <c r="AL340" s="110"/>
      <c r="AM340" s="110"/>
      <c r="AN340" s="110"/>
      <c r="AO340" s="110"/>
      <c r="AP340" s="110"/>
      <c r="AQ340" s="110"/>
      <c r="AR340" s="110"/>
      <c r="AS340" s="110"/>
      <c r="AT340" s="110"/>
      <c r="AU340" s="110"/>
      <c r="AV340" s="110"/>
      <c r="AW340" s="110"/>
      <c r="AX340" s="110"/>
      <c r="AY340" s="110"/>
      <c r="AZ340" s="110"/>
      <c r="BA340" s="110"/>
      <c r="BB340" s="110"/>
      <c r="BC340" s="110"/>
      <c r="BD340" s="110"/>
      <c r="BE340" s="110"/>
      <c r="BF340" s="110"/>
      <c r="BG340" s="110"/>
      <c r="BH340" s="110"/>
      <c r="BI340" s="110"/>
      <c r="BJ340" s="110"/>
      <c r="BK340" s="110"/>
      <c r="BL340" s="110"/>
      <c r="BM340" s="110"/>
      <c r="BN340" s="110"/>
      <c r="BO340" s="110"/>
      <c r="BP340" s="110"/>
      <c r="BQ340" s="110"/>
      <c r="BR340" s="110"/>
      <c r="BS340" s="110"/>
      <c r="BT340" s="110"/>
      <c r="BU340" s="110"/>
      <c r="BV340" s="110"/>
      <c r="BW340" s="110"/>
      <c r="BX340" s="110"/>
      <c r="BY340" s="110"/>
      <c r="BZ340" s="110"/>
      <c r="CA340" s="110"/>
      <c r="CB340" s="110"/>
      <c r="CC340" s="110"/>
      <c r="CD340" s="110"/>
      <c r="CE340" s="110"/>
      <c r="CF340" s="110"/>
      <c r="CG340" s="110"/>
      <c r="CH340" s="110"/>
      <c r="CI340" s="110"/>
      <c r="CJ340" s="110"/>
      <c r="CK340" s="110"/>
      <c r="CL340" s="110"/>
      <c r="CM340" s="110"/>
      <c r="CN340" s="110"/>
      <c r="CO340" s="110"/>
    </row>
    <row r="341" spans="1:93">
      <c r="A341" s="110"/>
      <c r="B341" s="110"/>
      <c r="C341" s="110"/>
      <c r="D341" s="110"/>
      <c r="E341" s="110"/>
      <c r="F341" s="110"/>
      <c r="G341" s="110"/>
      <c r="H341" s="110"/>
      <c r="I341" s="110"/>
      <c r="J341" s="110"/>
      <c r="K341" s="110"/>
      <c r="L341" s="110"/>
      <c r="M341" s="110"/>
      <c r="N341" s="110"/>
      <c r="O341" s="110"/>
      <c r="P341" s="110"/>
      <c r="Q341" s="110"/>
      <c r="R341" s="110"/>
      <c r="S341" s="110"/>
      <c r="T341" s="110"/>
      <c r="U341" s="111"/>
      <c r="V341" s="111"/>
      <c r="W341" s="111"/>
      <c r="X341" s="112"/>
      <c r="Y341" s="112"/>
      <c r="Z341" s="112"/>
      <c r="AA341" s="112"/>
      <c r="AB341" s="112"/>
      <c r="AC341" s="111"/>
      <c r="AD341" s="111"/>
      <c r="AE341" s="111"/>
      <c r="AF341" s="111"/>
      <c r="AG341" s="111"/>
      <c r="AH341" s="111"/>
      <c r="AI341" s="110"/>
      <c r="AJ341" s="110"/>
      <c r="AK341" s="110"/>
      <c r="AL341" s="110"/>
      <c r="AM341" s="110"/>
      <c r="AN341" s="110"/>
      <c r="AO341" s="110"/>
      <c r="AP341" s="110"/>
      <c r="AQ341" s="110"/>
      <c r="AR341" s="110"/>
      <c r="AS341" s="110"/>
      <c r="AT341" s="110"/>
      <c r="AU341" s="110"/>
      <c r="AV341" s="110"/>
      <c r="AW341" s="110"/>
      <c r="AX341" s="110"/>
      <c r="AY341" s="110"/>
      <c r="AZ341" s="110"/>
      <c r="BA341" s="110"/>
      <c r="BB341" s="110"/>
      <c r="BC341" s="110"/>
      <c r="BD341" s="110"/>
      <c r="BE341" s="110"/>
      <c r="BF341" s="110"/>
      <c r="BG341" s="110"/>
      <c r="BH341" s="110"/>
      <c r="BI341" s="110"/>
      <c r="BJ341" s="110"/>
      <c r="BK341" s="110"/>
      <c r="BL341" s="110"/>
      <c r="BM341" s="110"/>
      <c r="BN341" s="110"/>
      <c r="BO341" s="110"/>
      <c r="BP341" s="110"/>
      <c r="BQ341" s="110"/>
      <c r="BR341" s="110"/>
      <c r="BS341" s="110"/>
      <c r="BT341" s="110"/>
      <c r="BU341" s="110"/>
      <c r="BV341" s="110"/>
      <c r="BW341" s="110"/>
      <c r="BX341" s="110"/>
      <c r="BY341" s="110"/>
      <c r="BZ341" s="110"/>
      <c r="CA341" s="110"/>
      <c r="CB341" s="110"/>
      <c r="CC341" s="110"/>
      <c r="CD341" s="110"/>
      <c r="CE341" s="110"/>
      <c r="CF341" s="110"/>
      <c r="CG341" s="110"/>
      <c r="CH341" s="110"/>
      <c r="CI341" s="110"/>
      <c r="CJ341" s="110"/>
      <c r="CK341" s="110"/>
      <c r="CL341" s="110"/>
      <c r="CM341" s="110"/>
      <c r="CN341" s="110"/>
      <c r="CO341" s="110"/>
    </row>
    <row r="342" spans="1:93">
      <c r="A342" s="110"/>
      <c r="B342" s="110"/>
      <c r="C342" s="110"/>
      <c r="D342" s="110"/>
      <c r="E342" s="110"/>
      <c r="F342" s="110"/>
      <c r="G342" s="110"/>
      <c r="H342" s="110"/>
      <c r="I342" s="110"/>
      <c r="J342" s="110"/>
      <c r="K342" s="110"/>
      <c r="L342" s="110"/>
      <c r="M342" s="110"/>
      <c r="N342" s="110"/>
      <c r="O342" s="110"/>
      <c r="P342" s="110"/>
      <c r="Q342" s="110"/>
      <c r="R342" s="110"/>
      <c r="S342" s="110"/>
      <c r="T342" s="110"/>
      <c r="U342" s="111"/>
      <c r="V342" s="111"/>
      <c r="W342" s="111"/>
      <c r="X342" s="112"/>
      <c r="Y342" s="112"/>
      <c r="Z342" s="112"/>
      <c r="AA342" s="112"/>
      <c r="AB342" s="112"/>
      <c r="AC342" s="111"/>
      <c r="AD342" s="111"/>
      <c r="AE342" s="111"/>
      <c r="AF342" s="111"/>
      <c r="AG342" s="111"/>
      <c r="AH342" s="111"/>
      <c r="AI342" s="110"/>
      <c r="AJ342" s="110"/>
      <c r="AK342" s="110"/>
      <c r="AL342" s="110"/>
      <c r="AM342" s="110"/>
      <c r="AN342" s="110"/>
      <c r="AO342" s="110"/>
      <c r="AP342" s="110"/>
      <c r="AQ342" s="110"/>
      <c r="AR342" s="110"/>
      <c r="AS342" s="110"/>
      <c r="AT342" s="110"/>
      <c r="AU342" s="110"/>
      <c r="AV342" s="110"/>
      <c r="AW342" s="110"/>
      <c r="AX342" s="110"/>
      <c r="AY342" s="110"/>
      <c r="AZ342" s="110"/>
      <c r="BA342" s="110"/>
      <c r="BB342" s="110"/>
      <c r="BC342" s="110"/>
      <c r="BD342" s="110"/>
      <c r="BE342" s="110"/>
      <c r="BF342" s="110"/>
      <c r="BG342" s="110"/>
      <c r="BH342" s="110"/>
      <c r="BI342" s="110"/>
      <c r="BJ342" s="110"/>
      <c r="BK342" s="110"/>
      <c r="BL342" s="110"/>
      <c r="BM342" s="110"/>
      <c r="BN342" s="110"/>
      <c r="BO342" s="110"/>
      <c r="BP342" s="110"/>
      <c r="BQ342" s="110"/>
      <c r="BR342" s="110"/>
      <c r="BS342" s="110"/>
      <c r="BT342" s="110"/>
      <c r="BU342" s="110"/>
      <c r="BV342" s="110"/>
      <c r="BW342" s="110"/>
      <c r="BX342" s="110"/>
      <c r="BY342" s="110"/>
      <c r="BZ342" s="110"/>
      <c r="CA342" s="110"/>
      <c r="CB342" s="110"/>
      <c r="CC342" s="110"/>
      <c r="CD342" s="110"/>
      <c r="CE342" s="110"/>
      <c r="CF342" s="110"/>
      <c r="CG342" s="110"/>
      <c r="CH342" s="110"/>
      <c r="CI342" s="110"/>
      <c r="CJ342" s="110"/>
      <c r="CK342" s="110"/>
      <c r="CL342" s="110"/>
      <c r="CM342" s="110"/>
      <c r="CN342" s="110"/>
      <c r="CO342" s="110"/>
    </row>
    <row r="343" spans="1:93">
      <c r="A343" s="110"/>
      <c r="B343" s="110"/>
      <c r="C343" s="110"/>
      <c r="D343" s="110"/>
      <c r="E343" s="110"/>
      <c r="F343" s="110"/>
      <c r="G343" s="110"/>
      <c r="H343" s="110"/>
      <c r="I343" s="110"/>
      <c r="J343" s="110"/>
      <c r="K343" s="110"/>
      <c r="L343" s="110"/>
      <c r="M343" s="110"/>
      <c r="N343" s="110"/>
      <c r="O343" s="110"/>
      <c r="P343" s="110"/>
      <c r="Q343" s="110"/>
      <c r="R343" s="110"/>
      <c r="S343" s="110"/>
      <c r="T343" s="110"/>
      <c r="U343" s="111"/>
      <c r="V343" s="111"/>
      <c r="W343" s="111"/>
      <c r="X343" s="112"/>
      <c r="Y343" s="112"/>
      <c r="Z343" s="112"/>
      <c r="AA343" s="112"/>
      <c r="AB343" s="112"/>
      <c r="AC343" s="111"/>
      <c r="AD343" s="111"/>
      <c r="AE343" s="111"/>
      <c r="AF343" s="111"/>
      <c r="AG343" s="111"/>
      <c r="AH343" s="111"/>
      <c r="AI343" s="110"/>
      <c r="AJ343" s="110"/>
      <c r="AK343" s="110"/>
      <c r="AL343" s="110"/>
      <c r="AM343" s="110"/>
      <c r="AN343" s="110"/>
      <c r="AO343" s="110"/>
      <c r="AP343" s="110"/>
      <c r="AQ343" s="110"/>
      <c r="AR343" s="110"/>
      <c r="AS343" s="110"/>
      <c r="AT343" s="110"/>
      <c r="AU343" s="110"/>
      <c r="AV343" s="110"/>
      <c r="AW343" s="110"/>
      <c r="AX343" s="110"/>
      <c r="AY343" s="110"/>
      <c r="AZ343" s="110"/>
      <c r="BA343" s="110"/>
      <c r="BB343" s="110"/>
      <c r="BC343" s="110"/>
      <c r="BD343" s="110"/>
      <c r="BE343" s="110"/>
      <c r="BF343" s="110"/>
      <c r="BG343" s="110"/>
      <c r="BH343" s="110"/>
      <c r="BI343" s="110"/>
      <c r="BJ343" s="110"/>
      <c r="BK343" s="110"/>
      <c r="BL343" s="110"/>
      <c r="BM343" s="110"/>
      <c r="BN343" s="110"/>
      <c r="BO343" s="110"/>
      <c r="BP343" s="110"/>
      <c r="BQ343" s="110"/>
      <c r="BR343" s="110"/>
      <c r="BS343" s="110"/>
      <c r="BT343" s="110"/>
      <c r="BU343" s="110"/>
      <c r="BV343" s="110"/>
      <c r="BW343" s="110"/>
      <c r="BX343" s="110"/>
      <c r="BY343" s="110"/>
      <c r="BZ343" s="110"/>
      <c r="CA343" s="110"/>
      <c r="CB343" s="110"/>
      <c r="CC343" s="110"/>
      <c r="CD343" s="110"/>
      <c r="CE343" s="110"/>
      <c r="CF343" s="110"/>
      <c r="CG343" s="110"/>
      <c r="CH343" s="110"/>
      <c r="CI343" s="110"/>
      <c r="CJ343" s="110"/>
      <c r="CK343" s="110"/>
      <c r="CL343" s="110"/>
      <c r="CM343" s="110"/>
      <c r="CN343" s="110"/>
      <c r="CO343" s="110"/>
    </row>
    <row r="344" spans="1:93">
      <c r="A344" s="110"/>
      <c r="B344" s="110"/>
      <c r="C344" s="110"/>
      <c r="D344" s="110"/>
      <c r="E344" s="110"/>
      <c r="F344" s="110"/>
      <c r="G344" s="110"/>
      <c r="H344" s="110"/>
      <c r="I344" s="110"/>
      <c r="J344" s="110"/>
      <c r="K344" s="110"/>
      <c r="L344" s="110"/>
      <c r="M344" s="110"/>
      <c r="N344" s="110"/>
      <c r="O344" s="110"/>
      <c r="P344" s="110"/>
      <c r="Q344" s="110"/>
      <c r="R344" s="110"/>
      <c r="S344" s="110"/>
      <c r="T344" s="110"/>
      <c r="U344" s="111"/>
      <c r="V344" s="111"/>
      <c r="W344" s="111"/>
      <c r="X344" s="112"/>
      <c r="Y344" s="112"/>
      <c r="Z344" s="112"/>
      <c r="AA344" s="112"/>
      <c r="AB344" s="112"/>
      <c r="AC344" s="111"/>
      <c r="AD344" s="111"/>
      <c r="AE344" s="111"/>
      <c r="AF344" s="111"/>
      <c r="AG344" s="111"/>
      <c r="AH344" s="111"/>
      <c r="AI344" s="110"/>
      <c r="AJ344" s="110"/>
      <c r="AK344" s="110"/>
      <c r="AL344" s="110"/>
      <c r="AM344" s="110"/>
      <c r="AN344" s="110"/>
      <c r="AO344" s="110"/>
      <c r="AP344" s="110"/>
      <c r="AQ344" s="110"/>
      <c r="AR344" s="110"/>
      <c r="AS344" s="110"/>
      <c r="AT344" s="110"/>
      <c r="AU344" s="110"/>
      <c r="AV344" s="110"/>
      <c r="AW344" s="110"/>
      <c r="AX344" s="110"/>
      <c r="AY344" s="110"/>
      <c r="AZ344" s="110"/>
      <c r="BA344" s="110"/>
      <c r="BB344" s="110"/>
      <c r="BC344" s="110"/>
      <c r="BD344" s="110"/>
      <c r="BE344" s="110"/>
      <c r="BF344" s="110"/>
      <c r="BG344" s="110"/>
      <c r="BH344" s="110"/>
      <c r="BI344" s="110"/>
      <c r="BJ344" s="110"/>
      <c r="BK344" s="110"/>
      <c r="BL344" s="110"/>
      <c r="BM344" s="110"/>
      <c r="BN344" s="110"/>
      <c r="BO344" s="110"/>
      <c r="BP344" s="110"/>
      <c r="BQ344" s="110"/>
      <c r="BR344" s="110"/>
      <c r="BS344" s="110"/>
      <c r="BT344" s="110"/>
      <c r="BU344" s="110"/>
      <c r="BV344" s="110"/>
      <c r="BW344" s="110"/>
      <c r="BX344" s="110"/>
      <c r="BY344" s="110"/>
      <c r="BZ344" s="110"/>
      <c r="CA344" s="110"/>
      <c r="CB344" s="110"/>
      <c r="CC344" s="110"/>
      <c r="CD344" s="110"/>
      <c r="CE344" s="110"/>
      <c r="CF344" s="110"/>
      <c r="CG344" s="110"/>
      <c r="CH344" s="110"/>
      <c r="CI344" s="110"/>
      <c r="CJ344" s="110"/>
      <c r="CK344" s="110"/>
      <c r="CL344" s="110"/>
      <c r="CM344" s="110"/>
      <c r="CN344" s="110"/>
      <c r="CO344" s="110"/>
    </row>
    <row r="345" spans="1:93">
      <c r="A345" s="110"/>
      <c r="B345" s="110"/>
      <c r="C345" s="110"/>
      <c r="D345" s="110"/>
      <c r="E345" s="110"/>
      <c r="F345" s="110"/>
      <c r="G345" s="110"/>
      <c r="H345" s="110"/>
      <c r="I345" s="110"/>
      <c r="J345" s="110"/>
      <c r="K345" s="110"/>
      <c r="L345" s="110"/>
      <c r="M345" s="110"/>
      <c r="N345" s="110"/>
      <c r="O345" s="110"/>
      <c r="P345" s="110"/>
      <c r="Q345" s="110"/>
      <c r="R345" s="110"/>
      <c r="S345" s="110"/>
      <c r="T345" s="110"/>
      <c r="U345" s="111"/>
      <c r="V345" s="111"/>
      <c r="W345" s="111"/>
      <c r="X345" s="112"/>
      <c r="Y345" s="112"/>
      <c r="Z345" s="112"/>
      <c r="AA345" s="112"/>
      <c r="AB345" s="112"/>
      <c r="AC345" s="111"/>
      <c r="AD345" s="111"/>
      <c r="AE345" s="111"/>
      <c r="AF345" s="111"/>
      <c r="AG345" s="111"/>
      <c r="AH345" s="111"/>
      <c r="AI345" s="110"/>
      <c r="AJ345" s="110"/>
      <c r="AK345" s="110"/>
      <c r="AL345" s="110"/>
      <c r="AM345" s="110"/>
      <c r="AN345" s="110"/>
      <c r="AO345" s="110"/>
      <c r="AP345" s="110"/>
      <c r="AQ345" s="110"/>
      <c r="AR345" s="110"/>
      <c r="AS345" s="110"/>
      <c r="AT345" s="110"/>
      <c r="AU345" s="110"/>
      <c r="AV345" s="110"/>
      <c r="AW345" s="110"/>
      <c r="AX345" s="110"/>
      <c r="AY345" s="110"/>
      <c r="AZ345" s="110"/>
      <c r="BA345" s="110"/>
      <c r="BB345" s="110"/>
      <c r="BC345" s="110"/>
      <c r="BD345" s="110"/>
      <c r="BE345" s="110"/>
      <c r="BF345" s="110"/>
      <c r="BG345" s="110"/>
      <c r="BH345" s="110"/>
      <c r="BI345" s="110"/>
      <c r="BJ345" s="110"/>
      <c r="BK345" s="110"/>
      <c r="BL345" s="110"/>
      <c r="BM345" s="110"/>
      <c r="BN345" s="110"/>
      <c r="BO345" s="110"/>
      <c r="BP345" s="110"/>
      <c r="BQ345" s="110"/>
      <c r="BR345" s="110"/>
      <c r="BS345" s="110"/>
      <c r="BT345" s="110"/>
      <c r="BU345" s="110"/>
      <c r="BV345" s="110"/>
      <c r="BW345" s="110"/>
      <c r="BX345" s="110"/>
      <c r="BY345" s="110"/>
      <c r="BZ345" s="110"/>
      <c r="CA345" s="110"/>
      <c r="CB345" s="110"/>
      <c r="CC345" s="110"/>
      <c r="CD345" s="110"/>
      <c r="CE345" s="110"/>
      <c r="CF345" s="110"/>
      <c r="CG345" s="110"/>
      <c r="CH345" s="110"/>
      <c r="CI345" s="110"/>
      <c r="CJ345" s="110"/>
      <c r="CK345" s="110"/>
      <c r="CL345" s="110"/>
      <c r="CM345" s="110"/>
      <c r="CN345" s="110"/>
      <c r="CO345" s="110"/>
    </row>
    <row r="346" spans="1:93">
      <c r="A346" s="110"/>
      <c r="B346" s="110"/>
      <c r="C346" s="110"/>
      <c r="D346" s="110"/>
      <c r="E346" s="110"/>
      <c r="F346" s="110"/>
      <c r="G346" s="110"/>
      <c r="H346" s="110"/>
      <c r="I346" s="110"/>
      <c r="J346" s="110"/>
      <c r="K346" s="110"/>
      <c r="L346" s="110"/>
      <c r="M346" s="110"/>
      <c r="N346" s="110"/>
      <c r="O346" s="110"/>
      <c r="P346" s="110"/>
      <c r="Q346" s="110"/>
      <c r="R346" s="110"/>
      <c r="S346" s="110"/>
      <c r="T346" s="110"/>
      <c r="U346" s="111"/>
      <c r="V346" s="111"/>
      <c r="W346" s="111"/>
      <c r="X346" s="112"/>
      <c r="Y346" s="112"/>
      <c r="Z346" s="112"/>
      <c r="AA346" s="112"/>
      <c r="AB346" s="112"/>
      <c r="AC346" s="111"/>
      <c r="AD346" s="111"/>
      <c r="AE346" s="111"/>
      <c r="AF346" s="111"/>
      <c r="AG346" s="111"/>
      <c r="AH346" s="111"/>
      <c r="AI346" s="110"/>
      <c r="AJ346" s="110"/>
      <c r="AK346" s="110"/>
      <c r="AL346" s="110"/>
      <c r="AM346" s="110"/>
      <c r="AN346" s="110"/>
      <c r="AO346" s="110"/>
      <c r="AP346" s="110"/>
      <c r="AQ346" s="110"/>
      <c r="AR346" s="110"/>
      <c r="AS346" s="110"/>
      <c r="AT346" s="110"/>
      <c r="AU346" s="110"/>
      <c r="AV346" s="110"/>
      <c r="AW346" s="110"/>
      <c r="AX346" s="110"/>
      <c r="AY346" s="110"/>
      <c r="AZ346" s="110"/>
      <c r="BA346" s="110"/>
      <c r="BB346" s="110"/>
      <c r="BC346" s="110"/>
      <c r="BD346" s="110"/>
      <c r="BE346" s="110"/>
      <c r="BF346" s="110"/>
      <c r="BG346" s="110"/>
      <c r="BH346" s="110"/>
      <c r="BI346" s="110"/>
      <c r="BJ346" s="110"/>
      <c r="BK346" s="110"/>
      <c r="BL346" s="110"/>
      <c r="BM346" s="110"/>
      <c r="BN346" s="110"/>
      <c r="BO346" s="110"/>
      <c r="BP346" s="110"/>
      <c r="BQ346" s="110"/>
      <c r="BR346" s="110"/>
      <c r="BS346" s="110"/>
      <c r="BT346" s="110"/>
      <c r="BU346" s="110"/>
      <c r="BV346" s="110"/>
      <c r="BW346" s="110"/>
      <c r="BX346" s="110"/>
      <c r="BY346" s="110"/>
      <c r="BZ346" s="110"/>
      <c r="CA346" s="110"/>
      <c r="CB346" s="110"/>
      <c r="CC346" s="110"/>
      <c r="CD346" s="110"/>
      <c r="CE346" s="110"/>
      <c r="CF346" s="110"/>
      <c r="CG346" s="110"/>
      <c r="CH346" s="110"/>
      <c r="CI346" s="110"/>
      <c r="CJ346" s="110"/>
      <c r="CK346" s="110"/>
      <c r="CL346" s="110"/>
      <c r="CM346" s="110"/>
      <c r="CN346" s="110"/>
      <c r="CO346" s="110"/>
    </row>
    <row r="347" spans="1:93">
      <c r="A347" s="110"/>
      <c r="B347" s="110"/>
      <c r="C347" s="110"/>
      <c r="D347" s="110"/>
      <c r="E347" s="110"/>
      <c r="F347" s="110"/>
      <c r="G347" s="110"/>
      <c r="H347" s="110"/>
      <c r="I347" s="110"/>
      <c r="J347" s="110"/>
      <c r="K347" s="110"/>
      <c r="L347" s="110"/>
      <c r="M347" s="110"/>
      <c r="N347" s="110"/>
      <c r="O347" s="110"/>
      <c r="P347" s="110"/>
      <c r="Q347" s="110"/>
      <c r="R347" s="110"/>
      <c r="S347" s="110"/>
      <c r="T347" s="110"/>
      <c r="U347" s="111"/>
      <c r="V347" s="111"/>
      <c r="W347" s="111"/>
      <c r="X347" s="112"/>
      <c r="Y347" s="112"/>
      <c r="Z347" s="112"/>
      <c r="AA347" s="112"/>
      <c r="AB347" s="112"/>
      <c r="AC347" s="111"/>
      <c r="AD347" s="111"/>
      <c r="AE347" s="111"/>
      <c r="AF347" s="111"/>
      <c r="AG347" s="111"/>
      <c r="AH347" s="111"/>
      <c r="AI347" s="110"/>
      <c r="AJ347" s="110"/>
      <c r="AK347" s="110"/>
      <c r="AL347" s="110"/>
      <c r="AM347" s="110"/>
      <c r="AN347" s="110"/>
      <c r="AO347" s="110"/>
      <c r="AP347" s="110"/>
      <c r="AQ347" s="110"/>
      <c r="AR347" s="110"/>
      <c r="AS347" s="110"/>
      <c r="AT347" s="110"/>
      <c r="AU347" s="110"/>
      <c r="AV347" s="110"/>
      <c r="AW347" s="110"/>
      <c r="AX347" s="110"/>
      <c r="AY347" s="110"/>
      <c r="AZ347" s="110"/>
      <c r="BA347" s="110"/>
      <c r="BB347" s="110"/>
      <c r="BC347" s="110"/>
      <c r="BD347" s="110"/>
      <c r="BE347" s="110"/>
      <c r="BF347" s="110"/>
      <c r="BG347" s="110"/>
      <c r="BH347" s="110"/>
      <c r="BI347" s="110"/>
      <c r="BJ347" s="110"/>
      <c r="BK347" s="110"/>
      <c r="BL347" s="110"/>
      <c r="BM347" s="110"/>
      <c r="BN347" s="110"/>
      <c r="BO347" s="110"/>
      <c r="BP347" s="110"/>
      <c r="BQ347" s="110"/>
      <c r="BR347" s="110"/>
      <c r="BS347" s="110"/>
      <c r="BT347" s="110"/>
      <c r="BU347" s="110"/>
      <c r="BV347" s="110"/>
      <c r="BW347" s="110"/>
      <c r="BX347" s="110"/>
      <c r="BY347" s="110"/>
      <c r="BZ347" s="110"/>
      <c r="CA347" s="110"/>
      <c r="CB347" s="110"/>
      <c r="CC347" s="110"/>
      <c r="CD347" s="110"/>
      <c r="CE347" s="110"/>
      <c r="CF347" s="110"/>
      <c r="CG347" s="110"/>
      <c r="CH347" s="110"/>
      <c r="CI347" s="110"/>
      <c r="CJ347" s="110"/>
      <c r="CK347" s="110"/>
      <c r="CL347" s="110"/>
      <c r="CM347" s="110"/>
      <c r="CN347" s="110"/>
      <c r="CO347" s="110"/>
    </row>
    <row r="348" spans="1:93">
      <c r="A348" s="110"/>
      <c r="B348" s="110"/>
      <c r="C348" s="110"/>
      <c r="D348" s="110"/>
      <c r="E348" s="110"/>
      <c r="F348" s="110"/>
      <c r="G348" s="110"/>
      <c r="H348" s="110"/>
      <c r="I348" s="110"/>
      <c r="J348" s="110"/>
      <c r="K348" s="110"/>
      <c r="L348" s="110"/>
      <c r="M348" s="110"/>
      <c r="N348" s="110"/>
      <c r="O348" s="110"/>
      <c r="P348" s="110"/>
      <c r="Q348" s="110"/>
      <c r="R348" s="110"/>
      <c r="S348" s="110"/>
      <c r="T348" s="110"/>
      <c r="U348" s="111"/>
      <c r="V348" s="111"/>
      <c r="W348" s="111"/>
      <c r="X348" s="112"/>
      <c r="Y348" s="112"/>
      <c r="Z348" s="112"/>
      <c r="AA348" s="112"/>
      <c r="AB348" s="112"/>
      <c r="AC348" s="111"/>
      <c r="AD348" s="111"/>
      <c r="AE348" s="111"/>
      <c r="AF348" s="111"/>
      <c r="AG348" s="111"/>
      <c r="AH348" s="111"/>
      <c r="AI348" s="110"/>
      <c r="AJ348" s="110"/>
      <c r="AK348" s="110"/>
      <c r="AL348" s="110"/>
      <c r="AM348" s="110"/>
      <c r="AN348" s="110"/>
      <c r="AO348" s="110"/>
      <c r="AP348" s="110"/>
      <c r="AQ348" s="110"/>
      <c r="AR348" s="110"/>
      <c r="AS348" s="110"/>
      <c r="AT348" s="110"/>
      <c r="AU348" s="110"/>
      <c r="AV348" s="110"/>
      <c r="AW348" s="110"/>
      <c r="AX348" s="110"/>
      <c r="AY348" s="110"/>
      <c r="AZ348" s="110"/>
      <c r="BA348" s="110"/>
      <c r="BB348" s="110"/>
      <c r="BC348" s="110"/>
      <c r="BD348" s="110"/>
      <c r="BE348" s="110"/>
      <c r="BF348" s="110"/>
      <c r="BG348" s="110"/>
      <c r="BH348" s="110"/>
      <c r="BI348" s="110"/>
      <c r="BJ348" s="110"/>
      <c r="BK348" s="110"/>
      <c r="BL348" s="110"/>
      <c r="BM348" s="110"/>
      <c r="BN348" s="110"/>
      <c r="BO348" s="110"/>
      <c r="BP348" s="110"/>
      <c r="BQ348" s="110"/>
      <c r="BR348" s="110"/>
      <c r="BS348" s="110"/>
      <c r="BT348" s="110"/>
      <c r="BU348" s="110"/>
      <c r="BV348" s="110"/>
      <c r="BW348" s="110"/>
      <c r="BX348" s="110"/>
      <c r="BY348" s="110"/>
      <c r="BZ348" s="110"/>
      <c r="CA348" s="110"/>
      <c r="CB348" s="110"/>
      <c r="CC348" s="110"/>
      <c r="CD348" s="110"/>
      <c r="CE348" s="110"/>
      <c r="CF348" s="110"/>
      <c r="CG348" s="110"/>
      <c r="CH348" s="110"/>
      <c r="CI348" s="110"/>
      <c r="CJ348" s="110"/>
      <c r="CK348" s="110"/>
      <c r="CL348" s="110"/>
      <c r="CM348" s="110"/>
      <c r="CN348" s="110"/>
      <c r="CO348" s="110"/>
    </row>
    <row r="349" spans="1:93">
      <c r="A349" s="110"/>
      <c r="B349" s="110"/>
      <c r="C349" s="110"/>
      <c r="D349" s="110"/>
      <c r="E349" s="110"/>
      <c r="F349" s="110"/>
      <c r="G349" s="110"/>
      <c r="H349" s="110"/>
      <c r="I349" s="110"/>
      <c r="J349" s="110"/>
      <c r="K349" s="110"/>
      <c r="L349" s="110"/>
      <c r="M349" s="110"/>
      <c r="N349" s="110"/>
      <c r="O349" s="110"/>
      <c r="P349" s="110"/>
      <c r="Q349" s="110"/>
      <c r="R349" s="110"/>
      <c r="S349" s="110"/>
      <c r="T349" s="110"/>
      <c r="U349" s="111"/>
      <c r="V349" s="111"/>
      <c r="W349" s="111"/>
      <c r="X349" s="112"/>
      <c r="Y349" s="112"/>
      <c r="Z349" s="112"/>
      <c r="AA349" s="112"/>
      <c r="AB349" s="112"/>
      <c r="AC349" s="111"/>
      <c r="AD349" s="111"/>
      <c r="AE349" s="111"/>
      <c r="AF349" s="111"/>
      <c r="AG349" s="111"/>
      <c r="AH349" s="111"/>
      <c r="AI349" s="110"/>
      <c r="AJ349" s="110"/>
      <c r="AK349" s="110"/>
      <c r="AL349" s="110"/>
      <c r="AM349" s="110"/>
      <c r="AN349" s="110"/>
      <c r="AO349" s="110"/>
      <c r="AP349" s="110"/>
      <c r="AQ349" s="110"/>
      <c r="AR349" s="110"/>
      <c r="AS349" s="110"/>
      <c r="AT349" s="110"/>
      <c r="AU349" s="110"/>
      <c r="AV349" s="110"/>
      <c r="AW349" s="110"/>
      <c r="AX349" s="110"/>
      <c r="AY349" s="110"/>
      <c r="AZ349" s="110"/>
      <c r="BA349" s="110"/>
      <c r="BB349" s="110"/>
      <c r="BC349" s="110"/>
      <c r="BD349" s="110"/>
      <c r="BE349" s="110"/>
      <c r="BF349" s="110"/>
      <c r="BG349" s="110"/>
      <c r="BH349" s="110"/>
      <c r="BI349" s="110"/>
      <c r="BJ349" s="110"/>
      <c r="BK349" s="110"/>
      <c r="BL349" s="110"/>
      <c r="BM349" s="110"/>
      <c r="BN349" s="110"/>
      <c r="BO349" s="110"/>
      <c r="BP349" s="110"/>
      <c r="BQ349" s="110"/>
      <c r="BR349" s="110"/>
      <c r="BS349" s="110"/>
      <c r="BT349" s="110"/>
      <c r="BU349" s="110"/>
      <c r="BV349" s="110"/>
      <c r="BW349" s="110"/>
      <c r="BX349" s="110"/>
      <c r="BY349" s="110"/>
      <c r="BZ349" s="110"/>
      <c r="CA349" s="110"/>
      <c r="CB349" s="110"/>
      <c r="CC349" s="110"/>
      <c r="CD349" s="110"/>
      <c r="CE349" s="110"/>
      <c r="CF349" s="110"/>
      <c r="CG349" s="110"/>
      <c r="CH349" s="110"/>
      <c r="CI349" s="110"/>
      <c r="CJ349" s="110"/>
      <c r="CK349" s="110"/>
      <c r="CL349" s="110"/>
      <c r="CM349" s="110"/>
      <c r="CN349" s="110"/>
      <c r="CO349" s="110"/>
    </row>
    <row r="350" spans="1:93">
      <c r="A350" s="110"/>
      <c r="B350" s="110"/>
      <c r="C350" s="110"/>
      <c r="D350" s="110"/>
      <c r="E350" s="110"/>
      <c r="F350" s="110"/>
      <c r="G350" s="110"/>
      <c r="H350" s="110"/>
      <c r="I350" s="110"/>
      <c r="J350" s="110"/>
      <c r="K350" s="110"/>
      <c r="L350" s="110"/>
      <c r="M350" s="110"/>
      <c r="N350" s="110"/>
      <c r="O350" s="110"/>
      <c r="P350" s="110"/>
      <c r="Q350" s="110"/>
      <c r="R350" s="110"/>
      <c r="S350" s="110"/>
      <c r="T350" s="110"/>
      <c r="U350" s="111"/>
      <c r="V350" s="111"/>
      <c r="W350" s="111"/>
      <c r="X350" s="112"/>
      <c r="Y350" s="112"/>
      <c r="Z350" s="112"/>
      <c r="AA350" s="112"/>
      <c r="AB350" s="112"/>
      <c r="AC350" s="111"/>
      <c r="AD350" s="111"/>
      <c r="AE350" s="111"/>
      <c r="AF350" s="111"/>
      <c r="AG350" s="111"/>
      <c r="AH350" s="111"/>
      <c r="AI350" s="110"/>
      <c r="AJ350" s="110"/>
      <c r="AK350" s="110"/>
      <c r="AL350" s="110"/>
      <c r="AM350" s="110"/>
      <c r="AN350" s="110"/>
      <c r="AO350" s="110"/>
      <c r="AP350" s="110"/>
      <c r="AQ350" s="110"/>
      <c r="AR350" s="110"/>
      <c r="AS350" s="110"/>
      <c r="AT350" s="110"/>
      <c r="AU350" s="110"/>
      <c r="AV350" s="110"/>
      <c r="AW350" s="110"/>
      <c r="AX350" s="110"/>
      <c r="AY350" s="110"/>
      <c r="AZ350" s="110"/>
      <c r="BA350" s="110"/>
      <c r="BB350" s="110"/>
      <c r="BC350" s="110"/>
      <c r="BD350" s="110"/>
      <c r="BE350" s="110"/>
      <c r="BF350" s="110"/>
      <c r="BG350" s="110"/>
      <c r="BH350" s="110"/>
      <c r="BI350" s="110"/>
      <c r="BJ350" s="110"/>
      <c r="BK350" s="110"/>
      <c r="BL350" s="110"/>
      <c r="BM350" s="110"/>
      <c r="BN350" s="110"/>
      <c r="BO350" s="110"/>
      <c r="BP350" s="110"/>
      <c r="BQ350" s="110"/>
      <c r="BR350" s="110"/>
      <c r="BS350" s="110"/>
      <c r="BT350" s="110"/>
      <c r="BU350" s="110"/>
      <c r="BV350" s="110"/>
      <c r="BW350" s="110"/>
      <c r="BX350" s="110"/>
      <c r="BY350" s="110"/>
      <c r="BZ350" s="110"/>
      <c r="CA350" s="110"/>
      <c r="CB350" s="110"/>
      <c r="CC350" s="110"/>
      <c r="CD350" s="110"/>
      <c r="CE350" s="110"/>
      <c r="CF350" s="110"/>
      <c r="CG350" s="110"/>
      <c r="CH350" s="110"/>
      <c r="CI350" s="110"/>
      <c r="CJ350" s="110"/>
      <c r="CK350" s="110"/>
      <c r="CL350" s="110"/>
      <c r="CM350" s="110"/>
      <c r="CN350" s="110"/>
      <c r="CO350" s="110"/>
    </row>
    <row r="351" spans="1:93">
      <c r="A351" s="110"/>
      <c r="B351" s="110"/>
      <c r="C351" s="110"/>
      <c r="D351" s="110"/>
      <c r="E351" s="110"/>
      <c r="F351" s="110"/>
      <c r="G351" s="110"/>
      <c r="H351" s="110"/>
      <c r="I351" s="110"/>
      <c r="J351" s="110"/>
      <c r="K351" s="110"/>
      <c r="L351" s="110"/>
      <c r="M351" s="110"/>
      <c r="N351" s="110"/>
      <c r="O351" s="110"/>
      <c r="P351" s="110"/>
      <c r="Q351" s="110"/>
      <c r="R351" s="110"/>
      <c r="S351" s="110"/>
      <c r="T351" s="110"/>
      <c r="U351" s="111"/>
      <c r="V351" s="111"/>
      <c r="W351" s="111"/>
      <c r="X351" s="112"/>
      <c r="Y351" s="112"/>
      <c r="Z351" s="112"/>
      <c r="AA351" s="112"/>
      <c r="AB351" s="112"/>
      <c r="AC351" s="111"/>
      <c r="AD351" s="111"/>
      <c r="AE351" s="111"/>
      <c r="AF351" s="111"/>
      <c r="AG351" s="111"/>
      <c r="AH351" s="111"/>
      <c r="AI351" s="110"/>
      <c r="AJ351" s="110"/>
      <c r="AK351" s="110"/>
      <c r="AL351" s="110"/>
      <c r="AM351" s="110"/>
      <c r="AN351" s="110"/>
      <c r="AO351" s="110"/>
      <c r="AP351" s="110"/>
      <c r="AQ351" s="110"/>
      <c r="AR351" s="110"/>
      <c r="AS351" s="110"/>
      <c r="AT351" s="110"/>
      <c r="AU351" s="110"/>
      <c r="AV351" s="110"/>
      <c r="AW351" s="110"/>
      <c r="AX351" s="110"/>
      <c r="AY351" s="110"/>
      <c r="AZ351" s="110"/>
      <c r="BA351" s="110"/>
      <c r="BB351" s="110"/>
      <c r="BC351" s="110"/>
      <c r="BD351" s="110"/>
      <c r="BE351" s="110"/>
      <c r="BF351" s="110"/>
      <c r="BG351" s="110"/>
      <c r="BH351" s="110"/>
      <c r="BI351" s="110"/>
      <c r="BJ351" s="110"/>
      <c r="BK351" s="110"/>
      <c r="BL351" s="110"/>
      <c r="BM351" s="110"/>
      <c r="BN351" s="110"/>
      <c r="BO351" s="110"/>
      <c r="BP351" s="110"/>
      <c r="BQ351" s="110"/>
      <c r="BR351" s="110"/>
      <c r="BS351" s="110"/>
      <c r="BT351" s="110"/>
      <c r="BU351" s="110"/>
      <c r="BV351" s="110"/>
      <c r="BW351" s="110"/>
      <c r="BX351" s="110"/>
      <c r="BY351" s="110"/>
      <c r="BZ351" s="110"/>
      <c r="CA351" s="110"/>
      <c r="CB351" s="110"/>
      <c r="CC351" s="110"/>
      <c r="CD351" s="110"/>
      <c r="CE351" s="110"/>
      <c r="CF351" s="110"/>
      <c r="CG351" s="110"/>
      <c r="CH351" s="110"/>
      <c r="CI351" s="110"/>
      <c r="CJ351" s="110"/>
      <c r="CK351" s="110"/>
      <c r="CL351" s="110"/>
      <c r="CM351" s="110"/>
      <c r="CN351" s="110"/>
      <c r="CO351" s="110"/>
    </row>
    <row r="352" spans="1:93">
      <c r="A352" s="110"/>
      <c r="B352" s="110"/>
      <c r="C352" s="110"/>
      <c r="D352" s="110"/>
      <c r="E352" s="110"/>
      <c r="F352" s="110"/>
      <c r="G352" s="110"/>
      <c r="H352" s="110"/>
      <c r="I352" s="110"/>
      <c r="J352" s="110"/>
      <c r="K352" s="110"/>
      <c r="L352" s="110"/>
      <c r="M352" s="110"/>
      <c r="N352" s="110"/>
      <c r="O352" s="110"/>
      <c r="P352" s="110"/>
      <c r="Q352" s="110"/>
      <c r="R352" s="110"/>
      <c r="S352" s="110"/>
      <c r="T352" s="110"/>
      <c r="U352" s="111"/>
      <c r="V352" s="111"/>
      <c r="W352" s="111"/>
      <c r="X352" s="112"/>
      <c r="Y352" s="112"/>
      <c r="Z352" s="112"/>
      <c r="AA352" s="112"/>
      <c r="AB352" s="112"/>
      <c r="AC352" s="111"/>
      <c r="AD352" s="111"/>
      <c r="AE352" s="111"/>
      <c r="AF352" s="111"/>
      <c r="AG352" s="111"/>
      <c r="AH352" s="111"/>
      <c r="AI352" s="110"/>
      <c r="AJ352" s="110"/>
      <c r="AK352" s="110"/>
      <c r="AL352" s="110"/>
      <c r="AM352" s="110"/>
      <c r="AN352" s="110"/>
      <c r="AO352" s="110"/>
      <c r="AP352" s="110"/>
      <c r="AQ352" s="110"/>
      <c r="AR352" s="110"/>
      <c r="AS352" s="110"/>
      <c r="AT352" s="110"/>
      <c r="AU352" s="110"/>
      <c r="AV352" s="110"/>
      <c r="AW352" s="110"/>
      <c r="AX352" s="110"/>
      <c r="AY352" s="110"/>
      <c r="AZ352" s="110"/>
      <c r="BA352" s="110"/>
      <c r="BB352" s="110"/>
      <c r="BC352" s="110"/>
      <c r="BD352" s="110"/>
      <c r="BE352" s="110"/>
      <c r="BF352" s="110"/>
      <c r="BG352" s="110"/>
      <c r="BH352" s="110"/>
      <c r="BI352" s="110"/>
      <c r="BJ352" s="110"/>
      <c r="BK352" s="110"/>
      <c r="BL352" s="110"/>
      <c r="BM352" s="110"/>
      <c r="BN352" s="110"/>
      <c r="BO352" s="110"/>
      <c r="BP352" s="110"/>
      <c r="BQ352" s="110"/>
      <c r="BR352" s="110"/>
      <c r="BS352" s="110"/>
      <c r="BT352" s="110"/>
      <c r="BU352" s="110"/>
      <c r="BV352" s="110"/>
      <c r="BW352" s="110"/>
      <c r="BX352" s="110"/>
      <c r="BY352" s="110"/>
      <c r="BZ352" s="110"/>
      <c r="CA352" s="110"/>
      <c r="CB352" s="110"/>
      <c r="CC352" s="110"/>
      <c r="CD352" s="110"/>
      <c r="CE352" s="110"/>
      <c r="CF352" s="110"/>
      <c r="CG352" s="110"/>
      <c r="CH352" s="110"/>
      <c r="CI352" s="110"/>
      <c r="CJ352" s="110"/>
      <c r="CK352" s="110"/>
      <c r="CL352" s="110"/>
      <c r="CM352" s="110"/>
      <c r="CN352" s="110"/>
      <c r="CO352" s="110"/>
    </row>
    <row r="353" spans="1:93">
      <c r="A353" s="110"/>
      <c r="B353" s="110"/>
      <c r="C353" s="110"/>
      <c r="D353" s="110"/>
      <c r="E353" s="110"/>
      <c r="F353" s="110"/>
      <c r="G353" s="110"/>
      <c r="H353" s="110"/>
      <c r="I353" s="110"/>
      <c r="J353" s="110"/>
      <c r="K353" s="110"/>
      <c r="L353" s="110"/>
      <c r="M353" s="110"/>
      <c r="N353" s="110"/>
      <c r="O353" s="110"/>
      <c r="P353" s="110"/>
      <c r="Q353" s="110"/>
      <c r="R353" s="110"/>
      <c r="S353" s="110"/>
      <c r="T353" s="110"/>
      <c r="U353" s="111"/>
      <c r="V353" s="111"/>
      <c r="W353" s="111"/>
      <c r="X353" s="112"/>
      <c r="Y353" s="112"/>
      <c r="Z353" s="112"/>
      <c r="AA353" s="112"/>
      <c r="AB353" s="112"/>
      <c r="AC353" s="111"/>
      <c r="AD353" s="111"/>
      <c r="AE353" s="111"/>
      <c r="AF353" s="111"/>
      <c r="AG353" s="111"/>
      <c r="AH353" s="111"/>
      <c r="AI353" s="110"/>
      <c r="AJ353" s="110"/>
      <c r="AK353" s="110"/>
      <c r="AL353" s="110"/>
      <c r="AM353" s="110"/>
      <c r="AN353" s="110"/>
      <c r="AO353" s="110"/>
      <c r="AP353" s="110"/>
      <c r="AQ353" s="110"/>
      <c r="AR353" s="110"/>
      <c r="AS353" s="110"/>
      <c r="AT353" s="110"/>
      <c r="AU353" s="110"/>
      <c r="AV353" s="110"/>
      <c r="AW353" s="110"/>
      <c r="AX353" s="110"/>
      <c r="AY353" s="110"/>
      <c r="AZ353" s="110"/>
      <c r="BA353" s="110"/>
      <c r="BB353" s="110"/>
      <c r="BC353" s="110"/>
      <c r="BD353" s="110"/>
      <c r="BE353" s="110"/>
      <c r="BF353" s="110"/>
      <c r="BG353" s="110"/>
      <c r="BH353" s="110"/>
      <c r="BI353" s="110"/>
      <c r="BJ353" s="110"/>
      <c r="BK353" s="110"/>
      <c r="BL353" s="110"/>
      <c r="BM353" s="110"/>
      <c r="BN353" s="110"/>
      <c r="BO353" s="110"/>
      <c r="BP353" s="110"/>
      <c r="BQ353" s="110"/>
      <c r="BR353" s="110"/>
      <c r="BS353" s="110"/>
      <c r="BT353" s="110"/>
      <c r="BU353" s="110"/>
      <c r="BV353" s="110"/>
      <c r="BW353" s="110"/>
      <c r="BX353" s="110"/>
      <c r="BY353" s="110"/>
      <c r="BZ353" s="110"/>
      <c r="CA353" s="110"/>
      <c r="CB353" s="110"/>
      <c r="CC353" s="110"/>
      <c r="CD353" s="110"/>
      <c r="CE353" s="110"/>
      <c r="CF353" s="110"/>
      <c r="CG353" s="110"/>
      <c r="CH353" s="110"/>
      <c r="CI353" s="110"/>
      <c r="CJ353" s="110"/>
      <c r="CK353" s="110"/>
      <c r="CL353" s="110"/>
      <c r="CM353" s="110"/>
      <c r="CN353" s="110"/>
      <c r="CO353" s="110"/>
    </row>
    <row r="354" spans="1:93">
      <c r="A354" s="110"/>
      <c r="B354" s="110"/>
      <c r="C354" s="110"/>
      <c r="D354" s="110"/>
      <c r="E354" s="110"/>
      <c r="F354" s="110"/>
      <c r="G354" s="110"/>
      <c r="H354" s="110"/>
      <c r="I354" s="110"/>
      <c r="J354" s="110"/>
      <c r="K354" s="110"/>
      <c r="L354" s="110"/>
      <c r="M354" s="110"/>
      <c r="N354" s="110"/>
      <c r="O354" s="110"/>
      <c r="P354" s="110"/>
      <c r="Q354" s="110"/>
      <c r="R354" s="110"/>
      <c r="S354" s="110"/>
      <c r="T354" s="110"/>
      <c r="U354" s="111"/>
      <c r="V354" s="111"/>
      <c r="W354" s="111"/>
      <c r="X354" s="112"/>
      <c r="Y354" s="112"/>
      <c r="Z354" s="112"/>
      <c r="AA354" s="112"/>
      <c r="AB354" s="112"/>
      <c r="AC354" s="111"/>
      <c r="AD354" s="111"/>
      <c r="AE354" s="111"/>
      <c r="AF354" s="111"/>
      <c r="AG354" s="111"/>
      <c r="AH354" s="111"/>
      <c r="AI354" s="110"/>
      <c r="AJ354" s="110"/>
      <c r="AK354" s="110"/>
      <c r="AL354" s="110"/>
      <c r="AM354" s="110"/>
      <c r="AN354" s="110"/>
      <c r="AO354" s="110"/>
      <c r="AP354" s="110"/>
      <c r="AQ354" s="110"/>
      <c r="AR354" s="110"/>
      <c r="AS354" s="110"/>
      <c r="AT354" s="110"/>
      <c r="AU354" s="110"/>
      <c r="AV354" s="110"/>
      <c r="AW354" s="110"/>
      <c r="AX354" s="110"/>
      <c r="AY354" s="110"/>
      <c r="AZ354" s="110"/>
      <c r="BA354" s="110"/>
      <c r="BB354" s="110"/>
      <c r="BC354" s="110"/>
      <c r="BD354" s="110"/>
      <c r="BE354" s="110"/>
      <c r="BF354" s="110"/>
      <c r="BG354" s="110"/>
      <c r="BH354" s="110"/>
      <c r="BI354" s="110"/>
      <c r="BJ354" s="110"/>
      <c r="BK354" s="110"/>
      <c r="BL354" s="110"/>
      <c r="BM354" s="110"/>
      <c r="BN354" s="110"/>
      <c r="BO354" s="110"/>
      <c r="BP354" s="110"/>
      <c r="BQ354" s="110"/>
      <c r="BR354" s="110"/>
      <c r="BS354" s="110"/>
      <c r="BT354" s="110"/>
      <c r="BU354" s="110"/>
      <c r="BV354" s="110"/>
      <c r="BW354" s="110"/>
      <c r="BX354" s="110"/>
      <c r="BY354" s="110"/>
      <c r="BZ354" s="110"/>
      <c r="CA354" s="110"/>
      <c r="CB354" s="110"/>
      <c r="CC354" s="110"/>
      <c r="CD354" s="110"/>
      <c r="CE354" s="110"/>
      <c r="CF354" s="110"/>
      <c r="CG354" s="110"/>
      <c r="CH354" s="110"/>
      <c r="CI354" s="110"/>
      <c r="CJ354" s="110"/>
      <c r="CK354" s="110"/>
      <c r="CL354" s="110"/>
      <c r="CM354" s="110"/>
      <c r="CN354" s="110"/>
      <c r="CO354" s="110"/>
    </row>
    <row r="355" spans="1:93">
      <c r="A355" s="110"/>
      <c r="B355" s="110"/>
      <c r="C355" s="110"/>
      <c r="D355" s="110"/>
      <c r="E355" s="110"/>
      <c r="F355" s="110"/>
      <c r="G355" s="110"/>
      <c r="H355" s="110"/>
      <c r="I355" s="110"/>
      <c r="J355" s="110"/>
      <c r="K355" s="110"/>
      <c r="L355" s="110"/>
      <c r="M355" s="110"/>
      <c r="N355" s="110"/>
      <c r="O355" s="110"/>
      <c r="P355" s="110"/>
      <c r="Q355" s="110"/>
      <c r="R355" s="110"/>
      <c r="S355" s="110"/>
      <c r="T355" s="110"/>
      <c r="U355" s="111"/>
      <c r="V355" s="111"/>
      <c r="W355" s="111"/>
      <c r="X355" s="112"/>
      <c r="Y355" s="112"/>
      <c r="Z355" s="112"/>
      <c r="AA355" s="112"/>
      <c r="AB355" s="112"/>
      <c r="AC355" s="111"/>
      <c r="AD355" s="111"/>
      <c r="AE355" s="111"/>
      <c r="AF355" s="111"/>
      <c r="AG355" s="111"/>
      <c r="AH355" s="111"/>
      <c r="AI355" s="110"/>
      <c r="AJ355" s="110"/>
      <c r="AK355" s="110"/>
      <c r="AL355" s="110"/>
      <c r="AM355" s="110"/>
      <c r="AN355" s="110"/>
      <c r="AO355" s="110"/>
      <c r="AP355" s="110"/>
      <c r="AQ355" s="110"/>
      <c r="AR355" s="110"/>
      <c r="AS355" s="110"/>
      <c r="AT355" s="110"/>
      <c r="AU355" s="110"/>
      <c r="AV355" s="110"/>
      <c r="AW355" s="110"/>
      <c r="AX355" s="110"/>
      <c r="AY355" s="110"/>
      <c r="AZ355" s="110"/>
      <c r="BA355" s="110"/>
      <c r="BB355" s="110"/>
      <c r="BC355" s="110"/>
      <c r="BD355" s="110"/>
      <c r="BE355" s="110"/>
      <c r="BF355" s="110"/>
      <c r="BG355" s="110"/>
      <c r="BH355" s="110"/>
      <c r="BI355" s="110"/>
      <c r="BJ355" s="110"/>
      <c r="BK355" s="110"/>
      <c r="BL355" s="110"/>
      <c r="BM355" s="110"/>
      <c r="BN355" s="110"/>
      <c r="BO355" s="110"/>
      <c r="BP355" s="110"/>
      <c r="BQ355" s="110"/>
      <c r="BR355" s="110"/>
      <c r="BS355" s="110"/>
      <c r="BT355" s="110"/>
      <c r="BU355" s="110"/>
      <c r="BV355" s="110"/>
      <c r="BW355" s="110"/>
      <c r="BX355" s="110"/>
      <c r="BY355" s="110"/>
      <c r="BZ355" s="110"/>
      <c r="CA355" s="110"/>
      <c r="CB355" s="110"/>
      <c r="CC355" s="110"/>
      <c r="CD355" s="110"/>
      <c r="CE355" s="110"/>
      <c r="CF355" s="110"/>
      <c r="CG355" s="110"/>
      <c r="CH355" s="110"/>
      <c r="CI355" s="110"/>
      <c r="CJ355" s="110"/>
      <c r="CK355" s="110"/>
      <c r="CL355" s="110"/>
      <c r="CM355" s="110"/>
      <c r="CN355" s="110"/>
      <c r="CO355" s="110"/>
    </row>
    <row r="356" spans="1:93">
      <c r="A356" s="110"/>
      <c r="B356" s="110"/>
      <c r="C356" s="110"/>
      <c r="D356" s="110"/>
      <c r="E356" s="110"/>
      <c r="F356" s="110"/>
      <c r="G356" s="110"/>
      <c r="H356" s="110"/>
      <c r="I356" s="110"/>
      <c r="J356" s="110"/>
      <c r="K356" s="110"/>
      <c r="L356" s="110"/>
      <c r="M356" s="110"/>
      <c r="N356" s="110"/>
      <c r="O356" s="110"/>
      <c r="P356" s="110"/>
      <c r="Q356" s="110"/>
      <c r="R356" s="110"/>
      <c r="S356" s="110"/>
      <c r="T356" s="110"/>
      <c r="U356" s="111"/>
      <c r="V356" s="111"/>
      <c r="W356" s="111"/>
      <c r="X356" s="112"/>
      <c r="Y356" s="112"/>
      <c r="Z356" s="112"/>
      <c r="AA356" s="112"/>
      <c r="AB356" s="112"/>
      <c r="AC356" s="111"/>
      <c r="AD356" s="111"/>
      <c r="AE356" s="111"/>
      <c r="AF356" s="111"/>
      <c r="AG356" s="111"/>
      <c r="AH356" s="111"/>
      <c r="AI356" s="110"/>
      <c r="AJ356" s="110"/>
      <c r="AK356" s="110"/>
      <c r="AL356" s="110"/>
      <c r="AM356" s="110"/>
      <c r="AN356" s="110"/>
      <c r="AO356" s="110"/>
      <c r="AP356" s="110"/>
      <c r="AQ356" s="110"/>
      <c r="AR356" s="110"/>
      <c r="AS356" s="110"/>
      <c r="AT356" s="110"/>
      <c r="AU356" s="110"/>
      <c r="AV356" s="110"/>
      <c r="AW356" s="110"/>
      <c r="AX356" s="110"/>
      <c r="AY356" s="110"/>
      <c r="AZ356" s="110"/>
      <c r="BA356" s="110"/>
      <c r="BB356" s="110"/>
      <c r="BC356" s="110"/>
      <c r="BD356" s="110"/>
      <c r="BE356" s="110"/>
      <c r="BF356" s="110"/>
      <c r="BG356" s="110"/>
      <c r="BH356" s="110"/>
      <c r="BI356" s="110"/>
      <c r="BJ356" s="110"/>
      <c r="BK356" s="110"/>
      <c r="BL356" s="110"/>
      <c r="BM356" s="110"/>
      <c r="BN356" s="110"/>
      <c r="BO356" s="110"/>
      <c r="BP356" s="110"/>
      <c r="BQ356" s="110"/>
      <c r="BR356" s="110"/>
      <c r="BS356" s="110"/>
      <c r="BT356" s="110"/>
      <c r="BU356" s="110"/>
      <c r="BV356" s="110"/>
      <c r="BW356" s="110"/>
      <c r="BX356" s="110"/>
      <c r="BY356" s="110"/>
      <c r="BZ356" s="110"/>
      <c r="CA356" s="110"/>
      <c r="CB356" s="110"/>
      <c r="CC356" s="110"/>
      <c r="CD356" s="110"/>
      <c r="CE356" s="110"/>
      <c r="CF356" s="110"/>
      <c r="CG356" s="110"/>
      <c r="CH356" s="110"/>
      <c r="CI356" s="110"/>
      <c r="CJ356" s="110"/>
      <c r="CK356" s="110"/>
      <c r="CL356" s="110"/>
      <c r="CM356" s="110"/>
      <c r="CN356" s="110"/>
      <c r="CO356" s="110"/>
    </row>
    <row r="357" spans="1:93">
      <c r="A357" s="110"/>
      <c r="B357" s="110"/>
      <c r="C357" s="110"/>
      <c r="D357" s="110"/>
      <c r="E357" s="110"/>
      <c r="F357" s="110"/>
      <c r="G357" s="110"/>
      <c r="H357" s="110"/>
      <c r="I357" s="110"/>
      <c r="J357" s="110"/>
      <c r="K357" s="110"/>
      <c r="L357" s="110"/>
      <c r="M357" s="110"/>
      <c r="N357" s="110"/>
      <c r="O357" s="110"/>
      <c r="P357" s="110"/>
      <c r="Q357" s="110"/>
      <c r="R357" s="110"/>
      <c r="S357" s="110"/>
      <c r="T357" s="110"/>
      <c r="U357" s="111"/>
      <c r="V357" s="111"/>
      <c r="W357" s="111"/>
      <c r="X357" s="112"/>
      <c r="Y357" s="112"/>
      <c r="Z357" s="112"/>
      <c r="AA357" s="112"/>
      <c r="AB357" s="112"/>
      <c r="AC357" s="111"/>
      <c r="AD357" s="111"/>
      <c r="AE357" s="111"/>
      <c r="AF357" s="111"/>
      <c r="AG357" s="111"/>
      <c r="AH357" s="111"/>
      <c r="AI357" s="110"/>
      <c r="AJ357" s="110"/>
      <c r="AK357" s="110"/>
      <c r="AL357" s="110"/>
      <c r="AM357" s="110"/>
      <c r="AN357" s="110"/>
      <c r="AO357" s="110"/>
      <c r="AP357" s="110"/>
      <c r="AQ357" s="110"/>
      <c r="AR357" s="110"/>
      <c r="AS357" s="110"/>
      <c r="AT357" s="110"/>
      <c r="AU357" s="110"/>
      <c r="AV357" s="110"/>
      <c r="AW357" s="110"/>
      <c r="AX357" s="110"/>
      <c r="AY357" s="110"/>
      <c r="AZ357" s="110"/>
      <c r="BA357" s="110"/>
      <c r="BB357" s="110"/>
      <c r="BC357" s="110"/>
      <c r="BD357" s="110"/>
      <c r="BE357" s="110"/>
      <c r="BF357" s="110"/>
      <c r="BG357" s="110"/>
      <c r="BH357" s="110"/>
      <c r="BI357" s="110"/>
      <c r="BJ357" s="110"/>
      <c r="BK357" s="110"/>
      <c r="BL357" s="110"/>
      <c r="BM357" s="110"/>
      <c r="BN357" s="110"/>
      <c r="BO357" s="110"/>
      <c r="BP357" s="110"/>
      <c r="BQ357" s="110"/>
      <c r="BR357" s="110"/>
      <c r="BS357" s="110"/>
      <c r="BT357" s="110"/>
      <c r="BU357" s="110"/>
      <c r="BV357" s="110"/>
      <c r="BW357" s="110"/>
      <c r="BX357" s="110"/>
      <c r="BY357" s="110"/>
      <c r="BZ357" s="110"/>
      <c r="CA357" s="110"/>
      <c r="CB357" s="110"/>
      <c r="CC357" s="110"/>
      <c r="CD357" s="110"/>
      <c r="CE357" s="110"/>
      <c r="CF357" s="110"/>
      <c r="CG357" s="110"/>
      <c r="CH357" s="110"/>
      <c r="CI357" s="110"/>
      <c r="CJ357" s="110"/>
      <c r="CK357" s="110"/>
      <c r="CL357" s="110"/>
      <c r="CM357" s="110"/>
      <c r="CN357" s="110"/>
      <c r="CO357" s="110"/>
    </row>
    <row r="358" spans="1:93">
      <c r="A358" s="110"/>
      <c r="B358" s="110"/>
      <c r="C358" s="110"/>
      <c r="D358" s="110"/>
      <c r="E358" s="110"/>
      <c r="F358" s="110"/>
      <c r="G358" s="110"/>
      <c r="H358" s="110"/>
      <c r="I358" s="110"/>
      <c r="J358" s="110"/>
      <c r="K358" s="110"/>
      <c r="L358" s="110"/>
      <c r="M358" s="110"/>
      <c r="N358" s="110"/>
      <c r="O358" s="110"/>
      <c r="P358" s="110"/>
      <c r="Q358" s="110"/>
      <c r="R358" s="110"/>
      <c r="S358" s="110"/>
      <c r="T358" s="110"/>
      <c r="U358" s="111"/>
      <c r="V358" s="111"/>
      <c r="W358" s="111"/>
      <c r="X358" s="112"/>
      <c r="Y358" s="112"/>
      <c r="Z358" s="112"/>
      <c r="AA358" s="112"/>
      <c r="AB358" s="112"/>
      <c r="AC358" s="111"/>
      <c r="AD358" s="111"/>
      <c r="AE358" s="111"/>
      <c r="AF358" s="111"/>
      <c r="AG358" s="111"/>
      <c r="AH358" s="111"/>
      <c r="AI358" s="110"/>
      <c r="AJ358" s="110"/>
      <c r="AK358" s="110"/>
      <c r="AL358" s="110"/>
      <c r="AM358" s="110"/>
      <c r="AN358" s="110"/>
      <c r="AO358" s="110"/>
      <c r="AP358" s="110"/>
      <c r="AQ358" s="110"/>
      <c r="AR358" s="110"/>
      <c r="AS358" s="110"/>
      <c r="AT358" s="110"/>
      <c r="AU358" s="110"/>
      <c r="AV358" s="110"/>
      <c r="AW358" s="110"/>
      <c r="AX358" s="110"/>
      <c r="AY358" s="110"/>
      <c r="AZ358" s="110"/>
      <c r="BA358" s="110"/>
      <c r="BB358" s="110"/>
      <c r="BC358" s="110"/>
      <c r="BD358" s="110"/>
      <c r="BE358" s="110"/>
      <c r="BF358" s="110"/>
      <c r="BG358" s="110"/>
      <c r="BH358" s="110"/>
      <c r="BI358" s="110"/>
      <c r="BJ358" s="110"/>
      <c r="BK358" s="110"/>
      <c r="BL358" s="110"/>
      <c r="BM358" s="110"/>
      <c r="BN358" s="110"/>
      <c r="BO358" s="110"/>
      <c r="BP358" s="110"/>
      <c r="BQ358" s="110"/>
      <c r="BR358" s="110"/>
      <c r="BS358" s="110"/>
      <c r="BT358" s="110"/>
      <c r="BU358" s="110"/>
      <c r="BV358" s="110"/>
      <c r="BW358" s="110"/>
      <c r="BX358" s="110"/>
      <c r="BY358" s="110"/>
      <c r="BZ358" s="110"/>
      <c r="CA358" s="110"/>
      <c r="CB358" s="110"/>
      <c r="CC358" s="110"/>
      <c r="CD358" s="110"/>
      <c r="CE358" s="110"/>
      <c r="CF358" s="110"/>
      <c r="CG358" s="110"/>
      <c r="CH358" s="110"/>
      <c r="CI358" s="110"/>
      <c r="CJ358" s="110"/>
      <c r="CK358" s="110"/>
      <c r="CL358" s="110"/>
      <c r="CM358" s="110"/>
      <c r="CN358" s="110"/>
      <c r="CO358" s="110"/>
    </row>
    <row r="359" spans="1:93">
      <c r="A359" s="110"/>
      <c r="B359" s="110"/>
      <c r="C359" s="110"/>
      <c r="D359" s="110"/>
      <c r="E359" s="110"/>
      <c r="F359" s="110"/>
      <c r="G359" s="110"/>
      <c r="H359" s="110"/>
      <c r="I359" s="110"/>
      <c r="J359" s="110"/>
      <c r="K359" s="110"/>
      <c r="L359" s="110"/>
      <c r="M359" s="110"/>
      <c r="N359" s="110"/>
      <c r="O359" s="110"/>
      <c r="P359" s="110"/>
      <c r="Q359" s="110"/>
      <c r="R359" s="110"/>
      <c r="S359" s="110"/>
      <c r="T359" s="110"/>
      <c r="U359" s="111"/>
      <c r="V359" s="111"/>
      <c r="W359" s="111"/>
      <c r="X359" s="112"/>
      <c r="Y359" s="112"/>
      <c r="Z359" s="112"/>
      <c r="AA359" s="112"/>
      <c r="AB359" s="112"/>
      <c r="AC359" s="111"/>
      <c r="AD359" s="111"/>
      <c r="AE359" s="111"/>
      <c r="AF359" s="111"/>
      <c r="AG359" s="111"/>
      <c r="AH359" s="111"/>
      <c r="AI359" s="110"/>
      <c r="AJ359" s="110"/>
      <c r="AK359" s="110"/>
      <c r="AL359" s="110"/>
      <c r="AM359" s="110"/>
      <c r="AN359" s="110"/>
      <c r="AO359" s="110"/>
      <c r="AP359" s="110"/>
      <c r="AQ359" s="110"/>
      <c r="AR359" s="110"/>
      <c r="AS359" s="110"/>
      <c r="AT359" s="110"/>
      <c r="AU359" s="110"/>
      <c r="AV359" s="110"/>
      <c r="AW359" s="110"/>
      <c r="AX359" s="110"/>
      <c r="AY359" s="110"/>
      <c r="AZ359" s="110"/>
      <c r="BA359" s="110"/>
      <c r="BB359" s="110"/>
      <c r="BC359" s="110"/>
      <c r="BD359" s="110"/>
      <c r="BE359" s="110"/>
      <c r="BF359" s="110"/>
      <c r="BG359" s="110"/>
      <c r="BH359" s="110"/>
      <c r="BI359" s="110"/>
      <c r="BJ359" s="110"/>
      <c r="BK359" s="110"/>
      <c r="BL359" s="110"/>
      <c r="BM359" s="110"/>
      <c r="BN359" s="110"/>
      <c r="BO359" s="110"/>
      <c r="BP359" s="110"/>
      <c r="BQ359" s="110"/>
      <c r="BR359" s="110"/>
      <c r="BS359" s="110"/>
      <c r="BT359" s="110"/>
      <c r="BU359" s="110"/>
      <c r="BV359" s="110"/>
      <c r="BW359" s="110"/>
      <c r="BX359" s="110"/>
      <c r="BY359" s="110"/>
      <c r="BZ359" s="110"/>
      <c r="CA359" s="110"/>
      <c r="CB359" s="110"/>
      <c r="CC359" s="110"/>
      <c r="CD359" s="110"/>
      <c r="CE359" s="110"/>
      <c r="CF359" s="110"/>
      <c r="CG359" s="110"/>
      <c r="CH359" s="110"/>
      <c r="CI359" s="110"/>
      <c r="CJ359" s="110"/>
      <c r="CK359" s="110"/>
      <c r="CL359" s="110"/>
      <c r="CM359" s="110"/>
      <c r="CN359" s="110"/>
      <c r="CO359" s="110"/>
    </row>
    <row r="360" spans="1:93">
      <c r="A360" s="110"/>
      <c r="B360" s="110"/>
      <c r="C360" s="110"/>
      <c r="D360" s="110"/>
      <c r="E360" s="110"/>
      <c r="F360" s="110"/>
      <c r="G360" s="110"/>
      <c r="H360" s="110"/>
      <c r="I360" s="110"/>
      <c r="J360" s="110"/>
      <c r="K360" s="110"/>
      <c r="L360" s="110"/>
      <c r="M360" s="110"/>
      <c r="N360" s="110"/>
      <c r="O360" s="110"/>
      <c r="P360" s="110"/>
      <c r="Q360" s="110"/>
      <c r="R360" s="110"/>
      <c r="S360" s="110"/>
      <c r="T360" s="110"/>
      <c r="U360" s="111"/>
      <c r="V360" s="111"/>
      <c r="W360" s="111"/>
      <c r="X360" s="112"/>
      <c r="Y360" s="112"/>
      <c r="Z360" s="112"/>
      <c r="AA360" s="112"/>
      <c r="AB360" s="112"/>
      <c r="AC360" s="111"/>
      <c r="AD360" s="111"/>
      <c r="AE360" s="111"/>
      <c r="AF360" s="111"/>
      <c r="AG360" s="111"/>
      <c r="AH360" s="111"/>
      <c r="AI360" s="110"/>
      <c r="AJ360" s="110"/>
      <c r="AK360" s="110"/>
      <c r="AL360" s="110"/>
      <c r="AM360" s="110"/>
      <c r="AN360" s="110"/>
      <c r="AO360" s="110"/>
      <c r="AP360" s="110"/>
      <c r="AQ360" s="110"/>
      <c r="AR360" s="110"/>
      <c r="AS360" s="110"/>
      <c r="AT360" s="110"/>
      <c r="AU360" s="110"/>
      <c r="AV360" s="110"/>
      <c r="AW360" s="110"/>
      <c r="AX360" s="110"/>
      <c r="AY360" s="110"/>
      <c r="AZ360" s="110"/>
      <c r="BA360" s="110"/>
      <c r="BB360" s="110"/>
      <c r="BC360" s="110"/>
      <c r="BD360" s="110"/>
      <c r="BE360" s="110"/>
      <c r="BF360" s="110"/>
      <c r="BG360" s="110"/>
      <c r="BH360" s="110"/>
      <c r="BI360" s="110"/>
      <c r="BJ360" s="110"/>
      <c r="BK360" s="110"/>
      <c r="BL360" s="110"/>
      <c r="BM360" s="110"/>
      <c r="BN360" s="110"/>
      <c r="BO360" s="110"/>
      <c r="BP360" s="110"/>
      <c r="BQ360" s="110"/>
      <c r="BR360" s="110"/>
      <c r="BS360" s="110"/>
      <c r="BT360" s="110"/>
      <c r="BU360" s="110"/>
      <c r="BV360" s="110"/>
      <c r="BW360" s="110"/>
      <c r="BX360" s="110"/>
      <c r="BY360" s="110"/>
      <c r="BZ360" s="110"/>
      <c r="CA360" s="110"/>
      <c r="CB360" s="110"/>
      <c r="CC360" s="110"/>
      <c r="CD360" s="110"/>
      <c r="CE360" s="110"/>
      <c r="CF360" s="110"/>
      <c r="CG360" s="110"/>
      <c r="CH360" s="110"/>
      <c r="CI360" s="110"/>
      <c r="CJ360" s="110"/>
      <c r="CK360" s="110"/>
      <c r="CL360" s="110"/>
      <c r="CM360" s="110"/>
      <c r="CN360" s="110"/>
      <c r="CO360" s="110"/>
    </row>
    <row r="361" spans="1:93">
      <c r="A361" s="110"/>
      <c r="B361" s="110"/>
      <c r="C361" s="110"/>
      <c r="D361" s="110"/>
      <c r="E361" s="110"/>
      <c r="F361" s="110"/>
      <c r="G361" s="110"/>
      <c r="H361" s="110"/>
      <c r="I361" s="110"/>
      <c r="J361" s="110"/>
      <c r="K361" s="110"/>
      <c r="L361" s="110"/>
      <c r="M361" s="110"/>
      <c r="N361" s="110"/>
      <c r="O361" s="110"/>
      <c r="P361" s="110"/>
      <c r="Q361" s="110"/>
      <c r="R361" s="110"/>
      <c r="S361" s="110"/>
      <c r="T361" s="110"/>
      <c r="U361" s="111"/>
      <c r="V361" s="111"/>
      <c r="W361" s="111"/>
      <c r="X361" s="112"/>
      <c r="Y361" s="112"/>
      <c r="Z361" s="112"/>
      <c r="AA361" s="112"/>
      <c r="AB361" s="112"/>
      <c r="AC361" s="111"/>
      <c r="AD361" s="111"/>
      <c r="AE361" s="111"/>
      <c r="AF361" s="111"/>
      <c r="AG361" s="111"/>
      <c r="AH361" s="111"/>
      <c r="AI361" s="110"/>
      <c r="AJ361" s="110"/>
      <c r="AK361" s="110"/>
      <c r="AL361" s="110"/>
      <c r="AM361" s="110"/>
      <c r="AN361" s="110"/>
      <c r="AO361" s="110"/>
      <c r="AP361" s="110"/>
      <c r="AQ361" s="110"/>
      <c r="AR361" s="110"/>
      <c r="AS361" s="110"/>
      <c r="AT361" s="110"/>
      <c r="AU361" s="110"/>
      <c r="AV361" s="110"/>
      <c r="AW361" s="110"/>
      <c r="AX361" s="110"/>
      <c r="AY361" s="110"/>
      <c r="AZ361" s="110"/>
      <c r="BA361" s="110"/>
      <c r="BB361" s="110"/>
      <c r="BC361" s="110"/>
      <c r="BD361" s="110"/>
      <c r="BE361" s="110"/>
      <c r="BF361" s="110"/>
      <c r="BG361" s="110"/>
      <c r="BH361" s="110"/>
      <c r="BI361" s="110"/>
      <c r="BJ361" s="110"/>
      <c r="BK361" s="110"/>
      <c r="BL361" s="110"/>
      <c r="BM361" s="110"/>
      <c r="BN361" s="110"/>
      <c r="BO361" s="110"/>
      <c r="BP361" s="110"/>
      <c r="BQ361" s="110"/>
      <c r="BR361" s="110"/>
      <c r="BS361" s="110"/>
      <c r="BT361" s="110"/>
      <c r="BU361" s="110"/>
      <c r="BV361" s="110"/>
      <c r="BW361" s="110"/>
      <c r="BX361" s="110"/>
      <c r="BY361" s="110"/>
      <c r="BZ361" s="110"/>
      <c r="CA361" s="110"/>
      <c r="CB361" s="110"/>
      <c r="CC361" s="110"/>
      <c r="CD361" s="110"/>
      <c r="CE361" s="110"/>
      <c r="CF361" s="110"/>
      <c r="CG361" s="110"/>
      <c r="CH361" s="110"/>
      <c r="CI361" s="110"/>
      <c r="CJ361" s="110"/>
      <c r="CK361" s="110"/>
      <c r="CL361" s="110"/>
      <c r="CM361" s="110"/>
      <c r="CN361" s="110"/>
      <c r="CO361" s="110"/>
    </row>
    <row r="362" spans="1:93">
      <c r="A362" s="110"/>
      <c r="B362" s="110"/>
      <c r="C362" s="110"/>
      <c r="D362" s="110"/>
      <c r="E362" s="110"/>
      <c r="F362" s="110"/>
      <c r="G362" s="110"/>
      <c r="H362" s="110"/>
      <c r="I362" s="110"/>
      <c r="J362" s="110"/>
      <c r="K362" s="110"/>
      <c r="L362" s="110"/>
      <c r="M362" s="110"/>
      <c r="N362" s="110"/>
      <c r="O362" s="110"/>
      <c r="P362" s="110"/>
      <c r="Q362" s="110"/>
      <c r="R362" s="110"/>
      <c r="S362" s="110"/>
      <c r="T362" s="110"/>
      <c r="U362" s="111"/>
      <c r="V362" s="111"/>
      <c r="W362" s="111"/>
      <c r="X362" s="112"/>
      <c r="Y362" s="112"/>
      <c r="Z362" s="112"/>
      <c r="AA362" s="112"/>
      <c r="AB362" s="112"/>
      <c r="AC362" s="111"/>
      <c r="AD362" s="111"/>
      <c r="AE362" s="111"/>
      <c r="AF362" s="111"/>
      <c r="AG362" s="111"/>
      <c r="AH362" s="111"/>
      <c r="AI362" s="110"/>
      <c r="AJ362" s="110"/>
      <c r="AK362" s="110"/>
      <c r="AL362" s="110"/>
      <c r="AM362" s="110"/>
      <c r="AN362" s="110"/>
      <c r="AO362" s="110"/>
      <c r="AP362" s="110"/>
      <c r="AQ362" s="110"/>
      <c r="AR362" s="110"/>
      <c r="AS362" s="110"/>
      <c r="AT362" s="110"/>
      <c r="AU362" s="110"/>
      <c r="AV362" s="110"/>
      <c r="AW362" s="110"/>
      <c r="AX362" s="110"/>
      <c r="AY362" s="110"/>
      <c r="AZ362" s="110"/>
      <c r="BA362" s="110"/>
      <c r="BB362" s="110"/>
      <c r="BC362" s="110"/>
      <c r="BD362" s="110"/>
      <c r="BE362" s="110"/>
      <c r="BF362" s="110"/>
      <c r="BG362" s="110"/>
      <c r="BH362" s="110"/>
      <c r="BI362" s="110"/>
      <c r="BJ362" s="110"/>
      <c r="BK362" s="110"/>
      <c r="BL362" s="110"/>
      <c r="BM362" s="110"/>
      <c r="BN362" s="110"/>
      <c r="BO362" s="110"/>
      <c r="BP362" s="110"/>
      <c r="BQ362" s="110"/>
      <c r="BR362" s="110"/>
      <c r="BS362" s="110"/>
      <c r="BT362" s="110"/>
      <c r="BU362" s="110"/>
      <c r="BV362" s="110"/>
      <c r="BW362" s="110"/>
      <c r="BX362" s="110"/>
      <c r="BY362" s="110"/>
      <c r="BZ362" s="110"/>
      <c r="CA362" s="110"/>
      <c r="CB362" s="110"/>
      <c r="CC362" s="110"/>
      <c r="CD362" s="110"/>
      <c r="CE362" s="110"/>
      <c r="CF362" s="110"/>
      <c r="CG362" s="110"/>
      <c r="CH362" s="110"/>
      <c r="CI362" s="110"/>
      <c r="CJ362" s="110"/>
      <c r="CK362" s="110"/>
      <c r="CL362" s="110"/>
      <c r="CM362" s="110"/>
      <c r="CN362" s="110"/>
      <c r="CO362" s="110"/>
    </row>
    <row r="363" spans="1:93">
      <c r="A363" s="110"/>
      <c r="B363" s="110"/>
      <c r="C363" s="110"/>
      <c r="D363" s="110"/>
      <c r="E363" s="110"/>
      <c r="F363" s="110"/>
      <c r="G363" s="110"/>
      <c r="H363" s="110"/>
      <c r="I363" s="110"/>
      <c r="J363" s="110"/>
      <c r="K363" s="110"/>
      <c r="L363" s="110"/>
      <c r="M363" s="110"/>
      <c r="N363" s="110"/>
      <c r="O363" s="110"/>
      <c r="P363" s="110"/>
      <c r="Q363" s="110"/>
      <c r="R363" s="110"/>
      <c r="S363" s="110"/>
      <c r="T363" s="110"/>
      <c r="U363" s="111"/>
      <c r="V363" s="111"/>
      <c r="W363" s="111"/>
      <c r="X363" s="112"/>
      <c r="Y363" s="112"/>
      <c r="Z363" s="112"/>
      <c r="AA363" s="112"/>
      <c r="AB363" s="112"/>
      <c r="AC363" s="111"/>
      <c r="AD363" s="111"/>
      <c r="AE363" s="111"/>
      <c r="AF363" s="111"/>
      <c r="AG363" s="111"/>
      <c r="AH363" s="111"/>
      <c r="AI363" s="110"/>
      <c r="AJ363" s="110"/>
      <c r="AK363" s="110"/>
      <c r="AL363" s="110"/>
      <c r="AM363" s="110"/>
      <c r="AN363" s="110"/>
      <c r="AO363" s="110"/>
      <c r="AP363" s="110"/>
      <c r="AQ363" s="110"/>
      <c r="AR363" s="110"/>
      <c r="AS363" s="110"/>
      <c r="AT363" s="110"/>
      <c r="AU363" s="110"/>
      <c r="AV363" s="110"/>
      <c r="AW363" s="110"/>
      <c r="AX363" s="110"/>
      <c r="AY363" s="110"/>
      <c r="AZ363" s="110"/>
      <c r="BA363" s="110"/>
      <c r="BB363" s="110"/>
      <c r="BC363" s="110"/>
      <c r="BD363" s="110"/>
      <c r="BE363" s="110"/>
      <c r="BF363" s="110"/>
      <c r="BG363" s="110"/>
      <c r="BH363" s="110"/>
      <c r="BI363" s="110"/>
      <c r="BJ363" s="110"/>
      <c r="BK363" s="110"/>
      <c r="BL363" s="110"/>
      <c r="BM363" s="110"/>
      <c r="BN363" s="110"/>
      <c r="BO363" s="110"/>
      <c r="BP363" s="110"/>
      <c r="BQ363" s="110"/>
      <c r="BR363" s="110"/>
      <c r="BS363" s="110"/>
      <c r="BT363" s="110"/>
      <c r="BU363" s="110"/>
      <c r="BV363" s="110"/>
      <c r="BW363" s="110"/>
      <c r="BX363" s="110"/>
      <c r="BY363" s="110"/>
      <c r="BZ363" s="110"/>
      <c r="CA363" s="110"/>
      <c r="CB363" s="110"/>
      <c r="CC363" s="110"/>
      <c r="CD363" s="110"/>
      <c r="CE363" s="110"/>
      <c r="CF363" s="110"/>
      <c r="CG363" s="110"/>
      <c r="CH363" s="110"/>
      <c r="CI363" s="110"/>
      <c r="CJ363" s="110"/>
      <c r="CK363" s="110"/>
      <c r="CL363" s="110"/>
      <c r="CM363" s="110"/>
      <c r="CN363" s="110"/>
      <c r="CO363" s="110"/>
    </row>
    <row r="364" spans="1:93">
      <c r="A364" s="110"/>
      <c r="B364" s="110"/>
      <c r="C364" s="110"/>
      <c r="D364" s="110"/>
      <c r="E364" s="110"/>
      <c r="F364" s="110"/>
      <c r="G364" s="110"/>
      <c r="H364" s="110"/>
      <c r="I364" s="110"/>
      <c r="J364" s="110"/>
      <c r="K364" s="110"/>
      <c r="L364" s="110"/>
      <c r="M364" s="110"/>
      <c r="N364" s="110"/>
      <c r="O364" s="110"/>
      <c r="P364" s="110"/>
      <c r="Q364" s="110"/>
      <c r="R364" s="110"/>
      <c r="S364" s="110"/>
      <c r="T364" s="110"/>
      <c r="U364" s="111"/>
      <c r="V364" s="111"/>
      <c r="W364" s="111"/>
      <c r="X364" s="112"/>
      <c r="Y364" s="112"/>
      <c r="Z364" s="112"/>
      <c r="AA364" s="112"/>
      <c r="AB364" s="112"/>
      <c r="AC364" s="111"/>
      <c r="AD364" s="111"/>
      <c r="AE364" s="111"/>
      <c r="AF364" s="111"/>
      <c r="AG364" s="111"/>
      <c r="AH364" s="111"/>
      <c r="AI364" s="110"/>
      <c r="AJ364" s="110"/>
      <c r="AK364" s="110"/>
      <c r="AL364" s="110"/>
      <c r="AM364" s="110"/>
      <c r="AN364" s="110"/>
      <c r="AO364" s="110"/>
      <c r="AP364" s="110"/>
      <c r="AQ364" s="110"/>
      <c r="AR364" s="110"/>
      <c r="AS364" s="110"/>
      <c r="AT364" s="110"/>
      <c r="AU364" s="110"/>
      <c r="AV364" s="110"/>
      <c r="AW364" s="110"/>
      <c r="AX364" s="110"/>
      <c r="AY364" s="110"/>
      <c r="AZ364" s="110"/>
      <c r="BA364" s="110"/>
      <c r="BB364" s="110"/>
      <c r="BC364" s="110"/>
      <c r="BD364" s="110"/>
      <c r="BE364" s="110"/>
      <c r="BF364" s="110"/>
      <c r="BG364" s="110"/>
      <c r="BH364" s="110"/>
      <c r="BI364" s="110"/>
      <c r="BJ364" s="110"/>
      <c r="BK364" s="110"/>
      <c r="BL364" s="110"/>
      <c r="BM364" s="110"/>
      <c r="BN364" s="110"/>
      <c r="BO364" s="110"/>
      <c r="BP364" s="110"/>
      <c r="BQ364" s="110"/>
      <c r="BR364" s="110"/>
      <c r="BS364" s="110"/>
      <c r="BT364" s="110"/>
      <c r="BU364" s="110"/>
      <c r="BV364" s="110"/>
      <c r="BW364" s="110"/>
      <c r="BX364" s="110"/>
      <c r="BY364" s="110"/>
      <c r="BZ364" s="110"/>
      <c r="CA364" s="110"/>
      <c r="CB364" s="110"/>
      <c r="CC364" s="110"/>
      <c r="CD364" s="110"/>
      <c r="CE364" s="110"/>
      <c r="CF364" s="110"/>
      <c r="CG364" s="110"/>
      <c r="CH364" s="110"/>
      <c r="CI364" s="110"/>
      <c r="CJ364" s="110"/>
      <c r="CK364" s="110"/>
      <c r="CL364" s="110"/>
      <c r="CM364" s="110"/>
      <c r="CN364" s="110"/>
      <c r="CO364" s="110"/>
    </row>
    <row r="365" spans="1:93">
      <c r="A365" s="110"/>
      <c r="B365" s="110"/>
      <c r="C365" s="110"/>
      <c r="D365" s="110"/>
      <c r="E365" s="110"/>
      <c r="F365" s="110"/>
      <c r="G365" s="110"/>
      <c r="H365" s="110"/>
      <c r="I365" s="110"/>
      <c r="J365" s="110"/>
      <c r="K365" s="110"/>
      <c r="L365" s="110"/>
      <c r="M365" s="110"/>
      <c r="N365" s="110"/>
      <c r="O365" s="110"/>
      <c r="P365" s="110"/>
      <c r="Q365" s="110"/>
      <c r="R365" s="110"/>
      <c r="S365" s="110"/>
      <c r="T365" s="110"/>
      <c r="U365" s="111"/>
      <c r="V365" s="111"/>
      <c r="W365" s="111"/>
      <c r="X365" s="112"/>
      <c r="Y365" s="112"/>
      <c r="Z365" s="112"/>
      <c r="AA365" s="112"/>
      <c r="AB365" s="112"/>
      <c r="AC365" s="111"/>
      <c r="AD365" s="111"/>
      <c r="AE365" s="111"/>
      <c r="AF365" s="111"/>
      <c r="AG365" s="111"/>
      <c r="AH365" s="111"/>
      <c r="AI365" s="110"/>
      <c r="AJ365" s="110"/>
      <c r="AK365" s="110"/>
      <c r="AL365" s="110"/>
      <c r="AM365" s="110"/>
      <c r="AN365" s="110"/>
      <c r="AO365" s="110"/>
      <c r="AP365" s="110"/>
      <c r="AQ365" s="110"/>
      <c r="AR365" s="110"/>
      <c r="AS365" s="110"/>
      <c r="AT365" s="110"/>
      <c r="AU365" s="110"/>
      <c r="AV365" s="110"/>
      <c r="AW365" s="110"/>
      <c r="AX365" s="110"/>
      <c r="AY365" s="110"/>
      <c r="AZ365" s="110"/>
      <c r="BA365" s="110"/>
      <c r="BB365" s="110"/>
      <c r="BC365" s="110"/>
      <c r="BD365" s="110"/>
      <c r="BE365" s="110"/>
      <c r="BF365" s="110"/>
      <c r="BG365" s="110"/>
      <c r="BH365" s="110"/>
      <c r="BI365" s="110"/>
      <c r="BJ365" s="110"/>
      <c r="BK365" s="110"/>
      <c r="BL365" s="110"/>
      <c r="BM365" s="110"/>
      <c r="BN365" s="110"/>
      <c r="BO365" s="110"/>
      <c r="BP365" s="110"/>
      <c r="BQ365" s="110"/>
      <c r="BR365" s="110"/>
      <c r="BS365" s="110"/>
      <c r="BT365" s="110"/>
      <c r="BU365" s="110"/>
      <c r="BV365" s="110"/>
      <c r="BW365" s="110"/>
      <c r="BX365" s="110"/>
      <c r="BY365" s="110"/>
      <c r="BZ365" s="110"/>
      <c r="CA365" s="110"/>
      <c r="CB365" s="110"/>
      <c r="CC365" s="110"/>
      <c r="CD365" s="110"/>
      <c r="CE365" s="110"/>
      <c r="CF365" s="110"/>
      <c r="CG365" s="110"/>
      <c r="CH365" s="110"/>
      <c r="CI365" s="110"/>
      <c r="CJ365" s="110"/>
      <c r="CK365" s="110"/>
      <c r="CL365" s="110"/>
      <c r="CM365" s="110"/>
      <c r="CN365" s="110"/>
      <c r="CO365" s="110"/>
    </row>
    <row r="366" spans="1:93">
      <c r="A366" s="110"/>
      <c r="B366" s="110"/>
      <c r="C366" s="110"/>
      <c r="D366" s="110"/>
      <c r="E366" s="110"/>
      <c r="F366" s="110"/>
      <c r="G366" s="110"/>
      <c r="H366" s="110"/>
      <c r="I366" s="110"/>
      <c r="J366" s="110"/>
      <c r="K366" s="110"/>
      <c r="L366" s="110"/>
      <c r="M366" s="110"/>
      <c r="N366" s="110"/>
      <c r="O366" s="110"/>
      <c r="P366" s="110"/>
      <c r="Q366" s="110"/>
      <c r="R366" s="110"/>
      <c r="S366" s="110"/>
      <c r="T366" s="110"/>
      <c r="U366" s="111"/>
      <c r="V366" s="111"/>
      <c r="W366" s="111"/>
      <c r="X366" s="112"/>
      <c r="Y366" s="112"/>
      <c r="Z366" s="112"/>
      <c r="AA366" s="112"/>
      <c r="AB366" s="112"/>
      <c r="AC366" s="111"/>
      <c r="AD366" s="111"/>
      <c r="AE366" s="111"/>
      <c r="AF366" s="111"/>
      <c r="AG366" s="111"/>
      <c r="AH366" s="111"/>
      <c r="AI366" s="110"/>
      <c r="AJ366" s="110"/>
      <c r="AK366" s="110"/>
      <c r="AL366" s="110"/>
      <c r="AM366" s="110"/>
      <c r="AN366" s="110"/>
      <c r="AO366" s="110"/>
      <c r="AP366" s="110"/>
      <c r="AQ366" s="110"/>
      <c r="AR366" s="110"/>
      <c r="AS366" s="110"/>
      <c r="AT366" s="110"/>
      <c r="AU366" s="110"/>
      <c r="AV366" s="110"/>
      <c r="AW366" s="110"/>
      <c r="AX366" s="110"/>
      <c r="AY366" s="110"/>
      <c r="AZ366" s="110"/>
      <c r="BA366" s="110"/>
      <c r="BB366" s="110"/>
      <c r="BC366" s="110"/>
      <c r="BD366" s="110"/>
      <c r="BE366" s="110"/>
      <c r="BF366" s="110"/>
      <c r="BG366" s="110"/>
      <c r="BH366" s="110"/>
      <c r="BI366" s="110"/>
      <c r="BJ366" s="110"/>
      <c r="BK366" s="110"/>
      <c r="BL366" s="110"/>
      <c r="BM366" s="110"/>
      <c r="BN366" s="110"/>
      <c r="BO366" s="110"/>
      <c r="BP366" s="110"/>
      <c r="BQ366" s="110"/>
      <c r="BR366" s="110"/>
      <c r="BS366" s="110"/>
      <c r="BT366" s="110"/>
      <c r="BU366" s="110"/>
      <c r="BV366" s="110"/>
      <c r="BW366" s="110"/>
      <c r="BX366" s="110"/>
      <c r="BY366" s="110"/>
      <c r="BZ366" s="110"/>
      <c r="CA366" s="110"/>
      <c r="CB366" s="110"/>
      <c r="CC366" s="110"/>
      <c r="CD366" s="110"/>
      <c r="CE366" s="110"/>
      <c r="CF366" s="110"/>
      <c r="CG366" s="110"/>
      <c r="CH366" s="110"/>
      <c r="CI366" s="110"/>
      <c r="CJ366" s="110"/>
      <c r="CK366" s="110"/>
      <c r="CL366" s="110"/>
      <c r="CM366" s="110"/>
      <c r="CN366" s="110"/>
      <c r="CO366" s="110"/>
    </row>
    <row r="367" spans="1:93">
      <c r="A367" s="110"/>
      <c r="B367" s="110"/>
      <c r="C367" s="110"/>
      <c r="D367" s="110"/>
      <c r="E367" s="110"/>
      <c r="F367" s="110"/>
      <c r="G367" s="110"/>
      <c r="H367" s="110"/>
      <c r="I367" s="110"/>
      <c r="J367" s="110"/>
      <c r="K367" s="110"/>
      <c r="L367" s="110"/>
      <c r="M367" s="110"/>
      <c r="N367" s="110"/>
      <c r="O367" s="110"/>
      <c r="P367" s="110"/>
      <c r="Q367" s="110"/>
      <c r="R367" s="110"/>
      <c r="S367" s="110"/>
      <c r="T367" s="110"/>
      <c r="U367" s="111"/>
      <c r="V367" s="111"/>
      <c r="W367" s="111"/>
      <c r="X367" s="112"/>
      <c r="Y367" s="112"/>
      <c r="Z367" s="112"/>
      <c r="AA367" s="112"/>
      <c r="AB367" s="112"/>
      <c r="AC367" s="111"/>
      <c r="AD367" s="111"/>
      <c r="AE367" s="111"/>
      <c r="AF367" s="111"/>
      <c r="AG367" s="111"/>
      <c r="AH367" s="111"/>
      <c r="AI367" s="110"/>
      <c r="AJ367" s="110"/>
      <c r="AK367" s="110"/>
      <c r="AL367" s="110"/>
      <c r="AM367" s="110"/>
      <c r="AN367" s="110"/>
      <c r="AO367" s="110"/>
      <c r="AP367" s="110"/>
      <c r="AQ367" s="110"/>
      <c r="AR367" s="110"/>
      <c r="AS367" s="110"/>
      <c r="AT367" s="110"/>
      <c r="AU367" s="110"/>
      <c r="AV367" s="110"/>
      <c r="AW367" s="110"/>
      <c r="AX367" s="110"/>
      <c r="AY367" s="110"/>
      <c r="AZ367" s="110"/>
      <c r="BA367" s="110"/>
      <c r="BB367" s="110"/>
      <c r="BC367" s="110"/>
      <c r="BD367" s="110"/>
      <c r="BE367" s="110"/>
      <c r="BF367" s="110"/>
      <c r="BG367" s="110"/>
      <c r="BH367" s="110"/>
      <c r="BI367" s="110"/>
      <c r="BJ367" s="110"/>
      <c r="BK367" s="110"/>
      <c r="BL367" s="110"/>
      <c r="BM367" s="110"/>
      <c r="BN367" s="110"/>
      <c r="BO367" s="110"/>
      <c r="BP367" s="110"/>
      <c r="BQ367" s="110"/>
      <c r="BR367" s="110"/>
      <c r="BS367" s="110"/>
      <c r="BT367" s="110"/>
      <c r="BU367" s="110"/>
      <c r="BV367" s="110"/>
      <c r="BW367" s="110"/>
      <c r="BX367" s="110"/>
      <c r="BY367" s="110"/>
      <c r="BZ367" s="110"/>
      <c r="CA367" s="110"/>
      <c r="CB367" s="110"/>
      <c r="CC367" s="110"/>
      <c r="CD367" s="110"/>
      <c r="CE367" s="110"/>
      <c r="CF367" s="110"/>
      <c r="CG367" s="110"/>
      <c r="CH367" s="110"/>
      <c r="CI367" s="110"/>
      <c r="CJ367" s="110"/>
      <c r="CK367" s="110"/>
      <c r="CL367" s="110"/>
      <c r="CM367" s="110"/>
      <c r="CN367" s="110"/>
      <c r="CO367" s="110"/>
    </row>
    <row r="368" spans="1:93">
      <c r="A368" s="110"/>
      <c r="B368" s="110"/>
      <c r="C368" s="110"/>
      <c r="D368" s="110"/>
      <c r="E368" s="110"/>
      <c r="F368" s="110"/>
      <c r="G368" s="110"/>
      <c r="H368" s="110"/>
      <c r="I368" s="110"/>
      <c r="J368" s="110"/>
      <c r="K368" s="110"/>
      <c r="L368" s="110"/>
      <c r="M368" s="110"/>
      <c r="N368" s="110"/>
      <c r="O368" s="110"/>
      <c r="P368" s="110"/>
      <c r="Q368" s="110"/>
      <c r="R368" s="110"/>
      <c r="S368" s="110"/>
      <c r="T368" s="110"/>
      <c r="U368" s="111"/>
      <c r="V368" s="111"/>
      <c r="W368" s="111"/>
      <c r="X368" s="112"/>
      <c r="Y368" s="112"/>
      <c r="Z368" s="112"/>
      <c r="AA368" s="112"/>
      <c r="AB368" s="112"/>
      <c r="AC368" s="111"/>
      <c r="AD368" s="111"/>
      <c r="AE368" s="111"/>
      <c r="AF368" s="111"/>
      <c r="AG368" s="111"/>
      <c r="AH368" s="111"/>
      <c r="AI368" s="110"/>
      <c r="AJ368" s="110"/>
      <c r="AK368" s="110"/>
      <c r="AL368" s="110"/>
      <c r="AM368" s="110"/>
      <c r="AN368" s="110"/>
      <c r="AO368" s="110"/>
      <c r="AP368" s="110"/>
      <c r="AQ368" s="110"/>
      <c r="AR368" s="110"/>
      <c r="AS368" s="110"/>
      <c r="AT368" s="110"/>
      <c r="AU368" s="110"/>
      <c r="AV368" s="110"/>
      <c r="AW368" s="110"/>
      <c r="AX368" s="110"/>
      <c r="AY368" s="110"/>
      <c r="AZ368" s="110"/>
      <c r="BA368" s="110"/>
      <c r="BB368" s="110"/>
      <c r="BC368" s="110"/>
      <c r="BD368" s="110"/>
      <c r="BE368" s="110"/>
      <c r="BF368" s="110"/>
      <c r="BG368" s="110"/>
      <c r="BH368" s="110"/>
      <c r="BI368" s="110"/>
      <c r="BJ368" s="110"/>
      <c r="BK368" s="110"/>
      <c r="BL368" s="110"/>
      <c r="BM368" s="110"/>
      <c r="BN368" s="110"/>
      <c r="BO368" s="110"/>
      <c r="BP368" s="110"/>
      <c r="BQ368" s="110"/>
      <c r="BR368" s="110"/>
      <c r="BS368" s="110"/>
      <c r="BT368" s="110"/>
      <c r="BU368" s="110"/>
      <c r="BV368" s="110"/>
      <c r="BW368" s="110"/>
      <c r="BX368" s="110"/>
      <c r="BY368" s="110"/>
      <c r="BZ368" s="110"/>
      <c r="CA368" s="110"/>
      <c r="CB368" s="110"/>
      <c r="CC368" s="110"/>
      <c r="CD368" s="110"/>
      <c r="CE368" s="110"/>
      <c r="CF368" s="110"/>
      <c r="CG368" s="110"/>
      <c r="CH368" s="110"/>
      <c r="CI368" s="110"/>
      <c r="CJ368" s="110"/>
      <c r="CK368" s="110"/>
      <c r="CL368" s="110"/>
      <c r="CM368" s="110"/>
      <c r="CN368" s="110"/>
      <c r="CO368" s="110"/>
    </row>
    <row r="369" spans="1:93">
      <c r="A369" s="110"/>
      <c r="B369" s="110"/>
      <c r="C369" s="110"/>
      <c r="D369" s="110"/>
      <c r="E369" s="110"/>
      <c r="F369" s="110"/>
      <c r="G369" s="110"/>
      <c r="H369" s="110"/>
      <c r="I369" s="110"/>
      <c r="J369" s="110"/>
      <c r="K369" s="110"/>
      <c r="L369" s="110"/>
      <c r="M369" s="110"/>
      <c r="N369" s="110"/>
      <c r="O369" s="110"/>
      <c r="P369" s="110"/>
      <c r="Q369" s="110"/>
      <c r="R369" s="110"/>
      <c r="S369" s="110"/>
      <c r="T369" s="110"/>
      <c r="U369" s="111"/>
      <c r="V369" s="111"/>
      <c r="W369" s="111"/>
      <c r="X369" s="112"/>
      <c r="Y369" s="112"/>
      <c r="Z369" s="112"/>
      <c r="AA369" s="112"/>
      <c r="AB369" s="112"/>
      <c r="AC369" s="111"/>
      <c r="AD369" s="111"/>
      <c r="AE369" s="111"/>
      <c r="AF369" s="111"/>
      <c r="AG369" s="111"/>
      <c r="AH369" s="111"/>
      <c r="AI369" s="110"/>
      <c r="AJ369" s="110"/>
      <c r="AK369" s="110"/>
      <c r="AL369" s="110"/>
      <c r="AM369" s="110"/>
      <c r="AN369" s="110"/>
      <c r="AO369" s="110"/>
      <c r="AP369" s="110"/>
      <c r="AQ369" s="110"/>
      <c r="AR369" s="110"/>
      <c r="AS369" s="110"/>
      <c r="AT369" s="110"/>
      <c r="AU369" s="110"/>
      <c r="AV369" s="110"/>
      <c r="AW369" s="110"/>
      <c r="AX369" s="110"/>
      <c r="AY369" s="110"/>
      <c r="AZ369" s="110"/>
      <c r="BA369" s="110"/>
      <c r="BB369" s="110"/>
      <c r="BC369" s="110"/>
      <c r="BD369" s="110"/>
      <c r="BE369" s="110"/>
      <c r="BF369" s="110"/>
      <c r="BG369" s="110"/>
      <c r="BH369" s="110"/>
      <c r="BI369" s="110"/>
      <c r="BJ369" s="110"/>
      <c r="BK369" s="110"/>
      <c r="BL369" s="110"/>
      <c r="BM369" s="110"/>
      <c r="BN369" s="110"/>
      <c r="BO369" s="110"/>
      <c r="BP369" s="110"/>
      <c r="BQ369" s="110"/>
      <c r="BR369" s="110"/>
      <c r="BS369" s="110"/>
      <c r="BT369" s="110"/>
      <c r="BU369" s="110"/>
      <c r="BV369" s="110"/>
      <c r="BW369" s="110"/>
      <c r="BX369" s="110"/>
      <c r="BY369" s="110"/>
      <c r="BZ369" s="110"/>
      <c r="CA369" s="110"/>
      <c r="CB369" s="110"/>
      <c r="CC369" s="110"/>
      <c r="CD369" s="110"/>
      <c r="CE369" s="110"/>
      <c r="CF369" s="110"/>
      <c r="CG369" s="110"/>
      <c r="CH369" s="110"/>
      <c r="CI369" s="110"/>
      <c r="CJ369" s="110"/>
      <c r="CK369" s="110"/>
      <c r="CL369" s="110"/>
      <c r="CM369" s="110"/>
      <c r="CN369" s="110"/>
      <c r="CO369" s="110"/>
    </row>
    <row r="370" spans="1:93">
      <c r="A370" s="110"/>
      <c r="B370" s="110"/>
      <c r="C370" s="110"/>
      <c r="D370" s="110"/>
      <c r="E370" s="110"/>
      <c r="F370" s="110"/>
      <c r="G370" s="110"/>
      <c r="H370" s="110"/>
      <c r="I370" s="110"/>
      <c r="J370" s="110"/>
      <c r="K370" s="110"/>
      <c r="L370" s="110"/>
      <c r="M370" s="110"/>
      <c r="N370" s="110"/>
      <c r="O370" s="110"/>
      <c r="P370" s="110"/>
      <c r="Q370" s="110"/>
      <c r="R370" s="110"/>
      <c r="S370" s="110"/>
      <c r="T370" s="110"/>
      <c r="U370" s="111"/>
      <c r="V370" s="111"/>
      <c r="W370" s="111"/>
      <c r="X370" s="112"/>
      <c r="Y370" s="112"/>
      <c r="Z370" s="112"/>
      <c r="AA370" s="112"/>
      <c r="AB370" s="112"/>
      <c r="AC370" s="111"/>
      <c r="AD370" s="111"/>
      <c r="AE370" s="111"/>
      <c r="AF370" s="111"/>
      <c r="AG370" s="111"/>
      <c r="AH370" s="111"/>
      <c r="AI370" s="110"/>
      <c r="AJ370" s="110"/>
      <c r="AK370" s="110"/>
      <c r="AL370" s="110"/>
      <c r="AM370" s="110"/>
      <c r="AN370" s="110"/>
      <c r="AO370" s="110"/>
      <c r="AP370" s="110"/>
      <c r="AQ370" s="110"/>
      <c r="AR370" s="110"/>
      <c r="AS370" s="110"/>
      <c r="AT370" s="110"/>
      <c r="AU370" s="110"/>
      <c r="AV370" s="110"/>
      <c r="AW370" s="110"/>
      <c r="AX370" s="110"/>
      <c r="AY370" s="110"/>
      <c r="AZ370" s="110"/>
      <c r="BA370" s="110"/>
      <c r="BB370" s="110"/>
      <c r="BC370" s="110"/>
      <c r="BD370" s="110"/>
      <c r="BE370" s="110"/>
      <c r="BF370" s="110"/>
      <c r="BG370" s="110"/>
      <c r="BH370" s="110"/>
      <c r="BI370" s="110"/>
      <c r="BJ370" s="110"/>
      <c r="BK370" s="110"/>
      <c r="BL370" s="110"/>
      <c r="BM370" s="110"/>
      <c r="BN370" s="110"/>
      <c r="BO370" s="110"/>
      <c r="BP370" s="110"/>
      <c r="BQ370" s="110"/>
      <c r="BR370" s="110"/>
      <c r="BS370" s="110"/>
      <c r="BT370" s="110"/>
      <c r="BU370" s="110"/>
      <c r="BV370" s="110"/>
      <c r="BW370" s="110"/>
      <c r="BX370" s="110"/>
      <c r="BY370" s="110"/>
      <c r="BZ370" s="110"/>
      <c r="CA370" s="110"/>
      <c r="CB370" s="110"/>
      <c r="CC370" s="110"/>
      <c r="CD370" s="110"/>
      <c r="CE370" s="110"/>
      <c r="CF370" s="110"/>
      <c r="CG370" s="110"/>
      <c r="CH370" s="110"/>
      <c r="CI370" s="110"/>
      <c r="CJ370" s="110"/>
      <c r="CK370" s="110"/>
      <c r="CL370" s="110"/>
      <c r="CM370" s="110"/>
      <c r="CN370" s="110"/>
      <c r="CO370" s="110"/>
    </row>
    <row r="371" spans="1:93">
      <c r="A371" s="110"/>
      <c r="B371" s="110"/>
      <c r="C371" s="110"/>
      <c r="D371" s="110"/>
      <c r="E371" s="110"/>
      <c r="F371" s="110"/>
      <c r="G371" s="110"/>
      <c r="H371" s="110"/>
      <c r="I371" s="110"/>
      <c r="J371" s="110"/>
      <c r="K371" s="110"/>
      <c r="L371" s="110"/>
      <c r="M371" s="110"/>
      <c r="N371" s="110"/>
      <c r="O371" s="110"/>
      <c r="P371" s="110"/>
      <c r="Q371" s="110"/>
      <c r="R371" s="110"/>
      <c r="S371" s="110"/>
      <c r="T371" s="110"/>
      <c r="U371" s="111"/>
      <c r="V371" s="111"/>
      <c r="W371" s="111"/>
      <c r="X371" s="112"/>
      <c r="Y371" s="112"/>
      <c r="Z371" s="112"/>
      <c r="AA371" s="112"/>
      <c r="AB371" s="112"/>
      <c r="AC371" s="111"/>
      <c r="AD371" s="111"/>
      <c r="AE371" s="111"/>
      <c r="AF371" s="111"/>
      <c r="AG371" s="111"/>
      <c r="AH371" s="111"/>
      <c r="AI371" s="110"/>
      <c r="AJ371" s="110"/>
      <c r="AK371" s="110"/>
      <c r="AL371" s="110"/>
      <c r="AM371" s="110"/>
      <c r="AN371" s="110"/>
      <c r="AO371" s="110"/>
      <c r="AP371" s="110"/>
      <c r="AQ371" s="110"/>
      <c r="AR371" s="110"/>
      <c r="AS371" s="110"/>
      <c r="AT371" s="110"/>
      <c r="AU371" s="110"/>
      <c r="AV371" s="110"/>
      <c r="AW371" s="110"/>
      <c r="AX371" s="110"/>
      <c r="AY371" s="110"/>
      <c r="AZ371" s="110"/>
      <c r="BA371" s="110"/>
      <c r="BB371" s="110"/>
      <c r="BC371" s="110"/>
      <c r="BD371" s="110"/>
      <c r="BE371" s="110"/>
      <c r="BF371" s="110"/>
      <c r="BG371" s="110"/>
      <c r="BH371" s="110"/>
      <c r="BI371" s="110"/>
      <c r="BJ371" s="110"/>
      <c r="BK371" s="110"/>
      <c r="BL371" s="110"/>
      <c r="BM371" s="110"/>
      <c r="BN371" s="110"/>
      <c r="BO371" s="110"/>
      <c r="BP371" s="110"/>
      <c r="BQ371" s="110"/>
      <c r="BR371" s="110"/>
      <c r="BS371" s="110"/>
      <c r="BT371" s="110"/>
      <c r="BU371" s="110"/>
      <c r="BV371" s="110"/>
      <c r="BW371" s="110"/>
      <c r="BX371" s="110"/>
      <c r="BY371" s="110"/>
      <c r="BZ371" s="110"/>
      <c r="CA371" s="110"/>
      <c r="CB371" s="110"/>
      <c r="CC371" s="110"/>
      <c r="CD371" s="110"/>
      <c r="CE371" s="110"/>
      <c r="CF371" s="110"/>
      <c r="CG371" s="110"/>
      <c r="CH371" s="110"/>
      <c r="CI371" s="110"/>
      <c r="CJ371" s="110"/>
      <c r="CK371" s="110"/>
      <c r="CL371" s="110"/>
      <c r="CM371" s="110"/>
      <c r="CN371" s="110"/>
      <c r="CO371" s="110"/>
    </row>
    <row r="372" spans="1:93">
      <c r="A372" s="110"/>
      <c r="B372" s="110"/>
      <c r="C372" s="110"/>
      <c r="D372" s="110"/>
      <c r="E372" s="110"/>
      <c r="F372" s="110"/>
      <c r="G372" s="110"/>
      <c r="H372" s="110"/>
      <c r="I372" s="110"/>
      <c r="J372" s="110"/>
      <c r="K372" s="110"/>
      <c r="L372" s="110"/>
      <c r="M372" s="110"/>
      <c r="N372" s="110"/>
      <c r="O372" s="110"/>
      <c r="P372" s="110"/>
      <c r="Q372" s="110"/>
      <c r="R372" s="110"/>
      <c r="S372" s="110"/>
      <c r="T372" s="110"/>
      <c r="U372" s="111"/>
      <c r="V372" s="111"/>
      <c r="W372" s="111"/>
      <c r="X372" s="112"/>
      <c r="Y372" s="112"/>
      <c r="Z372" s="112"/>
      <c r="AA372" s="112"/>
      <c r="AB372" s="112"/>
      <c r="AC372" s="111"/>
      <c r="AD372" s="111"/>
      <c r="AE372" s="111"/>
      <c r="AF372" s="111"/>
      <c r="AG372" s="111"/>
      <c r="AH372" s="111"/>
      <c r="AI372" s="110"/>
      <c r="AJ372" s="110"/>
      <c r="AK372" s="110"/>
      <c r="AL372" s="110"/>
      <c r="AM372" s="110"/>
      <c r="AN372" s="110"/>
      <c r="AO372" s="110"/>
      <c r="AP372" s="110"/>
      <c r="AQ372" s="110"/>
      <c r="AR372" s="110"/>
      <c r="AS372" s="110"/>
      <c r="AT372" s="110"/>
      <c r="AU372" s="110"/>
      <c r="AV372" s="110"/>
      <c r="AW372" s="110"/>
      <c r="AX372" s="110"/>
      <c r="AY372" s="110"/>
      <c r="AZ372" s="110"/>
      <c r="BA372" s="110"/>
      <c r="BB372" s="110"/>
      <c r="BC372" s="110"/>
      <c r="BD372" s="110"/>
      <c r="BE372" s="110"/>
      <c r="BF372" s="110"/>
      <c r="BG372" s="110"/>
      <c r="BH372" s="110"/>
      <c r="BI372" s="110"/>
      <c r="BJ372" s="110"/>
      <c r="BK372" s="110"/>
      <c r="BL372" s="110"/>
      <c r="BM372" s="110"/>
      <c r="BN372" s="110"/>
      <c r="BO372" s="110"/>
      <c r="BP372" s="110"/>
      <c r="BQ372" s="110"/>
      <c r="BR372" s="110"/>
      <c r="BS372" s="110"/>
      <c r="BT372" s="110"/>
      <c r="BU372" s="110"/>
      <c r="BV372" s="110"/>
      <c r="BW372" s="110"/>
      <c r="BX372" s="110"/>
      <c r="BY372" s="110"/>
      <c r="BZ372" s="110"/>
      <c r="CA372" s="110"/>
      <c r="CB372" s="110"/>
      <c r="CC372" s="110"/>
      <c r="CD372" s="110"/>
      <c r="CE372" s="110"/>
      <c r="CF372" s="110"/>
      <c r="CG372" s="110"/>
      <c r="CH372" s="110"/>
      <c r="CI372" s="110"/>
      <c r="CJ372" s="110"/>
      <c r="CK372" s="110"/>
      <c r="CL372" s="110"/>
      <c r="CM372" s="110"/>
      <c r="CN372" s="110"/>
      <c r="CO372" s="110"/>
    </row>
    <row r="373" spans="1:93">
      <c r="A373" s="110"/>
      <c r="B373" s="110"/>
      <c r="C373" s="110"/>
      <c r="D373" s="110"/>
      <c r="E373" s="110"/>
      <c r="F373" s="110"/>
      <c r="G373" s="110"/>
      <c r="H373" s="110"/>
      <c r="I373" s="110"/>
      <c r="J373" s="110"/>
      <c r="K373" s="110"/>
      <c r="L373" s="110"/>
      <c r="M373" s="110"/>
      <c r="N373" s="110"/>
      <c r="O373" s="110"/>
      <c r="P373" s="110"/>
      <c r="Q373" s="110"/>
      <c r="R373" s="110"/>
      <c r="S373" s="110"/>
      <c r="T373" s="110"/>
      <c r="U373" s="111"/>
      <c r="V373" s="111"/>
      <c r="W373" s="111"/>
      <c r="X373" s="112"/>
      <c r="Y373" s="112"/>
      <c r="Z373" s="112"/>
      <c r="AA373" s="112"/>
      <c r="AB373" s="112"/>
      <c r="AC373" s="111"/>
      <c r="AD373" s="111"/>
      <c r="AE373" s="111"/>
      <c r="AF373" s="111"/>
      <c r="AG373" s="111"/>
      <c r="AH373" s="111"/>
      <c r="AI373" s="110"/>
      <c r="AJ373" s="110"/>
      <c r="AK373" s="110"/>
      <c r="AL373" s="110"/>
      <c r="AM373" s="110"/>
      <c r="AN373" s="110"/>
      <c r="AO373" s="110"/>
      <c r="AP373" s="110"/>
      <c r="AQ373" s="110"/>
      <c r="AR373" s="110"/>
      <c r="AS373" s="110"/>
      <c r="AT373" s="110"/>
      <c r="AU373" s="110"/>
      <c r="AV373" s="110"/>
      <c r="AW373" s="110"/>
      <c r="AX373" s="110"/>
      <c r="AY373" s="110"/>
      <c r="AZ373" s="110"/>
      <c r="BA373" s="110"/>
      <c r="BB373" s="110"/>
      <c r="BC373" s="110"/>
      <c r="BD373" s="110"/>
      <c r="BE373" s="110"/>
      <c r="BF373" s="110"/>
      <c r="BG373" s="110"/>
      <c r="BH373" s="110"/>
      <c r="BI373" s="110"/>
      <c r="BJ373" s="110"/>
      <c r="BK373" s="110"/>
      <c r="BL373" s="110"/>
      <c r="BM373" s="110"/>
      <c r="BN373" s="110"/>
      <c r="BO373" s="110"/>
      <c r="BP373" s="110"/>
      <c r="BQ373" s="110"/>
      <c r="BR373" s="110"/>
      <c r="BS373" s="110"/>
      <c r="BT373" s="110"/>
      <c r="BU373" s="110"/>
      <c r="BV373" s="110"/>
      <c r="BW373" s="110"/>
      <c r="BX373" s="110"/>
      <c r="BY373" s="110"/>
      <c r="BZ373" s="110"/>
      <c r="CA373" s="110"/>
      <c r="CB373" s="110"/>
      <c r="CC373" s="110"/>
      <c r="CD373" s="110"/>
      <c r="CE373" s="110"/>
      <c r="CF373" s="110"/>
      <c r="CG373" s="110"/>
      <c r="CH373" s="110"/>
      <c r="CI373" s="110"/>
      <c r="CJ373" s="110"/>
      <c r="CK373" s="110"/>
      <c r="CL373" s="110"/>
      <c r="CM373" s="110"/>
      <c r="CN373" s="110"/>
      <c r="CO373" s="110"/>
    </row>
    <row r="374" spans="1:93">
      <c r="A374" s="110"/>
      <c r="B374" s="110"/>
      <c r="C374" s="110"/>
      <c r="D374" s="110"/>
      <c r="E374" s="110"/>
      <c r="F374" s="110"/>
      <c r="G374" s="110"/>
      <c r="H374" s="110"/>
      <c r="I374" s="110"/>
      <c r="J374" s="110"/>
      <c r="K374" s="110"/>
      <c r="L374" s="110"/>
      <c r="M374" s="110"/>
      <c r="N374" s="110"/>
      <c r="O374" s="110"/>
      <c r="P374" s="110"/>
      <c r="Q374" s="110"/>
      <c r="R374" s="110"/>
      <c r="S374" s="110"/>
      <c r="T374" s="110"/>
      <c r="U374" s="111"/>
      <c r="V374" s="111"/>
      <c r="W374" s="111"/>
      <c r="X374" s="112"/>
      <c r="Y374" s="112"/>
      <c r="Z374" s="112"/>
      <c r="AA374" s="112"/>
      <c r="AB374" s="112"/>
      <c r="AC374" s="111"/>
      <c r="AD374" s="111"/>
      <c r="AE374" s="111"/>
      <c r="AF374" s="111"/>
      <c r="AG374" s="111"/>
      <c r="AH374" s="111"/>
      <c r="AI374" s="110"/>
      <c r="AJ374" s="110"/>
      <c r="AK374" s="110"/>
      <c r="AL374" s="110"/>
      <c r="AM374" s="110"/>
      <c r="AN374" s="110"/>
      <c r="AO374" s="110"/>
      <c r="AP374" s="110"/>
      <c r="AQ374" s="110"/>
      <c r="AR374" s="110"/>
      <c r="AS374" s="110"/>
      <c r="AT374" s="110"/>
      <c r="AU374" s="110"/>
      <c r="AV374" s="110"/>
      <c r="AW374" s="110"/>
      <c r="AX374" s="110"/>
      <c r="AY374" s="110"/>
      <c r="AZ374" s="110"/>
      <c r="BA374" s="110"/>
      <c r="BB374" s="110"/>
      <c r="BC374" s="110"/>
      <c r="BD374" s="110"/>
      <c r="BE374" s="110"/>
      <c r="BF374" s="110"/>
      <c r="BG374" s="110"/>
      <c r="BH374" s="110"/>
      <c r="BI374" s="110"/>
      <c r="BJ374" s="110"/>
      <c r="BK374" s="110"/>
      <c r="BL374" s="110"/>
      <c r="BM374" s="110"/>
      <c r="BN374" s="110"/>
      <c r="BO374" s="110"/>
      <c r="BP374" s="110"/>
      <c r="BQ374" s="110"/>
      <c r="BR374" s="110"/>
      <c r="BS374" s="110"/>
      <c r="BT374" s="110"/>
      <c r="BU374" s="110"/>
      <c r="BV374" s="110"/>
      <c r="BW374" s="110"/>
      <c r="BX374" s="110"/>
      <c r="BY374" s="110"/>
      <c r="BZ374" s="110"/>
      <c r="CA374" s="110"/>
      <c r="CB374" s="110"/>
      <c r="CC374" s="110"/>
      <c r="CD374" s="110"/>
      <c r="CE374" s="110"/>
      <c r="CF374" s="110"/>
      <c r="CG374" s="110"/>
      <c r="CH374" s="110"/>
      <c r="CI374" s="110"/>
      <c r="CJ374" s="110"/>
      <c r="CK374" s="110"/>
      <c r="CL374" s="110"/>
      <c r="CM374" s="110"/>
      <c r="CN374" s="110"/>
      <c r="CO374" s="110"/>
    </row>
    <row r="375" spans="1:93">
      <c r="A375" s="110"/>
      <c r="B375" s="110"/>
      <c r="C375" s="110"/>
      <c r="D375" s="110"/>
      <c r="E375" s="110"/>
      <c r="F375" s="110"/>
      <c r="G375" s="110"/>
      <c r="H375" s="110"/>
      <c r="I375" s="110"/>
      <c r="J375" s="110"/>
      <c r="K375" s="110"/>
      <c r="L375" s="110"/>
      <c r="M375" s="110"/>
      <c r="N375" s="110"/>
      <c r="O375" s="110"/>
      <c r="P375" s="110"/>
      <c r="Q375" s="110"/>
      <c r="R375" s="110"/>
      <c r="S375" s="110"/>
      <c r="T375" s="110"/>
      <c r="U375" s="111"/>
      <c r="V375" s="111"/>
      <c r="W375" s="111"/>
      <c r="X375" s="112"/>
      <c r="Y375" s="112"/>
      <c r="Z375" s="112"/>
      <c r="AA375" s="112"/>
      <c r="AB375" s="112"/>
      <c r="AC375" s="111"/>
      <c r="AD375" s="111"/>
      <c r="AE375" s="111"/>
      <c r="AF375" s="111"/>
      <c r="AG375" s="111"/>
      <c r="AH375" s="111"/>
      <c r="AI375" s="110"/>
      <c r="AJ375" s="110"/>
      <c r="AK375" s="110"/>
      <c r="AL375" s="110"/>
      <c r="AM375" s="110"/>
      <c r="AN375" s="110"/>
      <c r="AO375" s="110"/>
      <c r="AP375" s="110"/>
      <c r="AQ375" s="110"/>
      <c r="AR375" s="110"/>
      <c r="AS375" s="110"/>
      <c r="AT375" s="110"/>
      <c r="AU375" s="110"/>
      <c r="AV375" s="110"/>
      <c r="AW375" s="110"/>
      <c r="AX375" s="110"/>
      <c r="AY375" s="110"/>
      <c r="AZ375" s="110"/>
      <c r="BA375" s="110"/>
      <c r="BB375" s="110"/>
      <c r="BC375" s="110"/>
      <c r="BD375" s="110"/>
      <c r="BE375" s="110"/>
      <c r="BF375" s="110"/>
      <c r="BG375" s="110"/>
      <c r="BH375" s="110"/>
      <c r="BI375" s="110"/>
      <c r="BJ375" s="110"/>
      <c r="BK375" s="110"/>
      <c r="BL375" s="110"/>
      <c r="BM375" s="110"/>
      <c r="BN375" s="110"/>
      <c r="BO375" s="110"/>
      <c r="BP375" s="110"/>
      <c r="BQ375" s="110"/>
      <c r="BR375" s="110"/>
      <c r="BS375" s="110"/>
      <c r="BT375" s="110"/>
      <c r="BU375" s="110"/>
      <c r="BV375" s="110"/>
      <c r="BW375" s="110"/>
      <c r="BX375" s="110"/>
      <c r="BY375" s="110"/>
      <c r="BZ375" s="110"/>
      <c r="CA375" s="110"/>
      <c r="CB375" s="110"/>
      <c r="CC375" s="110"/>
      <c r="CD375" s="110"/>
      <c r="CE375" s="110"/>
      <c r="CF375" s="110"/>
      <c r="CG375" s="110"/>
      <c r="CH375" s="110"/>
      <c r="CI375" s="110"/>
      <c r="CJ375" s="110"/>
      <c r="CK375" s="110"/>
      <c r="CL375" s="110"/>
      <c r="CM375" s="110"/>
      <c r="CN375" s="110"/>
      <c r="CO375" s="110"/>
    </row>
    <row r="376" spans="1:93">
      <c r="A376" s="110"/>
      <c r="B376" s="110"/>
      <c r="C376" s="110"/>
      <c r="D376" s="110"/>
      <c r="E376" s="110"/>
      <c r="F376" s="110"/>
      <c r="G376" s="110"/>
      <c r="H376" s="110"/>
      <c r="I376" s="110"/>
      <c r="J376" s="110"/>
      <c r="K376" s="110"/>
      <c r="L376" s="110"/>
      <c r="M376" s="110"/>
      <c r="N376" s="110"/>
      <c r="O376" s="110"/>
      <c r="P376" s="110"/>
      <c r="Q376" s="110"/>
      <c r="R376" s="110"/>
      <c r="S376" s="110"/>
      <c r="T376" s="110"/>
      <c r="U376" s="111"/>
      <c r="V376" s="111"/>
      <c r="W376" s="111"/>
      <c r="X376" s="112"/>
      <c r="Y376" s="112"/>
      <c r="Z376" s="112"/>
      <c r="AA376" s="112"/>
      <c r="AB376" s="112"/>
      <c r="AC376" s="111"/>
      <c r="AD376" s="111"/>
      <c r="AE376" s="111"/>
      <c r="AF376" s="111"/>
      <c r="AG376" s="111"/>
      <c r="AH376" s="111"/>
      <c r="AI376" s="110"/>
      <c r="AJ376" s="110"/>
      <c r="AK376" s="110"/>
      <c r="AL376" s="110"/>
      <c r="AM376" s="110"/>
      <c r="AN376" s="110"/>
      <c r="AO376" s="110"/>
      <c r="AP376" s="110"/>
      <c r="AQ376" s="110"/>
      <c r="AR376" s="110"/>
      <c r="AS376" s="110"/>
      <c r="AT376" s="110"/>
      <c r="AU376" s="110"/>
      <c r="AV376" s="110"/>
      <c r="AW376" s="110"/>
      <c r="AX376" s="110"/>
      <c r="AY376" s="110"/>
      <c r="AZ376" s="110"/>
      <c r="BA376" s="110"/>
      <c r="BB376" s="110"/>
      <c r="BC376" s="110"/>
      <c r="BD376" s="110"/>
      <c r="BE376" s="110"/>
      <c r="BF376" s="110"/>
      <c r="BG376" s="110"/>
      <c r="BH376" s="110"/>
      <c r="BI376" s="110"/>
      <c r="BJ376" s="110"/>
      <c r="BK376" s="110"/>
      <c r="BL376" s="110"/>
      <c r="BM376" s="110"/>
      <c r="BN376" s="110"/>
      <c r="BO376" s="110"/>
      <c r="BP376" s="110"/>
      <c r="BQ376" s="110"/>
      <c r="BR376" s="110"/>
      <c r="BS376" s="110"/>
      <c r="BT376" s="110"/>
      <c r="BU376" s="110"/>
      <c r="BV376" s="110"/>
      <c r="BW376" s="110"/>
      <c r="BX376" s="110"/>
      <c r="BY376" s="110"/>
      <c r="BZ376" s="110"/>
      <c r="CA376" s="110"/>
      <c r="CB376" s="110"/>
      <c r="CC376" s="110"/>
      <c r="CD376" s="110"/>
      <c r="CE376" s="110"/>
      <c r="CF376" s="110"/>
      <c r="CG376" s="110"/>
      <c r="CH376" s="110"/>
      <c r="CI376" s="110"/>
      <c r="CJ376" s="110"/>
      <c r="CK376" s="110"/>
      <c r="CL376" s="110"/>
      <c r="CM376" s="110"/>
      <c r="CN376" s="110"/>
      <c r="CO376" s="110"/>
    </row>
    <row r="377" spans="1:93">
      <c r="A377" s="110"/>
      <c r="B377" s="110"/>
      <c r="C377" s="110"/>
      <c r="D377" s="110"/>
      <c r="E377" s="110"/>
      <c r="F377" s="110"/>
      <c r="G377" s="110"/>
      <c r="H377" s="110"/>
      <c r="I377" s="110"/>
      <c r="J377" s="110"/>
      <c r="K377" s="110"/>
      <c r="L377" s="110"/>
      <c r="M377" s="110"/>
      <c r="N377" s="110"/>
      <c r="O377" s="110"/>
      <c r="P377" s="110"/>
      <c r="Q377" s="110"/>
      <c r="R377" s="110"/>
      <c r="S377" s="110"/>
      <c r="T377" s="110"/>
      <c r="U377" s="111"/>
      <c r="V377" s="111"/>
      <c r="W377" s="111"/>
      <c r="X377" s="112"/>
      <c r="Y377" s="112"/>
      <c r="Z377" s="112"/>
      <c r="AA377" s="112"/>
      <c r="AB377" s="112"/>
      <c r="AC377" s="111"/>
      <c r="AD377" s="111"/>
      <c r="AE377" s="111"/>
      <c r="AF377" s="111"/>
      <c r="AG377" s="111"/>
      <c r="AH377" s="111"/>
      <c r="AI377" s="110"/>
      <c r="AJ377" s="110"/>
      <c r="AK377" s="110"/>
      <c r="AL377" s="110"/>
      <c r="AM377" s="110"/>
      <c r="AN377" s="110"/>
      <c r="AO377" s="110"/>
      <c r="AP377" s="110"/>
      <c r="AQ377" s="110"/>
      <c r="AR377" s="110"/>
      <c r="AS377" s="110"/>
      <c r="AT377" s="110"/>
      <c r="AU377" s="110"/>
      <c r="AV377" s="110"/>
      <c r="AW377" s="110"/>
      <c r="AX377" s="110"/>
      <c r="AY377" s="110"/>
      <c r="AZ377" s="110"/>
      <c r="BA377" s="110"/>
      <c r="BB377" s="110"/>
      <c r="BC377" s="110"/>
      <c r="BD377" s="110"/>
      <c r="BE377" s="110"/>
      <c r="BF377" s="110"/>
      <c r="BG377" s="110"/>
      <c r="BH377" s="110"/>
      <c r="BI377" s="110"/>
      <c r="BJ377" s="110"/>
      <c r="BK377" s="110"/>
      <c r="BL377" s="110"/>
      <c r="BM377" s="110"/>
      <c r="BN377" s="110"/>
      <c r="BO377" s="110"/>
      <c r="BP377" s="110"/>
      <c r="BQ377" s="110"/>
      <c r="BR377" s="110"/>
      <c r="BS377" s="110"/>
      <c r="BT377" s="110"/>
      <c r="BU377" s="110"/>
      <c r="BV377" s="110"/>
      <c r="BW377" s="110"/>
      <c r="BX377" s="110"/>
      <c r="BY377" s="110"/>
      <c r="BZ377" s="110"/>
      <c r="CA377" s="110"/>
      <c r="CB377" s="110"/>
      <c r="CC377" s="110"/>
      <c r="CD377" s="110"/>
      <c r="CE377" s="110"/>
      <c r="CF377" s="110"/>
      <c r="CG377" s="110"/>
      <c r="CH377" s="110"/>
      <c r="CI377" s="110"/>
      <c r="CJ377" s="110"/>
      <c r="CK377" s="110"/>
      <c r="CL377" s="110"/>
      <c r="CM377" s="110"/>
      <c r="CN377" s="110"/>
      <c r="CO377" s="110"/>
    </row>
    <row r="378" spans="1:93">
      <c r="A378" s="110"/>
      <c r="B378" s="110"/>
      <c r="C378" s="110"/>
      <c r="D378" s="110"/>
      <c r="E378" s="110"/>
      <c r="F378" s="110"/>
      <c r="G378" s="110"/>
      <c r="H378" s="110"/>
      <c r="I378" s="110"/>
      <c r="J378" s="110"/>
      <c r="K378" s="110"/>
      <c r="L378" s="110"/>
      <c r="M378" s="110"/>
      <c r="N378" s="110"/>
      <c r="O378" s="110"/>
      <c r="P378" s="110"/>
      <c r="Q378" s="110"/>
      <c r="R378" s="110"/>
      <c r="S378" s="110"/>
      <c r="T378" s="110"/>
      <c r="U378" s="111"/>
      <c r="V378" s="111"/>
      <c r="W378" s="111"/>
      <c r="X378" s="112"/>
      <c r="Y378" s="112"/>
      <c r="Z378" s="112"/>
      <c r="AA378" s="112"/>
      <c r="AB378" s="112"/>
      <c r="AC378" s="111"/>
      <c r="AD378" s="111"/>
      <c r="AE378" s="111"/>
      <c r="AF378" s="111"/>
      <c r="AG378" s="111"/>
      <c r="AH378" s="111"/>
      <c r="AI378" s="110"/>
      <c r="AJ378" s="110"/>
      <c r="AK378" s="110"/>
      <c r="AL378" s="110"/>
      <c r="AM378" s="110"/>
      <c r="AN378" s="110"/>
      <c r="AO378" s="110"/>
      <c r="AP378" s="110"/>
      <c r="AQ378" s="110"/>
      <c r="AR378" s="110"/>
      <c r="AS378" s="110"/>
      <c r="AT378" s="110"/>
      <c r="AU378" s="110"/>
      <c r="AV378" s="110"/>
      <c r="AW378" s="110"/>
      <c r="AX378" s="110"/>
      <c r="AY378" s="110"/>
      <c r="AZ378" s="110"/>
      <c r="BA378" s="110"/>
      <c r="BB378" s="110"/>
      <c r="BC378" s="110"/>
      <c r="BD378" s="110"/>
      <c r="BE378" s="110"/>
      <c r="BF378" s="110"/>
      <c r="BG378" s="110"/>
      <c r="BH378" s="110"/>
      <c r="BI378" s="110"/>
      <c r="BJ378" s="110"/>
      <c r="BK378" s="110"/>
      <c r="BL378" s="110"/>
      <c r="BM378" s="110"/>
      <c r="BN378" s="110"/>
      <c r="BO378" s="110"/>
      <c r="BP378" s="110"/>
      <c r="BQ378" s="110"/>
      <c r="BR378" s="110"/>
      <c r="BS378" s="110"/>
      <c r="BT378" s="110"/>
      <c r="BU378" s="110"/>
      <c r="BV378" s="110"/>
      <c r="BW378" s="110"/>
      <c r="BX378" s="110"/>
      <c r="BY378" s="110"/>
      <c r="BZ378" s="110"/>
      <c r="CA378" s="110"/>
      <c r="CB378" s="110"/>
      <c r="CC378" s="110"/>
      <c r="CD378" s="110"/>
      <c r="CE378" s="110"/>
      <c r="CF378" s="110"/>
      <c r="CG378" s="110"/>
      <c r="CH378" s="110"/>
      <c r="CI378" s="110"/>
      <c r="CJ378" s="110"/>
      <c r="CK378" s="110"/>
      <c r="CL378" s="110"/>
      <c r="CM378" s="110"/>
      <c r="CN378" s="110"/>
      <c r="CO378" s="110"/>
    </row>
    <row r="379" spans="1:93">
      <c r="A379" s="110"/>
      <c r="B379" s="110"/>
      <c r="C379" s="110"/>
      <c r="D379" s="110"/>
      <c r="E379" s="110"/>
      <c r="F379" s="110"/>
      <c r="G379" s="110"/>
      <c r="H379" s="110"/>
      <c r="I379" s="110"/>
      <c r="J379" s="110"/>
      <c r="K379" s="110"/>
      <c r="L379" s="110"/>
      <c r="M379" s="110"/>
      <c r="N379" s="110"/>
      <c r="O379" s="110"/>
      <c r="P379" s="110"/>
      <c r="Q379" s="110"/>
      <c r="R379" s="110"/>
      <c r="S379" s="110"/>
      <c r="T379" s="110"/>
      <c r="U379" s="111"/>
      <c r="V379" s="111"/>
      <c r="W379" s="111"/>
      <c r="X379" s="112"/>
      <c r="Y379" s="112"/>
      <c r="Z379" s="112"/>
      <c r="AA379" s="112"/>
      <c r="AB379" s="112"/>
      <c r="AC379" s="111"/>
      <c r="AD379" s="111"/>
      <c r="AE379" s="111"/>
      <c r="AF379" s="111"/>
      <c r="AG379" s="111"/>
      <c r="AH379" s="111"/>
      <c r="AI379" s="110"/>
      <c r="AJ379" s="110"/>
      <c r="AK379" s="110"/>
      <c r="AL379" s="110"/>
      <c r="AM379" s="110"/>
      <c r="AN379" s="110"/>
      <c r="AO379" s="110"/>
      <c r="AP379" s="110"/>
      <c r="AQ379" s="110"/>
      <c r="AR379" s="110"/>
      <c r="AS379" s="110"/>
      <c r="AT379" s="110"/>
      <c r="AU379" s="110"/>
      <c r="AV379" s="110"/>
      <c r="AW379" s="110"/>
      <c r="AX379" s="110"/>
      <c r="AY379" s="110"/>
      <c r="AZ379" s="110"/>
      <c r="BA379" s="110"/>
      <c r="BB379" s="110"/>
      <c r="BC379" s="110"/>
      <c r="BD379" s="110"/>
      <c r="BE379" s="110"/>
      <c r="BF379" s="110"/>
      <c r="BG379" s="110"/>
      <c r="BH379" s="110"/>
      <c r="BI379" s="110"/>
      <c r="BJ379" s="110"/>
      <c r="BK379" s="110"/>
      <c r="BL379" s="110"/>
      <c r="BM379" s="110"/>
      <c r="BN379" s="110"/>
      <c r="BO379" s="110"/>
      <c r="BP379" s="110"/>
      <c r="BQ379" s="110"/>
      <c r="BR379" s="110"/>
      <c r="BS379" s="110"/>
      <c r="BT379" s="110"/>
      <c r="BU379" s="110"/>
      <c r="BV379" s="110"/>
      <c r="BW379" s="110"/>
      <c r="BX379" s="110"/>
      <c r="BY379" s="110"/>
      <c r="BZ379" s="110"/>
      <c r="CA379" s="110"/>
      <c r="CB379" s="110"/>
      <c r="CC379" s="110"/>
      <c r="CD379" s="110"/>
      <c r="CE379" s="110"/>
      <c r="CF379" s="110"/>
      <c r="CG379" s="110"/>
      <c r="CH379" s="110"/>
      <c r="CI379" s="110"/>
      <c r="CJ379" s="110"/>
      <c r="CK379" s="110"/>
      <c r="CL379" s="110"/>
      <c r="CM379" s="110"/>
      <c r="CN379" s="110"/>
      <c r="CO379" s="110"/>
    </row>
    <row r="380" spans="1:93">
      <c r="A380" s="110"/>
      <c r="B380" s="110"/>
      <c r="C380" s="110"/>
      <c r="D380" s="110"/>
      <c r="E380" s="110"/>
      <c r="F380" s="110"/>
      <c r="G380" s="110"/>
      <c r="H380" s="110"/>
      <c r="I380" s="110"/>
      <c r="J380" s="110"/>
      <c r="K380" s="110"/>
      <c r="L380" s="110"/>
      <c r="M380" s="110"/>
      <c r="N380" s="110"/>
      <c r="O380" s="110"/>
      <c r="P380" s="110"/>
      <c r="Q380" s="110"/>
      <c r="R380" s="110"/>
      <c r="S380" s="110"/>
      <c r="T380" s="110"/>
      <c r="U380" s="111"/>
      <c r="V380" s="111"/>
      <c r="W380" s="111"/>
      <c r="X380" s="112"/>
      <c r="Y380" s="112"/>
      <c r="Z380" s="112"/>
      <c r="AA380" s="112"/>
      <c r="AB380" s="112"/>
      <c r="AC380" s="111"/>
      <c r="AD380" s="111"/>
      <c r="AE380" s="111"/>
      <c r="AF380" s="111"/>
      <c r="AG380" s="111"/>
      <c r="AH380" s="111"/>
      <c r="AI380" s="110"/>
      <c r="AJ380" s="110"/>
      <c r="AK380" s="110"/>
      <c r="AL380" s="110"/>
      <c r="AM380" s="110"/>
      <c r="AN380" s="110"/>
      <c r="AO380" s="110"/>
      <c r="AP380" s="110"/>
      <c r="AQ380" s="110"/>
      <c r="AR380" s="110"/>
      <c r="AS380" s="110"/>
      <c r="AT380" s="110"/>
      <c r="AU380" s="110"/>
      <c r="AV380" s="110"/>
      <c r="AW380" s="110"/>
      <c r="AX380" s="110"/>
      <c r="AY380" s="110"/>
      <c r="AZ380" s="110"/>
      <c r="BA380" s="110"/>
      <c r="BB380" s="110"/>
      <c r="BC380" s="110"/>
      <c r="BD380" s="110"/>
      <c r="BE380" s="110"/>
      <c r="BF380" s="110"/>
      <c r="BG380" s="110"/>
      <c r="BH380" s="110"/>
      <c r="BI380" s="110"/>
      <c r="BJ380" s="110"/>
      <c r="BK380" s="110"/>
      <c r="BL380" s="110"/>
      <c r="BM380" s="110"/>
      <c r="BN380" s="110"/>
      <c r="BO380" s="110"/>
      <c r="BP380" s="110"/>
      <c r="BQ380" s="110"/>
      <c r="BR380" s="110"/>
      <c r="BS380" s="110"/>
      <c r="BT380" s="110"/>
      <c r="BU380" s="110"/>
      <c r="BV380" s="110"/>
      <c r="BW380" s="110"/>
      <c r="BX380" s="110"/>
      <c r="BY380" s="110"/>
      <c r="BZ380" s="110"/>
      <c r="CA380" s="110"/>
      <c r="CB380" s="110"/>
      <c r="CC380" s="110"/>
      <c r="CD380" s="110"/>
      <c r="CE380" s="110"/>
      <c r="CF380" s="110"/>
      <c r="CG380" s="110"/>
      <c r="CH380" s="110"/>
      <c r="CI380" s="110"/>
      <c r="CJ380" s="110"/>
      <c r="CK380" s="110"/>
      <c r="CL380" s="110"/>
      <c r="CM380" s="110"/>
      <c r="CN380" s="110"/>
      <c r="CO380" s="110"/>
    </row>
    <row r="381" spans="1:93">
      <c r="A381" s="110"/>
      <c r="B381" s="110"/>
      <c r="C381" s="110"/>
      <c r="D381" s="110"/>
      <c r="E381" s="110"/>
      <c r="F381" s="110"/>
      <c r="G381" s="110"/>
      <c r="H381" s="110"/>
      <c r="I381" s="110"/>
      <c r="J381" s="110"/>
      <c r="K381" s="110"/>
      <c r="L381" s="110"/>
      <c r="M381" s="110"/>
      <c r="N381" s="110"/>
      <c r="O381" s="110"/>
      <c r="P381" s="110"/>
      <c r="Q381" s="110"/>
      <c r="R381" s="110"/>
      <c r="S381" s="110"/>
      <c r="T381" s="110"/>
      <c r="U381" s="111"/>
      <c r="V381" s="111"/>
      <c r="W381" s="111"/>
      <c r="X381" s="112"/>
      <c r="Y381" s="112"/>
      <c r="Z381" s="112"/>
      <c r="AA381" s="112"/>
      <c r="AB381" s="112"/>
      <c r="AC381" s="111"/>
      <c r="AD381" s="111"/>
      <c r="AE381" s="111"/>
      <c r="AF381" s="111"/>
      <c r="AG381" s="111"/>
      <c r="AH381" s="111"/>
      <c r="AI381" s="110"/>
      <c r="AJ381" s="110"/>
      <c r="AK381" s="110"/>
      <c r="AL381" s="110"/>
      <c r="AM381" s="110"/>
      <c r="AN381" s="110"/>
      <c r="AO381" s="110"/>
      <c r="AP381" s="110"/>
      <c r="AQ381" s="110"/>
      <c r="AR381" s="110"/>
      <c r="AS381" s="110"/>
      <c r="AT381" s="110"/>
      <c r="AU381" s="110"/>
      <c r="AV381" s="110"/>
      <c r="AW381" s="110"/>
      <c r="AX381" s="110"/>
      <c r="AY381" s="110"/>
      <c r="AZ381" s="110"/>
      <c r="BA381" s="110"/>
      <c r="BB381" s="110"/>
      <c r="BC381" s="110"/>
      <c r="BD381" s="110"/>
      <c r="BE381" s="110"/>
      <c r="BF381" s="110"/>
      <c r="BG381" s="110"/>
      <c r="BH381" s="110"/>
      <c r="BI381" s="110"/>
      <c r="BJ381" s="110"/>
      <c r="BK381" s="110"/>
      <c r="BL381" s="110"/>
      <c r="BM381" s="110"/>
      <c r="BN381" s="110"/>
      <c r="BO381" s="110"/>
      <c r="BP381" s="110"/>
      <c r="BQ381" s="110"/>
      <c r="BR381" s="110"/>
      <c r="BS381" s="110"/>
      <c r="BT381" s="110"/>
      <c r="BU381" s="110"/>
      <c r="BV381" s="110"/>
      <c r="BW381" s="110"/>
      <c r="BX381" s="110"/>
      <c r="BY381" s="110"/>
      <c r="BZ381" s="110"/>
      <c r="CA381" s="110"/>
      <c r="CB381" s="110"/>
      <c r="CC381" s="110"/>
      <c r="CD381" s="110"/>
      <c r="CE381" s="110"/>
      <c r="CF381" s="110"/>
      <c r="CG381" s="110"/>
      <c r="CH381" s="110"/>
      <c r="CI381" s="110"/>
      <c r="CJ381" s="110"/>
      <c r="CK381" s="110"/>
      <c r="CL381" s="110"/>
      <c r="CM381" s="110"/>
      <c r="CN381" s="110"/>
      <c r="CO381" s="110"/>
    </row>
    <row r="382" spans="1:93">
      <c r="A382" s="110"/>
      <c r="B382" s="110"/>
      <c r="C382" s="110"/>
      <c r="D382" s="110"/>
      <c r="E382" s="110"/>
      <c r="F382" s="110"/>
      <c r="G382" s="110"/>
      <c r="H382" s="110"/>
      <c r="I382" s="110"/>
      <c r="J382" s="110"/>
      <c r="K382" s="110"/>
      <c r="L382" s="110"/>
      <c r="M382" s="110"/>
      <c r="N382" s="110"/>
      <c r="O382" s="110"/>
      <c r="P382" s="110"/>
      <c r="Q382" s="110"/>
      <c r="R382" s="110"/>
      <c r="S382" s="110"/>
      <c r="T382" s="110"/>
      <c r="U382" s="111"/>
      <c r="V382" s="111"/>
      <c r="W382" s="111"/>
      <c r="X382" s="112"/>
      <c r="Y382" s="112"/>
      <c r="Z382" s="112"/>
      <c r="AA382" s="112"/>
      <c r="AB382" s="112"/>
      <c r="AC382" s="111"/>
      <c r="AD382" s="111"/>
      <c r="AE382" s="111"/>
      <c r="AF382" s="111"/>
      <c r="AG382" s="111"/>
      <c r="AH382" s="111"/>
      <c r="AI382" s="110"/>
      <c r="AJ382" s="110"/>
      <c r="AK382" s="110"/>
      <c r="AL382" s="110"/>
      <c r="AM382" s="110"/>
      <c r="AN382" s="110"/>
      <c r="AO382" s="110"/>
      <c r="AP382" s="110"/>
      <c r="AQ382" s="110"/>
      <c r="AR382" s="110"/>
      <c r="AS382" s="110"/>
      <c r="AT382" s="110"/>
      <c r="AU382" s="110"/>
      <c r="AV382" s="110"/>
      <c r="AW382" s="110"/>
      <c r="AX382" s="110"/>
      <c r="AY382" s="110"/>
      <c r="AZ382" s="110"/>
      <c r="BA382" s="110"/>
      <c r="BB382" s="110"/>
      <c r="BC382" s="110"/>
      <c r="BD382" s="110"/>
      <c r="BE382" s="110"/>
      <c r="BF382" s="110"/>
      <c r="BG382" s="110"/>
      <c r="BH382" s="110"/>
      <c r="BI382" s="110"/>
      <c r="BJ382" s="110"/>
      <c r="BK382" s="110"/>
      <c r="BL382" s="110"/>
      <c r="BM382" s="110"/>
      <c r="BN382" s="110"/>
      <c r="BO382" s="110"/>
      <c r="BP382" s="110"/>
      <c r="BQ382" s="110"/>
      <c r="BR382" s="110"/>
      <c r="BS382" s="110"/>
      <c r="BT382" s="110"/>
      <c r="BU382" s="110"/>
      <c r="BV382" s="110"/>
      <c r="BW382" s="110"/>
      <c r="BX382" s="110"/>
      <c r="BY382" s="110"/>
      <c r="BZ382" s="110"/>
      <c r="CA382" s="110"/>
      <c r="CB382" s="110"/>
      <c r="CC382" s="110"/>
      <c r="CD382" s="110"/>
      <c r="CE382" s="110"/>
      <c r="CF382" s="110"/>
      <c r="CG382" s="110"/>
      <c r="CH382" s="110"/>
      <c r="CI382" s="110"/>
      <c r="CJ382" s="110"/>
      <c r="CK382" s="110"/>
      <c r="CL382" s="110"/>
      <c r="CM382" s="110"/>
      <c r="CN382" s="110"/>
      <c r="CO382" s="110"/>
    </row>
    <row r="383" spans="1:93">
      <c r="A383" s="110"/>
      <c r="B383" s="110"/>
      <c r="C383" s="110"/>
      <c r="D383" s="110"/>
      <c r="E383" s="110"/>
      <c r="F383" s="110"/>
      <c r="G383" s="110"/>
      <c r="H383" s="110"/>
      <c r="I383" s="110"/>
      <c r="J383" s="110"/>
      <c r="K383" s="110"/>
      <c r="L383" s="110"/>
      <c r="M383" s="110"/>
      <c r="N383" s="110"/>
      <c r="O383" s="110"/>
      <c r="P383" s="110"/>
      <c r="Q383" s="110"/>
      <c r="R383" s="110"/>
      <c r="S383" s="110"/>
      <c r="T383" s="110"/>
      <c r="U383" s="111"/>
      <c r="V383" s="111"/>
      <c r="W383" s="111"/>
      <c r="X383" s="112"/>
      <c r="Y383" s="112"/>
      <c r="Z383" s="112"/>
      <c r="AA383" s="112"/>
      <c r="AB383" s="112"/>
      <c r="AC383" s="111"/>
      <c r="AD383" s="111"/>
      <c r="AE383" s="111"/>
      <c r="AF383" s="111"/>
      <c r="AG383" s="111"/>
      <c r="AH383" s="111"/>
      <c r="AI383" s="110"/>
      <c r="AJ383" s="110"/>
      <c r="AK383" s="110"/>
      <c r="AL383" s="110"/>
      <c r="AM383" s="110"/>
      <c r="AN383" s="110"/>
      <c r="AO383" s="110"/>
      <c r="AP383" s="110"/>
      <c r="AQ383" s="110"/>
      <c r="AR383" s="110"/>
      <c r="AS383" s="110"/>
      <c r="AT383" s="110"/>
      <c r="AU383" s="110"/>
      <c r="AV383" s="110"/>
      <c r="AW383" s="110"/>
      <c r="AX383" s="110"/>
      <c r="AY383" s="110"/>
      <c r="AZ383" s="110"/>
      <c r="BA383" s="110"/>
      <c r="BB383" s="110"/>
      <c r="BC383" s="110"/>
      <c r="BD383" s="110"/>
      <c r="BE383" s="110"/>
      <c r="BF383" s="110"/>
      <c r="BG383" s="110"/>
      <c r="BH383" s="110"/>
      <c r="BI383" s="110"/>
      <c r="BJ383" s="110"/>
      <c r="BK383" s="110"/>
      <c r="BL383" s="110"/>
      <c r="BM383" s="110"/>
      <c r="BN383" s="110"/>
      <c r="BO383" s="110"/>
      <c r="BP383" s="110"/>
      <c r="BQ383" s="110"/>
      <c r="BR383" s="110"/>
      <c r="BS383" s="110"/>
      <c r="BT383" s="110"/>
      <c r="BU383" s="110"/>
      <c r="BV383" s="110"/>
      <c r="BW383" s="110"/>
      <c r="BX383" s="110"/>
      <c r="BY383" s="110"/>
      <c r="BZ383" s="110"/>
      <c r="CA383" s="110"/>
      <c r="CB383" s="110"/>
      <c r="CC383" s="110"/>
      <c r="CD383" s="110"/>
      <c r="CE383" s="110"/>
      <c r="CF383" s="110"/>
      <c r="CG383" s="110"/>
      <c r="CH383" s="110"/>
      <c r="CI383" s="110"/>
      <c r="CJ383" s="110"/>
      <c r="CK383" s="110"/>
      <c r="CL383" s="110"/>
      <c r="CM383" s="110"/>
      <c r="CN383" s="110"/>
      <c r="CO383" s="110"/>
    </row>
    <row r="384" spans="1:93">
      <c r="A384" s="110"/>
      <c r="B384" s="110"/>
      <c r="C384" s="110"/>
      <c r="D384" s="110"/>
      <c r="E384" s="110"/>
      <c r="F384" s="110"/>
      <c r="G384" s="110"/>
      <c r="H384" s="110"/>
      <c r="I384" s="110"/>
      <c r="J384" s="110"/>
      <c r="K384" s="110"/>
      <c r="L384" s="110"/>
      <c r="M384" s="110"/>
      <c r="N384" s="110"/>
      <c r="O384" s="110"/>
      <c r="P384" s="110"/>
      <c r="Q384" s="110"/>
      <c r="R384" s="110"/>
      <c r="S384" s="110"/>
      <c r="T384" s="110"/>
      <c r="U384" s="111"/>
      <c r="V384" s="111"/>
      <c r="W384" s="111"/>
      <c r="X384" s="112"/>
      <c r="Y384" s="112"/>
      <c r="Z384" s="112"/>
      <c r="AA384" s="112"/>
      <c r="AB384" s="112"/>
      <c r="AC384" s="111"/>
      <c r="AD384" s="111"/>
      <c r="AE384" s="111"/>
      <c r="AF384" s="111"/>
      <c r="AG384" s="111"/>
      <c r="AH384" s="111"/>
      <c r="AI384" s="110"/>
      <c r="AJ384" s="110"/>
      <c r="AK384" s="110"/>
      <c r="AL384" s="110"/>
      <c r="AM384" s="110"/>
      <c r="AN384" s="110"/>
      <c r="AO384" s="110"/>
      <c r="AP384" s="110"/>
      <c r="AQ384" s="110"/>
      <c r="AR384" s="110"/>
      <c r="AS384" s="110"/>
      <c r="AT384" s="110"/>
      <c r="AU384" s="110"/>
      <c r="AV384" s="110"/>
      <c r="AW384" s="110"/>
      <c r="AX384" s="110"/>
      <c r="AY384" s="110"/>
      <c r="AZ384" s="110"/>
      <c r="BA384" s="110"/>
      <c r="BB384" s="110"/>
      <c r="BC384" s="110"/>
      <c r="BD384" s="110"/>
      <c r="BE384" s="110"/>
      <c r="BF384" s="110"/>
      <c r="BG384" s="110"/>
      <c r="BH384" s="110"/>
      <c r="BI384" s="110"/>
      <c r="BJ384" s="110"/>
      <c r="BK384" s="110"/>
      <c r="BL384" s="110"/>
      <c r="BM384" s="110"/>
      <c r="BN384" s="110"/>
      <c r="BO384" s="110"/>
      <c r="BP384" s="110"/>
      <c r="BQ384" s="110"/>
      <c r="BR384" s="110"/>
      <c r="BS384" s="110"/>
      <c r="BT384" s="110"/>
      <c r="BU384" s="110"/>
      <c r="BV384" s="110"/>
      <c r="BW384" s="110"/>
      <c r="BX384" s="110"/>
      <c r="BY384" s="110"/>
      <c r="BZ384" s="110"/>
      <c r="CA384" s="110"/>
      <c r="CB384" s="110"/>
      <c r="CC384" s="110"/>
      <c r="CD384" s="110"/>
      <c r="CE384" s="110"/>
      <c r="CF384" s="110"/>
      <c r="CG384" s="110"/>
      <c r="CH384" s="110"/>
      <c r="CI384" s="110"/>
      <c r="CJ384" s="110"/>
      <c r="CK384" s="110"/>
      <c r="CL384" s="110"/>
      <c r="CM384" s="110"/>
      <c r="CN384" s="110"/>
      <c r="CO384" s="110"/>
    </row>
    <row r="385" spans="1:93">
      <c r="A385" s="110"/>
      <c r="B385" s="110"/>
      <c r="C385" s="110"/>
      <c r="D385" s="110"/>
      <c r="E385" s="110"/>
      <c r="F385" s="110"/>
      <c r="G385" s="110"/>
      <c r="H385" s="110"/>
      <c r="I385" s="110"/>
      <c r="J385" s="110"/>
      <c r="K385" s="110"/>
      <c r="L385" s="110"/>
      <c r="M385" s="110"/>
      <c r="N385" s="110"/>
      <c r="O385" s="110"/>
      <c r="P385" s="110"/>
      <c r="Q385" s="110"/>
      <c r="R385" s="110"/>
      <c r="S385" s="110"/>
      <c r="T385" s="110"/>
      <c r="U385" s="111"/>
      <c r="V385" s="111"/>
      <c r="W385" s="111"/>
      <c r="X385" s="112"/>
      <c r="Y385" s="112"/>
      <c r="Z385" s="112"/>
      <c r="AA385" s="112"/>
      <c r="AB385" s="112"/>
      <c r="AC385" s="111"/>
      <c r="AD385" s="111"/>
      <c r="AE385" s="111"/>
      <c r="AF385" s="111"/>
      <c r="AG385" s="111"/>
      <c r="AH385" s="111"/>
      <c r="AI385" s="110"/>
      <c r="AJ385" s="110"/>
      <c r="AK385" s="110"/>
      <c r="AL385" s="110"/>
      <c r="AM385" s="110"/>
      <c r="AN385" s="110"/>
      <c r="AO385" s="110"/>
      <c r="AP385" s="110"/>
      <c r="AQ385" s="110"/>
      <c r="AR385" s="110"/>
      <c r="AS385" s="110"/>
      <c r="AT385" s="110"/>
      <c r="AU385" s="110"/>
      <c r="AV385" s="110"/>
      <c r="AW385" s="110"/>
      <c r="AX385" s="110"/>
      <c r="AY385" s="110"/>
      <c r="AZ385" s="110"/>
      <c r="BA385" s="110"/>
      <c r="BB385" s="110"/>
      <c r="BC385" s="110"/>
      <c r="BD385" s="110"/>
      <c r="BE385" s="110"/>
      <c r="BF385" s="110"/>
      <c r="BG385" s="110"/>
      <c r="BH385" s="110"/>
      <c r="BI385" s="110"/>
      <c r="BJ385" s="110"/>
      <c r="BK385" s="110"/>
      <c r="BL385" s="110"/>
      <c r="BM385" s="110"/>
      <c r="BN385" s="110"/>
      <c r="BO385" s="110"/>
      <c r="BP385" s="110"/>
      <c r="BQ385" s="110"/>
      <c r="BR385" s="110"/>
      <c r="BS385" s="110"/>
      <c r="BT385" s="110"/>
      <c r="BU385" s="110"/>
      <c r="BV385" s="110"/>
      <c r="BW385" s="110"/>
      <c r="BX385" s="110"/>
      <c r="BY385" s="110"/>
      <c r="BZ385" s="110"/>
      <c r="CA385" s="110"/>
      <c r="CB385" s="110"/>
      <c r="CC385" s="110"/>
      <c r="CD385" s="110"/>
      <c r="CE385" s="110"/>
      <c r="CF385" s="110"/>
      <c r="CG385" s="110"/>
      <c r="CH385" s="110"/>
      <c r="CI385" s="110"/>
      <c r="CJ385" s="110"/>
      <c r="CK385" s="110"/>
      <c r="CL385" s="110"/>
      <c r="CM385" s="110"/>
      <c r="CN385" s="110"/>
      <c r="CO385" s="110"/>
    </row>
    <row r="386" spans="1:93">
      <c r="A386" s="110"/>
      <c r="B386" s="110"/>
      <c r="C386" s="110"/>
      <c r="D386" s="110"/>
      <c r="E386" s="110"/>
      <c r="F386" s="110"/>
      <c r="G386" s="110"/>
      <c r="H386" s="110"/>
      <c r="I386" s="110"/>
      <c r="J386" s="110"/>
      <c r="K386" s="110"/>
      <c r="L386" s="110"/>
      <c r="M386" s="110"/>
      <c r="N386" s="110"/>
      <c r="O386" s="110"/>
      <c r="P386" s="110"/>
      <c r="Q386" s="110"/>
      <c r="R386" s="110"/>
      <c r="S386" s="110"/>
      <c r="T386" s="110"/>
      <c r="U386" s="111"/>
      <c r="V386" s="111"/>
      <c r="W386" s="111"/>
      <c r="X386" s="112"/>
      <c r="Y386" s="112"/>
      <c r="Z386" s="112"/>
      <c r="AA386" s="112"/>
      <c r="AB386" s="112"/>
      <c r="AC386" s="111"/>
      <c r="AD386" s="111"/>
      <c r="AE386" s="111"/>
      <c r="AF386" s="111"/>
      <c r="AG386" s="111"/>
      <c r="AH386" s="111"/>
      <c r="AI386" s="110"/>
      <c r="AJ386" s="110"/>
      <c r="AK386" s="110"/>
      <c r="AL386" s="110"/>
      <c r="AM386" s="110"/>
      <c r="AN386" s="110"/>
      <c r="AO386" s="110"/>
      <c r="AP386" s="110"/>
      <c r="AQ386" s="110"/>
      <c r="AR386" s="110"/>
      <c r="AS386" s="110"/>
      <c r="AT386" s="110"/>
      <c r="AU386" s="110"/>
      <c r="AV386" s="110"/>
      <c r="AW386" s="110"/>
      <c r="AX386" s="110"/>
      <c r="AY386" s="110"/>
      <c r="AZ386" s="110"/>
      <c r="BA386" s="110"/>
      <c r="BB386" s="110"/>
      <c r="BC386" s="110"/>
      <c r="BD386" s="110"/>
      <c r="BE386" s="110"/>
      <c r="BF386" s="110"/>
      <c r="BG386" s="110"/>
      <c r="BH386" s="110"/>
      <c r="BI386" s="110"/>
      <c r="BJ386" s="110"/>
      <c r="BK386" s="110"/>
      <c r="BL386" s="110"/>
      <c r="BM386" s="110"/>
      <c r="BN386" s="110"/>
      <c r="BO386" s="110"/>
      <c r="BP386" s="110"/>
      <c r="BQ386" s="110"/>
      <c r="BR386" s="110"/>
      <c r="BS386" s="110"/>
      <c r="BT386" s="110"/>
      <c r="BU386" s="110"/>
      <c r="BV386" s="110"/>
      <c r="BW386" s="110"/>
      <c r="BX386" s="110"/>
      <c r="BY386" s="110"/>
      <c r="BZ386" s="110"/>
      <c r="CA386" s="110"/>
      <c r="CB386" s="110"/>
      <c r="CC386" s="110"/>
      <c r="CD386" s="110"/>
      <c r="CE386" s="110"/>
      <c r="CF386" s="110"/>
      <c r="CG386" s="110"/>
      <c r="CH386" s="110"/>
      <c r="CI386" s="110"/>
      <c r="CJ386" s="110"/>
      <c r="CK386" s="110"/>
      <c r="CL386" s="110"/>
      <c r="CM386" s="110"/>
      <c r="CN386" s="110"/>
      <c r="CO386" s="110"/>
    </row>
    <row r="387" spans="1:93">
      <c r="A387" s="110"/>
      <c r="B387" s="110"/>
      <c r="C387" s="110"/>
      <c r="D387" s="110"/>
      <c r="E387" s="110"/>
      <c r="F387" s="110"/>
      <c r="G387" s="110"/>
      <c r="H387" s="110"/>
      <c r="I387" s="110"/>
      <c r="J387" s="110"/>
      <c r="K387" s="110"/>
      <c r="L387" s="110"/>
      <c r="M387" s="110"/>
      <c r="N387" s="110"/>
      <c r="O387" s="110"/>
      <c r="P387" s="110"/>
      <c r="Q387" s="110"/>
      <c r="R387" s="110"/>
      <c r="S387" s="110"/>
      <c r="T387" s="110"/>
      <c r="U387" s="111"/>
      <c r="V387" s="111"/>
      <c r="W387" s="111"/>
      <c r="X387" s="112"/>
      <c r="Y387" s="112"/>
      <c r="Z387" s="112"/>
      <c r="AA387" s="112"/>
      <c r="AB387" s="112"/>
      <c r="AC387" s="111"/>
      <c r="AD387" s="111"/>
      <c r="AE387" s="111"/>
      <c r="AF387" s="111"/>
      <c r="AG387" s="111"/>
      <c r="AH387" s="111"/>
      <c r="AI387" s="110"/>
      <c r="AJ387" s="110"/>
      <c r="AK387" s="110"/>
      <c r="AL387" s="110"/>
      <c r="AM387" s="110"/>
      <c r="AN387" s="110"/>
      <c r="AO387" s="110"/>
      <c r="AP387" s="110"/>
      <c r="AQ387" s="110"/>
      <c r="AR387" s="110"/>
      <c r="AS387" s="110"/>
      <c r="AT387" s="110"/>
      <c r="AU387" s="110"/>
      <c r="AV387" s="110"/>
      <c r="AW387" s="110"/>
      <c r="AX387" s="110"/>
      <c r="AY387" s="110"/>
      <c r="AZ387" s="110"/>
      <c r="BA387" s="110"/>
      <c r="BB387" s="110"/>
      <c r="BC387" s="110"/>
      <c r="BD387" s="110"/>
      <c r="BE387" s="110"/>
      <c r="BF387" s="110"/>
      <c r="BG387" s="110"/>
      <c r="BH387" s="110"/>
      <c r="BI387" s="110"/>
      <c r="BJ387" s="110"/>
      <c r="BK387" s="110"/>
      <c r="BL387" s="110"/>
      <c r="BM387" s="110"/>
      <c r="BN387" s="110"/>
      <c r="BO387" s="110"/>
      <c r="BP387" s="110"/>
      <c r="BQ387" s="110"/>
      <c r="BR387" s="110"/>
      <c r="BS387" s="110"/>
      <c r="BT387" s="110"/>
      <c r="BU387" s="110"/>
      <c r="BV387" s="110"/>
      <c r="BW387" s="110"/>
      <c r="BX387" s="110"/>
      <c r="BY387" s="110"/>
      <c r="BZ387" s="110"/>
      <c r="CA387" s="110"/>
      <c r="CB387" s="110"/>
      <c r="CC387" s="110"/>
      <c r="CD387" s="110"/>
      <c r="CE387" s="110"/>
      <c r="CF387" s="110"/>
      <c r="CG387" s="110"/>
      <c r="CH387" s="110"/>
      <c r="CI387" s="110"/>
      <c r="CJ387" s="110"/>
      <c r="CK387" s="110"/>
      <c r="CL387" s="110"/>
      <c r="CM387" s="110"/>
      <c r="CN387" s="110"/>
      <c r="CO387" s="110"/>
    </row>
    <row r="388" spans="1:93">
      <c r="A388" s="110"/>
      <c r="B388" s="110"/>
      <c r="C388" s="110"/>
      <c r="D388" s="110"/>
      <c r="E388" s="110"/>
      <c r="F388" s="110"/>
      <c r="G388" s="110"/>
      <c r="H388" s="110"/>
      <c r="I388" s="110"/>
      <c r="J388" s="110"/>
      <c r="K388" s="110"/>
      <c r="L388" s="110"/>
      <c r="M388" s="110"/>
      <c r="N388" s="110"/>
      <c r="O388" s="110"/>
      <c r="P388" s="110"/>
      <c r="Q388" s="110"/>
      <c r="R388" s="110"/>
      <c r="S388" s="110"/>
      <c r="T388" s="110"/>
      <c r="U388" s="111"/>
      <c r="V388" s="111"/>
      <c r="W388" s="111"/>
      <c r="X388" s="112"/>
      <c r="Y388" s="112"/>
      <c r="Z388" s="112"/>
      <c r="AA388" s="112"/>
      <c r="AB388" s="112"/>
      <c r="AC388" s="111"/>
      <c r="AD388" s="111"/>
      <c r="AE388" s="111"/>
      <c r="AF388" s="111"/>
      <c r="AG388" s="111"/>
      <c r="AH388" s="111"/>
      <c r="AI388" s="110"/>
      <c r="AJ388" s="110"/>
      <c r="AK388" s="110"/>
      <c r="AL388" s="110"/>
      <c r="AM388" s="110"/>
      <c r="AN388" s="110"/>
      <c r="AO388" s="110"/>
      <c r="AP388" s="110"/>
      <c r="AQ388" s="110"/>
      <c r="AR388" s="110"/>
      <c r="AS388" s="110"/>
      <c r="AT388" s="110"/>
      <c r="AU388" s="110"/>
      <c r="AV388" s="110"/>
      <c r="AW388" s="110"/>
      <c r="AX388" s="110"/>
      <c r="AY388" s="110"/>
      <c r="AZ388" s="110"/>
      <c r="BA388" s="110"/>
      <c r="BB388" s="110"/>
      <c r="BC388" s="110"/>
      <c r="BD388" s="110"/>
      <c r="BE388" s="110"/>
      <c r="BF388" s="110"/>
      <c r="BG388" s="110"/>
      <c r="BH388" s="110"/>
      <c r="BI388" s="110"/>
      <c r="BJ388" s="110"/>
      <c r="BK388" s="110"/>
      <c r="BL388" s="110"/>
      <c r="BM388" s="110"/>
      <c r="BN388" s="110"/>
      <c r="BO388" s="110"/>
      <c r="BP388" s="110"/>
      <c r="BQ388" s="110"/>
      <c r="BR388" s="110"/>
      <c r="BS388" s="110"/>
      <c r="BT388" s="110"/>
      <c r="BU388" s="110"/>
      <c r="BV388" s="110"/>
      <c r="BW388" s="110"/>
      <c r="BX388" s="110"/>
      <c r="BY388" s="110"/>
      <c r="BZ388" s="110"/>
      <c r="CA388" s="110"/>
      <c r="CB388" s="110"/>
      <c r="CC388" s="110"/>
      <c r="CD388" s="110"/>
      <c r="CE388" s="110"/>
      <c r="CF388" s="110"/>
      <c r="CG388" s="110"/>
      <c r="CH388" s="110"/>
      <c r="CI388" s="110"/>
      <c r="CJ388" s="110"/>
      <c r="CK388" s="110"/>
      <c r="CL388" s="110"/>
      <c r="CM388" s="110"/>
      <c r="CN388" s="110"/>
      <c r="CO388" s="110"/>
    </row>
    <row r="389" spans="1:93">
      <c r="A389" s="110"/>
      <c r="B389" s="110"/>
      <c r="C389" s="110"/>
      <c r="D389" s="110"/>
      <c r="E389" s="110"/>
      <c r="F389" s="110"/>
      <c r="G389" s="110"/>
      <c r="H389" s="110"/>
      <c r="I389" s="110"/>
      <c r="J389" s="110"/>
      <c r="K389" s="110"/>
      <c r="L389" s="110"/>
      <c r="M389" s="110"/>
      <c r="N389" s="110"/>
      <c r="O389" s="110"/>
      <c r="P389" s="110"/>
      <c r="Q389" s="110"/>
      <c r="R389" s="110"/>
      <c r="S389" s="110"/>
      <c r="T389" s="110"/>
      <c r="U389" s="111"/>
      <c r="V389" s="111"/>
      <c r="W389" s="111"/>
      <c r="X389" s="112"/>
      <c r="Y389" s="112"/>
      <c r="Z389" s="112"/>
      <c r="AA389" s="112"/>
      <c r="AB389" s="112"/>
      <c r="AC389" s="111"/>
      <c r="AD389" s="111"/>
      <c r="AE389" s="111"/>
      <c r="AF389" s="111"/>
      <c r="AG389" s="111"/>
      <c r="AH389" s="111"/>
      <c r="AI389" s="110"/>
      <c r="AJ389" s="110"/>
      <c r="AK389" s="110"/>
      <c r="AL389" s="110"/>
      <c r="AM389" s="110"/>
      <c r="AN389" s="110"/>
      <c r="AO389" s="110"/>
      <c r="AP389" s="110"/>
      <c r="AQ389" s="110"/>
      <c r="AR389" s="110"/>
      <c r="AS389" s="110"/>
      <c r="AT389" s="110"/>
      <c r="AU389" s="110"/>
      <c r="AV389" s="110"/>
      <c r="AW389" s="110"/>
      <c r="AX389" s="110"/>
      <c r="AY389" s="110"/>
      <c r="AZ389" s="110"/>
      <c r="BA389" s="110"/>
      <c r="BB389" s="110"/>
      <c r="BC389" s="110"/>
      <c r="BD389" s="110"/>
      <c r="BE389" s="110"/>
      <c r="BF389" s="110"/>
      <c r="BG389" s="110"/>
      <c r="BH389" s="110"/>
      <c r="BI389" s="110"/>
      <c r="BJ389" s="110"/>
      <c r="BK389" s="110"/>
      <c r="BL389" s="110"/>
      <c r="BM389" s="110"/>
      <c r="BN389" s="110"/>
      <c r="BO389" s="110"/>
      <c r="BP389" s="110"/>
      <c r="BQ389" s="110"/>
      <c r="BR389" s="110"/>
      <c r="BS389" s="110"/>
      <c r="BT389" s="110"/>
      <c r="BU389" s="110"/>
      <c r="BV389" s="110"/>
      <c r="BW389" s="110"/>
      <c r="BX389" s="110"/>
      <c r="BY389" s="110"/>
      <c r="BZ389" s="110"/>
      <c r="CA389" s="110"/>
      <c r="CB389" s="110"/>
      <c r="CC389" s="110"/>
      <c r="CD389" s="110"/>
      <c r="CE389" s="110"/>
      <c r="CF389" s="110"/>
      <c r="CG389" s="110"/>
      <c r="CH389" s="110"/>
      <c r="CI389" s="110"/>
      <c r="CJ389" s="110"/>
      <c r="CK389" s="110"/>
      <c r="CL389" s="110"/>
      <c r="CM389" s="110"/>
      <c r="CN389" s="110"/>
      <c r="CO389" s="110"/>
    </row>
    <row r="390" spans="1:93">
      <c r="A390" s="110"/>
      <c r="B390" s="110"/>
      <c r="C390" s="110"/>
      <c r="D390" s="110"/>
      <c r="E390" s="110"/>
      <c r="F390" s="110"/>
      <c r="G390" s="110"/>
      <c r="H390" s="110"/>
      <c r="I390" s="110"/>
      <c r="J390" s="110"/>
      <c r="K390" s="110"/>
      <c r="L390" s="110"/>
      <c r="M390" s="110"/>
      <c r="N390" s="110"/>
      <c r="O390" s="110"/>
      <c r="P390" s="110"/>
      <c r="Q390" s="110"/>
      <c r="R390" s="110"/>
      <c r="S390" s="110"/>
      <c r="T390" s="110"/>
      <c r="U390" s="111"/>
      <c r="V390" s="111"/>
      <c r="W390" s="111"/>
      <c r="X390" s="112"/>
      <c r="Y390" s="112"/>
      <c r="Z390" s="112"/>
      <c r="AA390" s="112"/>
      <c r="AB390" s="112"/>
      <c r="AC390" s="111"/>
      <c r="AD390" s="111"/>
      <c r="AE390" s="111"/>
      <c r="AF390" s="111"/>
      <c r="AG390" s="111"/>
      <c r="AH390" s="111"/>
      <c r="AI390" s="110"/>
      <c r="AJ390" s="110"/>
      <c r="AK390" s="110"/>
      <c r="AL390" s="110"/>
      <c r="AM390" s="110"/>
      <c r="AN390" s="110"/>
      <c r="AO390" s="110"/>
      <c r="AP390" s="110"/>
      <c r="AQ390" s="110"/>
      <c r="AR390" s="110"/>
      <c r="AS390" s="110"/>
      <c r="AT390" s="110"/>
      <c r="AU390" s="110"/>
      <c r="AV390" s="110"/>
      <c r="AW390" s="110"/>
      <c r="AX390" s="110"/>
      <c r="AY390" s="110"/>
      <c r="AZ390" s="110"/>
      <c r="BA390" s="110"/>
      <c r="BB390" s="110"/>
      <c r="BC390" s="110"/>
      <c r="BD390" s="110"/>
      <c r="BE390" s="110"/>
      <c r="BF390" s="110"/>
      <c r="BG390" s="110"/>
      <c r="BH390" s="110"/>
      <c r="BI390" s="110"/>
      <c r="BJ390" s="110"/>
      <c r="BK390" s="110"/>
      <c r="BL390" s="110"/>
      <c r="BM390" s="110"/>
      <c r="BN390" s="110"/>
      <c r="BO390" s="110"/>
      <c r="BP390" s="110"/>
      <c r="BQ390" s="110"/>
      <c r="BR390" s="110"/>
      <c r="BS390" s="110"/>
      <c r="BT390" s="110"/>
      <c r="BU390" s="110"/>
      <c r="BV390" s="110"/>
      <c r="BW390" s="110"/>
      <c r="BX390" s="110"/>
      <c r="BY390" s="110"/>
      <c r="BZ390" s="110"/>
      <c r="CA390" s="110"/>
      <c r="CB390" s="110"/>
      <c r="CC390" s="110"/>
      <c r="CD390" s="110"/>
      <c r="CE390" s="110"/>
      <c r="CF390" s="110"/>
      <c r="CG390" s="110"/>
      <c r="CH390" s="110"/>
      <c r="CI390" s="110"/>
      <c r="CJ390" s="110"/>
      <c r="CK390" s="110"/>
      <c r="CL390" s="110"/>
      <c r="CM390" s="110"/>
      <c r="CN390" s="110"/>
      <c r="CO390" s="110"/>
    </row>
    <row r="391" spans="1:93">
      <c r="A391" s="110"/>
      <c r="B391" s="110"/>
      <c r="C391" s="110"/>
      <c r="D391" s="110"/>
      <c r="E391" s="110"/>
      <c r="F391" s="110"/>
      <c r="G391" s="110"/>
      <c r="H391" s="110"/>
      <c r="I391" s="110"/>
      <c r="J391" s="110"/>
      <c r="K391" s="110"/>
      <c r="L391" s="110"/>
      <c r="M391" s="110"/>
      <c r="N391" s="110"/>
      <c r="O391" s="110"/>
      <c r="P391" s="110"/>
      <c r="Q391" s="110"/>
      <c r="R391" s="110"/>
      <c r="S391" s="110"/>
      <c r="T391" s="110"/>
      <c r="U391" s="111"/>
      <c r="V391" s="111"/>
      <c r="W391" s="111"/>
      <c r="X391" s="112"/>
      <c r="Y391" s="112"/>
      <c r="Z391" s="112"/>
      <c r="AA391" s="112"/>
      <c r="AB391" s="112"/>
      <c r="AC391" s="111"/>
      <c r="AD391" s="111"/>
      <c r="AE391" s="111"/>
      <c r="AF391" s="111"/>
      <c r="AG391" s="111"/>
      <c r="AH391" s="111"/>
      <c r="AI391" s="110"/>
      <c r="AJ391" s="110"/>
      <c r="AK391" s="110"/>
      <c r="AL391" s="110"/>
      <c r="AM391" s="110"/>
      <c r="AN391" s="110"/>
      <c r="AO391" s="110"/>
      <c r="AP391" s="110"/>
      <c r="AQ391" s="110"/>
      <c r="AR391" s="110"/>
      <c r="AS391" s="110"/>
      <c r="AT391" s="110"/>
      <c r="AU391" s="110"/>
      <c r="AV391" s="110"/>
      <c r="AW391" s="110"/>
      <c r="AX391" s="110"/>
      <c r="AY391" s="110"/>
      <c r="AZ391" s="110"/>
      <c r="BA391" s="110"/>
      <c r="BB391" s="110"/>
      <c r="BC391" s="110"/>
      <c r="BD391" s="110"/>
      <c r="BE391" s="110"/>
      <c r="BF391" s="110"/>
      <c r="BG391" s="110"/>
      <c r="BH391" s="110"/>
      <c r="BI391" s="110"/>
      <c r="BJ391" s="110"/>
      <c r="BK391" s="110"/>
      <c r="BL391" s="110"/>
      <c r="BM391" s="110"/>
      <c r="BN391" s="110"/>
      <c r="BO391" s="110"/>
      <c r="BP391" s="110"/>
      <c r="BQ391" s="110"/>
      <c r="BR391" s="110"/>
      <c r="BS391" s="110"/>
      <c r="BT391" s="110"/>
      <c r="BU391" s="110"/>
      <c r="BV391" s="110"/>
      <c r="BW391" s="110"/>
      <c r="BX391" s="110"/>
      <c r="BY391" s="110"/>
      <c r="BZ391" s="110"/>
      <c r="CA391" s="110"/>
      <c r="CB391" s="110"/>
      <c r="CC391" s="110"/>
      <c r="CD391" s="110"/>
      <c r="CE391" s="110"/>
      <c r="CF391" s="110"/>
      <c r="CG391" s="110"/>
      <c r="CH391" s="110"/>
      <c r="CI391" s="110"/>
      <c r="CJ391" s="110"/>
      <c r="CK391" s="110"/>
      <c r="CL391" s="110"/>
      <c r="CM391" s="110"/>
      <c r="CN391" s="110"/>
      <c r="CO391" s="110"/>
    </row>
    <row r="392" spans="1:93">
      <c r="A392" s="110"/>
      <c r="B392" s="110"/>
      <c r="C392" s="110"/>
      <c r="D392" s="110"/>
      <c r="E392" s="110"/>
      <c r="F392" s="110"/>
      <c r="G392" s="110"/>
      <c r="H392" s="110"/>
      <c r="I392" s="110"/>
      <c r="J392" s="110"/>
      <c r="K392" s="110"/>
      <c r="L392" s="110"/>
      <c r="M392" s="110"/>
      <c r="N392" s="110"/>
      <c r="O392" s="110"/>
      <c r="P392" s="110"/>
      <c r="Q392" s="110"/>
      <c r="R392" s="110"/>
      <c r="S392" s="110"/>
      <c r="T392" s="110"/>
      <c r="U392" s="111"/>
      <c r="V392" s="111"/>
      <c r="W392" s="111"/>
      <c r="X392" s="112"/>
      <c r="Y392" s="112"/>
      <c r="Z392" s="112"/>
      <c r="AA392" s="112"/>
      <c r="AB392" s="112"/>
      <c r="AC392" s="111"/>
      <c r="AD392" s="111"/>
      <c r="AE392" s="111"/>
      <c r="AF392" s="111"/>
      <c r="AG392" s="111"/>
      <c r="AH392" s="111"/>
      <c r="AI392" s="110"/>
      <c r="AJ392" s="110"/>
      <c r="AK392" s="110"/>
      <c r="AL392" s="110"/>
      <c r="AM392" s="110"/>
      <c r="AN392" s="110"/>
      <c r="AO392" s="110"/>
      <c r="AP392" s="110"/>
      <c r="AQ392" s="110"/>
      <c r="AR392" s="110"/>
      <c r="AS392" s="110"/>
      <c r="AT392" s="110"/>
      <c r="AU392" s="110"/>
      <c r="AV392" s="110"/>
      <c r="AW392" s="110"/>
      <c r="AX392" s="110"/>
      <c r="AY392" s="110"/>
      <c r="AZ392" s="110"/>
      <c r="BA392" s="110"/>
      <c r="BB392" s="110"/>
      <c r="BC392" s="110"/>
      <c r="BD392" s="110"/>
      <c r="BE392" s="110"/>
      <c r="BF392" s="110"/>
      <c r="BG392" s="110"/>
      <c r="BH392" s="110"/>
      <c r="BI392" s="110"/>
      <c r="BJ392" s="110"/>
      <c r="BK392" s="110"/>
      <c r="BL392" s="110"/>
      <c r="BM392" s="110"/>
      <c r="BN392" s="110"/>
      <c r="BO392" s="110"/>
      <c r="BP392" s="110"/>
      <c r="BQ392" s="110"/>
      <c r="BR392" s="110"/>
      <c r="BS392" s="110"/>
      <c r="BT392" s="110"/>
      <c r="BU392" s="110"/>
      <c r="BV392" s="110"/>
      <c r="BW392" s="110"/>
      <c r="BX392" s="110"/>
      <c r="BY392" s="110"/>
      <c r="BZ392" s="110"/>
      <c r="CA392" s="110"/>
      <c r="CB392" s="110"/>
      <c r="CC392" s="110"/>
      <c r="CD392" s="110"/>
      <c r="CE392" s="110"/>
      <c r="CF392" s="110"/>
      <c r="CG392" s="110"/>
      <c r="CH392" s="110"/>
      <c r="CI392" s="110"/>
      <c r="CJ392" s="110"/>
      <c r="CK392" s="110"/>
      <c r="CL392" s="110"/>
      <c r="CM392" s="110"/>
      <c r="CN392" s="110"/>
      <c r="CO392" s="110"/>
    </row>
    <row r="393" spans="1:93">
      <c r="A393" s="110"/>
      <c r="B393" s="110"/>
      <c r="C393" s="110"/>
      <c r="D393" s="110"/>
      <c r="E393" s="110"/>
      <c r="F393" s="110"/>
      <c r="G393" s="110"/>
      <c r="H393" s="110"/>
      <c r="I393" s="110"/>
      <c r="J393" s="110"/>
      <c r="K393" s="110"/>
      <c r="L393" s="110"/>
      <c r="M393" s="110"/>
      <c r="N393" s="110"/>
      <c r="O393" s="110"/>
      <c r="P393" s="110"/>
      <c r="Q393" s="110"/>
      <c r="R393" s="110"/>
      <c r="S393" s="110"/>
      <c r="T393" s="110"/>
      <c r="U393" s="111"/>
      <c r="V393" s="111"/>
      <c r="W393" s="111"/>
      <c r="X393" s="112"/>
      <c r="Y393" s="112"/>
      <c r="Z393" s="112"/>
      <c r="AA393" s="112"/>
      <c r="AB393" s="112"/>
      <c r="AC393" s="111"/>
      <c r="AD393" s="111"/>
      <c r="AE393" s="111"/>
      <c r="AF393" s="111"/>
      <c r="AG393" s="111"/>
      <c r="AH393" s="111"/>
      <c r="AI393" s="110"/>
      <c r="AJ393" s="110"/>
      <c r="AK393" s="110"/>
      <c r="AL393" s="110"/>
      <c r="AM393" s="110"/>
      <c r="AN393" s="110"/>
      <c r="AO393" s="110"/>
      <c r="AP393" s="110"/>
      <c r="AQ393" s="110"/>
      <c r="AR393" s="110"/>
      <c r="AS393" s="110"/>
      <c r="AT393" s="110"/>
      <c r="AU393" s="110"/>
      <c r="AV393" s="110"/>
      <c r="AW393" s="110"/>
      <c r="AX393" s="110"/>
      <c r="AY393" s="110"/>
      <c r="AZ393" s="110"/>
      <c r="BA393" s="110"/>
      <c r="BB393" s="110"/>
      <c r="BC393" s="110"/>
      <c r="BD393" s="110"/>
      <c r="BE393" s="110"/>
      <c r="BF393" s="110"/>
      <c r="BG393" s="110"/>
      <c r="BH393" s="110"/>
      <c r="BI393" s="110"/>
      <c r="BJ393" s="110"/>
      <c r="BK393" s="110"/>
      <c r="BL393" s="110"/>
      <c r="BM393" s="110"/>
      <c r="BN393" s="110"/>
      <c r="BO393" s="110"/>
      <c r="BP393" s="110"/>
      <c r="BQ393" s="110"/>
      <c r="BR393" s="110"/>
      <c r="BS393" s="110"/>
      <c r="BT393" s="110"/>
      <c r="BU393" s="110"/>
      <c r="BV393" s="110"/>
      <c r="BW393" s="110"/>
      <c r="BX393" s="110"/>
      <c r="BY393" s="110"/>
      <c r="BZ393" s="110"/>
      <c r="CA393" s="110"/>
      <c r="CB393" s="110"/>
      <c r="CC393" s="110"/>
      <c r="CD393" s="110"/>
      <c r="CE393" s="110"/>
      <c r="CF393" s="110"/>
      <c r="CG393" s="110"/>
      <c r="CH393" s="110"/>
      <c r="CI393" s="110"/>
      <c r="CJ393" s="110"/>
      <c r="CK393" s="110"/>
      <c r="CL393" s="110"/>
      <c r="CM393" s="110"/>
      <c r="CN393" s="110"/>
      <c r="CO393" s="110"/>
    </row>
    <row r="394" spans="1:93">
      <c r="A394" s="110"/>
      <c r="B394" s="110"/>
      <c r="C394" s="110"/>
      <c r="D394" s="110"/>
      <c r="E394" s="110"/>
      <c r="F394" s="110"/>
      <c r="G394" s="110"/>
      <c r="H394" s="110"/>
      <c r="I394" s="110"/>
      <c r="J394" s="110"/>
      <c r="K394" s="110"/>
      <c r="L394" s="110"/>
      <c r="M394" s="110"/>
      <c r="N394" s="110"/>
      <c r="O394" s="110"/>
      <c r="P394" s="110"/>
      <c r="Q394" s="110"/>
      <c r="R394" s="110"/>
      <c r="S394" s="110"/>
      <c r="T394" s="110"/>
      <c r="U394" s="111"/>
      <c r="V394" s="111"/>
      <c r="W394" s="111"/>
      <c r="X394" s="112"/>
      <c r="Y394" s="112"/>
      <c r="Z394" s="112"/>
      <c r="AA394" s="112"/>
      <c r="AB394" s="112"/>
      <c r="AC394" s="111"/>
      <c r="AD394" s="111"/>
      <c r="AE394" s="111"/>
      <c r="AF394" s="111"/>
      <c r="AG394" s="111"/>
      <c r="AH394" s="111"/>
      <c r="AI394" s="110"/>
      <c r="AJ394" s="110"/>
      <c r="AK394" s="110"/>
      <c r="AL394" s="110"/>
      <c r="AM394" s="110"/>
      <c r="AN394" s="110"/>
      <c r="AO394" s="110"/>
      <c r="AP394" s="110"/>
      <c r="AQ394" s="110"/>
      <c r="AR394" s="110"/>
      <c r="AS394" s="110"/>
      <c r="AT394" s="110"/>
      <c r="AU394" s="110"/>
      <c r="AV394" s="110"/>
      <c r="AW394" s="110"/>
      <c r="AX394" s="110"/>
      <c r="AY394" s="110"/>
      <c r="AZ394" s="110"/>
      <c r="BA394" s="110"/>
      <c r="BB394" s="110"/>
      <c r="BC394" s="110"/>
      <c r="BD394" s="110"/>
      <c r="BE394" s="110"/>
      <c r="BF394" s="110"/>
      <c r="BG394" s="110"/>
      <c r="BH394" s="110"/>
      <c r="BI394" s="110"/>
      <c r="BJ394" s="110"/>
      <c r="BK394" s="110"/>
      <c r="BL394" s="110"/>
      <c r="BM394" s="110"/>
      <c r="BN394" s="110"/>
      <c r="BO394" s="110"/>
      <c r="BP394" s="110"/>
      <c r="BQ394" s="110"/>
      <c r="BR394" s="110"/>
      <c r="BS394" s="110"/>
      <c r="BT394" s="110"/>
      <c r="BU394" s="110"/>
      <c r="BV394" s="110"/>
      <c r="BW394" s="110"/>
      <c r="BX394" s="110"/>
      <c r="BY394" s="110"/>
      <c r="BZ394" s="110"/>
      <c r="CA394" s="110"/>
      <c r="CB394" s="110"/>
      <c r="CC394" s="110"/>
      <c r="CD394" s="110"/>
      <c r="CE394" s="110"/>
      <c r="CF394" s="110"/>
      <c r="CG394" s="110"/>
      <c r="CH394" s="110"/>
      <c r="CI394" s="110"/>
      <c r="CJ394" s="110"/>
      <c r="CK394" s="110"/>
      <c r="CL394" s="110"/>
      <c r="CM394" s="110"/>
      <c r="CN394" s="110"/>
      <c r="CO394" s="110"/>
    </row>
    <row r="395" spans="1:93">
      <c r="A395" s="110"/>
      <c r="B395" s="110"/>
      <c r="C395" s="110"/>
      <c r="D395" s="110"/>
      <c r="E395" s="110"/>
      <c r="F395" s="110"/>
      <c r="G395" s="110"/>
      <c r="H395" s="110"/>
      <c r="I395" s="110"/>
      <c r="J395" s="110"/>
      <c r="K395" s="110"/>
      <c r="L395" s="110"/>
      <c r="M395" s="110"/>
      <c r="N395" s="110"/>
      <c r="O395" s="110"/>
      <c r="P395" s="110"/>
      <c r="Q395" s="110"/>
      <c r="R395" s="110"/>
      <c r="S395" s="110"/>
      <c r="T395" s="110"/>
      <c r="U395" s="111"/>
      <c r="V395" s="111"/>
      <c r="W395" s="111"/>
      <c r="X395" s="112"/>
      <c r="Y395" s="112"/>
      <c r="Z395" s="112"/>
      <c r="AA395" s="112"/>
      <c r="AB395" s="112"/>
      <c r="AC395" s="111"/>
      <c r="AD395" s="111"/>
      <c r="AE395" s="111"/>
      <c r="AF395" s="111"/>
      <c r="AG395" s="111"/>
      <c r="AH395" s="111"/>
      <c r="AI395" s="110"/>
      <c r="AJ395" s="110"/>
      <c r="AK395" s="110"/>
      <c r="AL395" s="110"/>
      <c r="AM395" s="110"/>
      <c r="AN395" s="110"/>
      <c r="AO395" s="110"/>
      <c r="AP395" s="110"/>
      <c r="AQ395" s="110"/>
      <c r="AR395" s="110"/>
      <c r="AS395" s="110"/>
      <c r="AT395" s="110"/>
      <c r="AU395" s="110"/>
      <c r="AV395" s="110"/>
      <c r="AW395" s="110"/>
      <c r="AX395" s="110"/>
      <c r="AY395" s="110"/>
      <c r="AZ395" s="110"/>
      <c r="BA395" s="110"/>
      <c r="BB395" s="110"/>
      <c r="BC395" s="110"/>
      <c r="BD395" s="110"/>
      <c r="BE395" s="110"/>
      <c r="BF395" s="110"/>
      <c r="BG395" s="110"/>
      <c r="BH395" s="110"/>
      <c r="BI395" s="110"/>
      <c r="BJ395" s="110"/>
      <c r="BK395" s="110"/>
      <c r="BL395" s="110"/>
      <c r="BM395" s="110"/>
      <c r="BN395" s="110"/>
      <c r="BO395" s="110"/>
      <c r="BP395" s="110"/>
      <c r="BQ395" s="110"/>
      <c r="BR395" s="110"/>
      <c r="BS395" s="110"/>
      <c r="BT395" s="110"/>
      <c r="BU395" s="110"/>
      <c r="BV395" s="110"/>
      <c r="BW395" s="110"/>
      <c r="BX395" s="110"/>
      <c r="BY395" s="110"/>
      <c r="BZ395" s="110"/>
      <c r="CA395" s="110"/>
      <c r="CB395" s="110"/>
      <c r="CC395" s="110"/>
      <c r="CD395" s="110"/>
      <c r="CE395" s="110"/>
      <c r="CF395" s="110"/>
      <c r="CG395" s="110"/>
      <c r="CH395" s="110"/>
      <c r="CI395" s="110"/>
      <c r="CJ395" s="110"/>
      <c r="CK395" s="110"/>
      <c r="CL395" s="110"/>
      <c r="CM395" s="110"/>
      <c r="CN395" s="110"/>
      <c r="CO395" s="110"/>
    </row>
    <row r="396" spans="1:93">
      <c r="A396" s="110"/>
      <c r="B396" s="110"/>
      <c r="C396" s="110"/>
      <c r="D396" s="110"/>
      <c r="E396" s="110"/>
      <c r="F396" s="110"/>
      <c r="G396" s="110"/>
      <c r="H396" s="110"/>
      <c r="I396" s="110"/>
      <c r="J396" s="110"/>
      <c r="K396" s="110"/>
      <c r="L396" s="110"/>
      <c r="M396" s="110"/>
      <c r="N396" s="110"/>
      <c r="O396" s="110"/>
      <c r="P396" s="110"/>
      <c r="Q396" s="110"/>
      <c r="R396" s="110"/>
      <c r="S396" s="110"/>
      <c r="T396" s="110"/>
      <c r="U396" s="111"/>
      <c r="V396" s="111"/>
      <c r="W396" s="111"/>
      <c r="X396" s="112"/>
      <c r="Y396" s="112"/>
      <c r="Z396" s="112"/>
      <c r="AA396" s="112"/>
      <c r="AB396" s="112"/>
      <c r="AC396" s="111"/>
      <c r="AD396" s="111"/>
      <c r="AE396" s="111"/>
      <c r="AF396" s="111"/>
      <c r="AG396" s="111"/>
      <c r="AH396" s="111"/>
      <c r="AI396" s="110"/>
      <c r="AJ396" s="110"/>
      <c r="AK396" s="110"/>
      <c r="AL396" s="110"/>
      <c r="AM396" s="110"/>
      <c r="AN396" s="110"/>
      <c r="AO396" s="110"/>
      <c r="AP396" s="110"/>
      <c r="AQ396" s="110"/>
      <c r="AR396" s="110"/>
      <c r="AS396" s="110"/>
      <c r="AT396" s="110"/>
      <c r="AU396" s="110"/>
      <c r="AV396" s="110"/>
      <c r="AW396" s="110"/>
      <c r="AX396" s="110"/>
      <c r="AY396" s="110"/>
      <c r="AZ396" s="110"/>
      <c r="BA396" s="110"/>
      <c r="BB396" s="110"/>
      <c r="BC396" s="110"/>
      <c r="BD396" s="110"/>
      <c r="BE396" s="110"/>
      <c r="BF396" s="110"/>
      <c r="BG396" s="110"/>
      <c r="BH396" s="110"/>
      <c r="BI396" s="110"/>
      <c r="BJ396" s="110"/>
      <c r="BK396" s="110"/>
      <c r="BL396" s="110"/>
      <c r="BM396" s="110"/>
      <c r="BN396" s="110"/>
      <c r="BO396" s="110"/>
      <c r="BP396" s="110"/>
      <c r="BQ396" s="110"/>
      <c r="BR396" s="110"/>
      <c r="BS396" s="110"/>
      <c r="BT396" s="110"/>
      <c r="BU396" s="110"/>
      <c r="BV396" s="110"/>
      <c r="BW396" s="110"/>
      <c r="BX396" s="110"/>
      <c r="BY396" s="110"/>
      <c r="BZ396" s="110"/>
      <c r="CA396" s="110"/>
      <c r="CB396" s="110"/>
      <c r="CC396" s="110"/>
      <c r="CD396" s="110"/>
      <c r="CE396" s="110"/>
      <c r="CF396" s="110"/>
      <c r="CG396" s="110"/>
      <c r="CH396" s="110"/>
      <c r="CI396" s="110"/>
      <c r="CJ396" s="110"/>
      <c r="CK396" s="110"/>
      <c r="CL396" s="110"/>
      <c r="CM396" s="110"/>
      <c r="CN396" s="110"/>
      <c r="CO396" s="110"/>
    </row>
    <row r="397" spans="1:93">
      <c r="A397" s="110"/>
      <c r="B397" s="110"/>
      <c r="C397" s="110"/>
      <c r="D397" s="110"/>
      <c r="E397" s="110"/>
      <c r="F397" s="110"/>
      <c r="G397" s="110"/>
      <c r="H397" s="110"/>
      <c r="I397" s="110"/>
      <c r="J397" s="110"/>
      <c r="K397" s="110"/>
      <c r="L397" s="110"/>
      <c r="M397" s="110"/>
      <c r="N397" s="110"/>
      <c r="O397" s="110"/>
      <c r="P397" s="110"/>
      <c r="Q397" s="110"/>
      <c r="R397" s="110"/>
      <c r="S397" s="110"/>
      <c r="T397" s="110"/>
      <c r="U397" s="111"/>
      <c r="V397" s="111"/>
      <c r="W397" s="111"/>
      <c r="X397" s="112"/>
      <c r="Y397" s="112"/>
      <c r="Z397" s="112"/>
      <c r="AA397" s="112"/>
      <c r="AB397" s="112"/>
      <c r="AC397" s="111"/>
      <c r="AD397" s="111"/>
      <c r="AE397" s="111"/>
      <c r="AF397" s="111"/>
      <c r="AG397" s="111"/>
      <c r="AH397" s="111"/>
      <c r="AI397" s="110"/>
      <c r="AJ397" s="110"/>
      <c r="AK397" s="110"/>
      <c r="AL397" s="110"/>
      <c r="AM397" s="110"/>
      <c r="AN397" s="110"/>
      <c r="AO397" s="110"/>
      <c r="AP397" s="110"/>
      <c r="AQ397" s="110"/>
      <c r="AR397" s="110"/>
      <c r="AS397" s="110"/>
      <c r="AT397" s="110"/>
      <c r="AU397" s="110"/>
      <c r="AV397" s="110"/>
      <c r="AW397" s="110"/>
      <c r="AX397" s="110"/>
      <c r="AY397" s="110"/>
      <c r="AZ397" s="110"/>
      <c r="BA397" s="110"/>
      <c r="BB397" s="110"/>
      <c r="BC397" s="110"/>
      <c r="BD397" s="110"/>
      <c r="BE397" s="110"/>
      <c r="BF397" s="110"/>
      <c r="BG397" s="110"/>
      <c r="BH397" s="110"/>
      <c r="BI397" s="110"/>
      <c r="BJ397" s="110"/>
      <c r="BK397" s="110"/>
      <c r="BL397" s="110"/>
      <c r="BM397" s="110"/>
      <c r="BN397" s="110"/>
      <c r="BO397" s="110"/>
      <c r="BP397" s="110"/>
      <c r="BQ397" s="110"/>
      <c r="BR397" s="110"/>
      <c r="BS397" s="110"/>
      <c r="BT397" s="110"/>
      <c r="BU397" s="110"/>
      <c r="BV397" s="110"/>
      <c r="BW397" s="110"/>
      <c r="BX397" s="110"/>
      <c r="BY397" s="110"/>
      <c r="BZ397" s="110"/>
      <c r="CA397" s="110"/>
      <c r="CB397" s="110"/>
      <c r="CC397" s="110"/>
      <c r="CD397" s="110"/>
      <c r="CE397" s="110"/>
      <c r="CF397" s="110"/>
      <c r="CG397" s="110"/>
      <c r="CH397" s="110"/>
      <c r="CI397" s="110"/>
      <c r="CJ397" s="110"/>
      <c r="CK397" s="110"/>
      <c r="CL397" s="110"/>
      <c r="CM397" s="110"/>
      <c r="CN397" s="110"/>
      <c r="CO397" s="110"/>
    </row>
    <row r="398" spans="1:93">
      <c r="A398" s="110"/>
      <c r="B398" s="110"/>
      <c r="C398" s="110"/>
      <c r="D398" s="110"/>
      <c r="E398" s="110"/>
      <c r="F398" s="110"/>
      <c r="G398" s="110"/>
      <c r="H398" s="110"/>
      <c r="I398" s="110"/>
      <c r="J398" s="110"/>
      <c r="K398" s="110"/>
      <c r="L398" s="110"/>
      <c r="M398" s="110"/>
      <c r="N398" s="110"/>
      <c r="O398" s="110"/>
      <c r="P398" s="110"/>
      <c r="Q398" s="110"/>
      <c r="R398" s="110"/>
      <c r="S398" s="110"/>
      <c r="T398" s="110"/>
      <c r="U398" s="111"/>
      <c r="V398" s="111"/>
      <c r="W398" s="111"/>
      <c r="X398" s="112"/>
      <c r="Y398" s="112"/>
      <c r="Z398" s="112"/>
      <c r="AA398" s="112"/>
      <c r="AB398" s="112"/>
      <c r="AC398" s="111"/>
      <c r="AD398" s="111"/>
      <c r="AE398" s="111"/>
      <c r="AF398" s="111"/>
      <c r="AG398" s="111"/>
      <c r="AH398" s="111"/>
      <c r="AI398" s="110"/>
      <c r="AJ398" s="110"/>
      <c r="AK398" s="110"/>
      <c r="AL398" s="110"/>
      <c r="AM398" s="110"/>
      <c r="AN398" s="110"/>
      <c r="AO398" s="110"/>
      <c r="AP398" s="110"/>
      <c r="AQ398" s="110"/>
      <c r="AR398" s="110"/>
      <c r="AS398" s="110"/>
      <c r="AT398" s="110"/>
      <c r="AU398" s="110"/>
      <c r="AV398" s="110"/>
      <c r="AW398" s="110"/>
      <c r="AX398" s="110"/>
      <c r="AY398" s="110"/>
      <c r="AZ398" s="110"/>
      <c r="BA398" s="110"/>
      <c r="BB398" s="110"/>
      <c r="BC398" s="110"/>
      <c r="BD398" s="110"/>
      <c r="BE398" s="110"/>
      <c r="BF398" s="110"/>
      <c r="BG398" s="110"/>
      <c r="BH398" s="110"/>
      <c r="BI398" s="110"/>
      <c r="BJ398" s="110"/>
      <c r="BK398" s="110"/>
      <c r="BL398" s="110"/>
      <c r="BM398" s="110"/>
      <c r="BN398" s="110"/>
      <c r="BO398" s="110"/>
      <c r="BP398" s="110"/>
      <c r="BQ398" s="110"/>
      <c r="BR398" s="110"/>
      <c r="BS398" s="110"/>
      <c r="BT398" s="110"/>
      <c r="BU398" s="110"/>
      <c r="BV398" s="110"/>
      <c r="BW398" s="110"/>
      <c r="BX398" s="110"/>
      <c r="BY398" s="110"/>
      <c r="BZ398" s="110"/>
      <c r="CA398" s="110"/>
      <c r="CB398" s="110"/>
      <c r="CC398" s="110"/>
      <c r="CD398" s="110"/>
      <c r="CE398" s="110"/>
      <c r="CF398" s="110"/>
      <c r="CG398" s="110"/>
      <c r="CH398" s="110"/>
      <c r="CI398" s="110"/>
      <c r="CJ398" s="110"/>
      <c r="CK398" s="110"/>
      <c r="CL398" s="110"/>
      <c r="CM398" s="110"/>
      <c r="CN398" s="110"/>
      <c r="CO398" s="110"/>
    </row>
    <row r="399" spans="1:93">
      <c r="A399" s="110"/>
      <c r="B399" s="110"/>
      <c r="C399" s="110"/>
      <c r="D399" s="110"/>
      <c r="E399" s="110"/>
      <c r="F399" s="110"/>
      <c r="G399" s="110"/>
      <c r="H399" s="110"/>
      <c r="I399" s="110"/>
      <c r="J399" s="110"/>
      <c r="K399" s="110"/>
      <c r="L399" s="110"/>
      <c r="M399" s="110"/>
      <c r="N399" s="110"/>
      <c r="O399" s="110"/>
      <c r="P399" s="110"/>
      <c r="Q399" s="110"/>
      <c r="R399" s="110"/>
      <c r="S399" s="110"/>
      <c r="T399" s="110"/>
      <c r="U399" s="111"/>
      <c r="V399" s="111"/>
      <c r="W399" s="111"/>
      <c r="X399" s="112"/>
      <c r="Y399" s="112"/>
      <c r="Z399" s="112"/>
      <c r="AA399" s="112"/>
      <c r="AB399" s="112"/>
      <c r="AC399" s="111"/>
      <c r="AD399" s="111"/>
      <c r="AE399" s="111"/>
      <c r="AF399" s="111"/>
      <c r="AG399" s="111"/>
      <c r="AH399" s="111"/>
      <c r="AI399" s="110"/>
      <c r="AJ399" s="110"/>
      <c r="AK399" s="110"/>
      <c r="AL399" s="110"/>
      <c r="AM399" s="110"/>
      <c r="AN399" s="110"/>
      <c r="AO399" s="110"/>
      <c r="AP399" s="110"/>
      <c r="AQ399" s="110"/>
      <c r="AR399" s="110"/>
      <c r="AS399" s="110"/>
      <c r="AT399" s="110"/>
      <c r="AU399" s="110"/>
      <c r="AV399" s="110"/>
      <c r="AW399" s="110"/>
      <c r="AX399" s="110"/>
      <c r="AY399" s="110"/>
      <c r="AZ399" s="110"/>
      <c r="BA399" s="110"/>
      <c r="BB399" s="110"/>
      <c r="BC399" s="110"/>
      <c r="BD399" s="110"/>
      <c r="BE399" s="110"/>
      <c r="BF399" s="110"/>
      <c r="BG399" s="110"/>
      <c r="BH399" s="110"/>
      <c r="BI399" s="110"/>
      <c r="BJ399" s="110"/>
      <c r="BK399" s="110"/>
      <c r="BL399" s="110"/>
      <c r="BM399" s="110"/>
      <c r="BN399" s="110"/>
      <c r="BO399" s="110"/>
      <c r="BP399" s="110"/>
      <c r="BQ399" s="110"/>
      <c r="BR399" s="110"/>
      <c r="BS399" s="110"/>
      <c r="BT399" s="110"/>
      <c r="BU399" s="110"/>
      <c r="BV399" s="110"/>
      <c r="BW399" s="110"/>
      <c r="BX399" s="110"/>
      <c r="BY399" s="110"/>
      <c r="BZ399" s="110"/>
      <c r="CA399" s="110"/>
      <c r="CB399" s="110"/>
      <c r="CC399" s="110"/>
      <c r="CD399" s="110"/>
      <c r="CE399" s="110"/>
      <c r="CF399" s="110"/>
      <c r="CG399" s="110"/>
      <c r="CH399" s="110"/>
      <c r="CI399" s="110"/>
      <c r="CJ399" s="110"/>
      <c r="CK399" s="110"/>
      <c r="CL399" s="110"/>
      <c r="CM399" s="110"/>
      <c r="CN399" s="110"/>
      <c r="CO399" s="110"/>
    </row>
    <row r="400" spans="1:93">
      <c r="A400" s="110"/>
      <c r="B400" s="110"/>
      <c r="C400" s="110"/>
      <c r="D400" s="110"/>
      <c r="E400" s="110"/>
      <c r="F400" s="110"/>
      <c r="G400" s="110"/>
      <c r="H400" s="110"/>
      <c r="I400" s="110"/>
      <c r="J400" s="110"/>
      <c r="K400" s="110"/>
      <c r="L400" s="110"/>
      <c r="M400" s="110"/>
      <c r="N400" s="110"/>
      <c r="O400" s="110"/>
      <c r="P400" s="110"/>
      <c r="Q400" s="110"/>
      <c r="R400" s="110"/>
      <c r="S400" s="110"/>
      <c r="T400" s="110"/>
      <c r="U400" s="111"/>
      <c r="V400" s="111"/>
      <c r="W400" s="111"/>
      <c r="X400" s="112"/>
      <c r="Y400" s="112"/>
      <c r="Z400" s="112"/>
      <c r="AA400" s="112"/>
      <c r="AB400" s="112"/>
      <c r="AC400" s="111"/>
      <c r="AD400" s="111"/>
      <c r="AE400" s="111"/>
      <c r="AF400" s="111"/>
      <c r="AG400" s="111"/>
      <c r="AH400" s="111"/>
      <c r="AI400" s="110"/>
      <c r="AJ400" s="110"/>
      <c r="AK400" s="110"/>
      <c r="AL400" s="110"/>
      <c r="AM400" s="110"/>
      <c r="AN400" s="110"/>
      <c r="AO400" s="110"/>
      <c r="AP400" s="110"/>
      <c r="AQ400" s="110"/>
      <c r="AR400" s="110"/>
      <c r="AS400" s="110"/>
      <c r="AT400" s="110"/>
      <c r="AU400" s="110"/>
      <c r="AV400" s="110"/>
      <c r="AW400" s="110"/>
      <c r="AX400" s="110"/>
      <c r="AY400" s="110"/>
      <c r="AZ400" s="110"/>
      <c r="BA400" s="110"/>
      <c r="BB400" s="110"/>
      <c r="BC400" s="110"/>
      <c r="BD400" s="110"/>
      <c r="BE400" s="110"/>
      <c r="BF400" s="110"/>
      <c r="BG400" s="110"/>
      <c r="BH400" s="110"/>
      <c r="BI400" s="110"/>
      <c r="BJ400" s="110"/>
      <c r="BK400" s="110"/>
      <c r="BL400" s="110"/>
      <c r="BM400" s="110"/>
      <c r="BN400" s="110"/>
      <c r="BO400" s="110"/>
      <c r="BP400" s="110"/>
      <c r="BQ400" s="110"/>
      <c r="BR400" s="110"/>
      <c r="BS400" s="110"/>
      <c r="BT400" s="110"/>
      <c r="BU400" s="110"/>
      <c r="BV400" s="110"/>
      <c r="BW400" s="110"/>
      <c r="BX400" s="110"/>
      <c r="BY400" s="110"/>
      <c r="BZ400" s="110"/>
      <c r="CA400" s="110"/>
      <c r="CB400" s="110"/>
      <c r="CC400" s="110"/>
      <c r="CD400" s="110"/>
      <c r="CE400" s="110"/>
      <c r="CF400" s="110"/>
      <c r="CG400" s="110"/>
      <c r="CH400" s="110"/>
      <c r="CI400" s="110"/>
      <c r="CJ400" s="110"/>
      <c r="CK400" s="110"/>
      <c r="CL400" s="110"/>
      <c r="CM400" s="110"/>
      <c r="CN400" s="110"/>
      <c r="CO400" s="110"/>
    </row>
    <row r="401" spans="1:93">
      <c r="A401" s="110"/>
      <c r="B401" s="110"/>
      <c r="C401" s="110"/>
      <c r="D401" s="110"/>
      <c r="E401" s="110"/>
      <c r="F401" s="110"/>
      <c r="G401" s="110"/>
      <c r="H401" s="110"/>
      <c r="I401" s="110"/>
      <c r="J401" s="110"/>
      <c r="K401" s="110"/>
      <c r="L401" s="110"/>
      <c r="M401" s="110"/>
      <c r="N401" s="110"/>
      <c r="O401" s="110"/>
      <c r="P401" s="110"/>
      <c r="Q401" s="110"/>
      <c r="R401" s="110"/>
      <c r="S401" s="110"/>
      <c r="T401" s="110"/>
      <c r="U401" s="111"/>
      <c r="V401" s="111"/>
      <c r="W401" s="111"/>
      <c r="X401" s="112"/>
      <c r="Y401" s="112"/>
      <c r="Z401" s="112"/>
      <c r="AA401" s="112"/>
      <c r="AB401" s="112"/>
      <c r="AC401" s="111"/>
      <c r="AD401" s="111"/>
      <c r="AE401" s="111"/>
      <c r="AF401" s="111"/>
      <c r="AG401" s="111"/>
      <c r="AH401" s="111"/>
      <c r="AI401" s="110"/>
      <c r="AJ401" s="110"/>
      <c r="AK401" s="110"/>
      <c r="AL401" s="110"/>
      <c r="AM401" s="110"/>
      <c r="AN401" s="110"/>
      <c r="AO401" s="110"/>
      <c r="AP401" s="110"/>
      <c r="AQ401" s="110"/>
      <c r="AR401" s="110"/>
      <c r="AS401" s="110"/>
      <c r="AT401" s="110"/>
      <c r="AU401" s="110"/>
      <c r="AV401" s="110"/>
      <c r="AW401" s="110"/>
      <c r="AX401" s="110"/>
      <c r="AY401" s="110"/>
      <c r="AZ401" s="110"/>
      <c r="BA401" s="110"/>
      <c r="BB401" s="110"/>
      <c r="BC401" s="110"/>
      <c r="BD401" s="110"/>
      <c r="BE401" s="110"/>
      <c r="BF401" s="110"/>
      <c r="BG401" s="110"/>
      <c r="BH401" s="110"/>
      <c r="BI401" s="110"/>
      <c r="BJ401" s="110"/>
      <c r="BK401" s="110"/>
      <c r="BL401" s="110"/>
      <c r="BM401" s="110"/>
      <c r="BN401" s="110"/>
      <c r="BO401" s="110"/>
      <c r="BP401" s="110"/>
      <c r="BQ401" s="110"/>
      <c r="BR401" s="110"/>
      <c r="BS401" s="110"/>
      <c r="BT401" s="110"/>
      <c r="BU401" s="110"/>
      <c r="BV401" s="110"/>
      <c r="BW401" s="110"/>
      <c r="BX401" s="110"/>
      <c r="BY401" s="110"/>
      <c r="BZ401" s="110"/>
      <c r="CA401" s="110"/>
      <c r="CB401" s="110"/>
      <c r="CC401" s="110"/>
      <c r="CD401" s="110"/>
      <c r="CE401" s="110"/>
      <c r="CF401" s="110"/>
      <c r="CG401" s="110"/>
      <c r="CH401" s="110"/>
      <c r="CI401" s="110"/>
      <c r="CJ401" s="110"/>
      <c r="CK401" s="110"/>
      <c r="CL401" s="110"/>
      <c r="CM401" s="110"/>
      <c r="CN401" s="110"/>
      <c r="CO401" s="110"/>
    </row>
    <row r="402" spans="1:93">
      <c r="A402" s="110"/>
      <c r="B402" s="110"/>
      <c r="C402" s="110"/>
      <c r="D402" s="110"/>
      <c r="E402" s="110"/>
      <c r="F402" s="110"/>
      <c r="G402" s="110"/>
      <c r="H402" s="110"/>
      <c r="I402" s="110"/>
      <c r="J402" s="110"/>
      <c r="K402" s="110"/>
      <c r="L402" s="110"/>
      <c r="M402" s="110"/>
      <c r="N402" s="110"/>
      <c r="O402" s="110"/>
      <c r="P402" s="110"/>
      <c r="Q402" s="110"/>
      <c r="R402" s="110"/>
      <c r="S402" s="110"/>
      <c r="T402" s="110"/>
      <c r="U402" s="111"/>
      <c r="V402" s="111"/>
      <c r="W402" s="111"/>
      <c r="X402" s="112"/>
      <c r="Y402" s="112"/>
      <c r="Z402" s="112"/>
      <c r="AA402" s="112"/>
      <c r="AB402" s="112"/>
      <c r="AC402" s="111"/>
      <c r="AD402" s="111"/>
      <c r="AE402" s="111"/>
      <c r="AF402" s="111"/>
      <c r="AG402" s="111"/>
      <c r="AH402" s="111"/>
      <c r="AI402" s="110"/>
      <c r="AJ402" s="110"/>
      <c r="AK402" s="110"/>
      <c r="AL402" s="110"/>
      <c r="AM402" s="110"/>
      <c r="AN402" s="110"/>
      <c r="AO402" s="110"/>
      <c r="AP402" s="110"/>
      <c r="AQ402" s="110"/>
      <c r="AR402" s="110"/>
      <c r="AS402" s="110"/>
      <c r="AT402" s="110"/>
      <c r="AU402" s="110"/>
      <c r="AV402" s="110"/>
      <c r="AW402" s="110"/>
      <c r="AX402" s="110"/>
      <c r="AY402" s="110"/>
      <c r="AZ402" s="110"/>
      <c r="BA402" s="110"/>
      <c r="BB402" s="110"/>
      <c r="BC402" s="110"/>
      <c r="BD402" s="110"/>
      <c r="BE402" s="110"/>
      <c r="BF402" s="110"/>
      <c r="BG402" s="110"/>
      <c r="BH402" s="110"/>
      <c r="BI402" s="110"/>
      <c r="BJ402" s="110"/>
      <c r="BK402" s="110"/>
      <c r="BL402" s="110"/>
      <c r="BM402" s="110"/>
      <c r="BN402" s="110"/>
      <c r="BO402" s="110"/>
      <c r="BP402" s="110"/>
      <c r="BQ402" s="110"/>
      <c r="BR402" s="110"/>
      <c r="BS402" s="110"/>
      <c r="BT402" s="110"/>
      <c r="BU402" s="110"/>
      <c r="BV402" s="110"/>
      <c r="BW402" s="110"/>
      <c r="BX402" s="110"/>
      <c r="BY402" s="110"/>
      <c r="BZ402" s="110"/>
      <c r="CA402" s="110"/>
      <c r="CB402" s="110"/>
      <c r="CC402" s="110"/>
      <c r="CD402" s="110"/>
      <c r="CE402" s="110"/>
      <c r="CF402" s="110"/>
      <c r="CG402" s="110"/>
      <c r="CH402" s="110"/>
      <c r="CI402" s="110"/>
      <c r="CJ402" s="110"/>
      <c r="CK402" s="110"/>
      <c r="CL402" s="110"/>
      <c r="CM402" s="110"/>
      <c r="CN402" s="110"/>
      <c r="CO402" s="110"/>
    </row>
    <row r="403" spans="1:93">
      <c r="A403" s="110"/>
      <c r="B403" s="110"/>
      <c r="C403" s="110"/>
      <c r="D403" s="110"/>
      <c r="E403" s="110"/>
      <c r="F403" s="110"/>
      <c r="G403" s="110"/>
      <c r="H403" s="110"/>
      <c r="I403" s="110"/>
      <c r="J403" s="110"/>
      <c r="K403" s="110"/>
      <c r="L403" s="110"/>
      <c r="M403" s="110"/>
      <c r="N403" s="110"/>
      <c r="O403" s="110"/>
      <c r="P403" s="110"/>
      <c r="Q403" s="110"/>
      <c r="R403" s="110"/>
      <c r="S403" s="110"/>
      <c r="T403" s="110"/>
      <c r="U403" s="111"/>
      <c r="V403" s="111"/>
      <c r="W403" s="111"/>
      <c r="X403" s="112"/>
      <c r="Y403" s="112"/>
      <c r="Z403" s="112"/>
      <c r="AA403" s="112"/>
      <c r="AB403" s="112"/>
      <c r="AC403" s="111"/>
      <c r="AD403" s="111"/>
      <c r="AE403" s="111"/>
      <c r="AF403" s="111"/>
      <c r="AG403" s="111"/>
      <c r="AH403" s="111"/>
      <c r="AI403" s="110"/>
      <c r="AJ403" s="110"/>
      <c r="AK403" s="110"/>
      <c r="AL403" s="110"/>
      <c r="AM403" s="110"/>
      <c r="AN403" s="110"/>
      <c r="AO403" s="110"/>
      <c r="AP403" s="110"/>
      <c r="AQ403" s="110"/>
      <c r="AR403" s="110"/>
      <c r="AS403" s="110"/>
      <c r="AT403" s="110"/>
      <c r="AU403" s="110"/>
      <c r="AV403" s="110"/>
      <c r="AW403" s="110"/>
      <c r="AX403" s="110"/>
      <c r="AY403" s="110"/>
      <c r="AZ403" s="110"/>
      <c r="BA403" s="110"/>
      <c r="BB403" s="110"/>
      <c r="BC403" s="110"/>
      <c r="BD403" s="110"/>
      <c r="BE403" s="110"/>
      <c r="BF403" s="110"/>
      <c r="BG403" s="110"/>
      <c r="BH403" s="110"/>
      <c r="BI403" s="110"/>
      <c r="BJ403" s="110"/>
      <c r="BK403" s="110"/>
      <c r="BL403" s="110"/>
      <c r="BM403" s="110"/>
      <c r="BN403" s="110"/>
      <c r="BO403" s="110"/>
      <c r="BP403" s="110"/>
      <c r="BQ403" s="110"/>
      <c r="BR403" s="110"/>
      <c r="BS403" s="110"/>
      <c r="BT403" s="110"/>
      <c r="BU403" s="110"/>
      <c r="BV403" s="110"/>
      <c r="BW403" s="110"/>
      <c r="BX403" s="110"/>
      <c r="BY403" s="110"/>
      <c r="BZ403" s="110"/>
      <c r="CA403" s="110"/>
      <c r="CB403" s="110"/>
      <c r="CC403" s="110"/>
      <c r="CD403" s="110"/>
      <c r="CE403" s="110"/>
      <c r="CF403" s="110"/>
      <c r="CG403" s="110"/>
      <c r="CH403" s="110"/>
      <c r="CI403" s="110"/>
      <c r="CJ403" s="110"/>
      <c r="CK403" s="110"/>
      <c r="CL403" s="110"/>
      <c r="CM403" s="110"/>
      <c r="CN403" s="110"/>
      <c r="CO403" s="110"/>
    </row>
    <row r="404" spans="1:93">
      <c r="A404" s="110"/>
      <c r="B404" s="110"/>
      <c r="C404" s="110"/>
      <c r="D404" s="110"/>
      <c r="E404" s="110"/>
      <c r="F404" s="110"/>
      <c r="G404" s="110"/>
      <c r="H404" s="110"/>
      <c r="I404" s="110"/>
      <c r="J404" s="110"/>
      <c r="K404" s="110"/>
      <c r="L404" s="110"/>
      <c r="M404" s="110"/>
      <c r="N404" s="110"/>
      <c r="O404" s="110"/>
      <c r="P404" s="110"/>
      <c r="Q404" s="110"/>
      <c r="R404" s="110"/>
      <c r="S404" s="110"/>
      <c r="T404" s="110"/>
      <c r="U404" s="111"/>
      <c r="V404" s="111"/>
      <c r="W404" s="111"/>
      <c r="X404" s="112"/>
      <c r="Y404" s="112"/>
      <c r="Z404" s="112"/>
      <c r="AA404" s="112"/>
      <c r="AB404" s="112"/>
      <c r="AC404" s="111"/>
      <c r="AD404" s="111"/>
      <c r="AE404" s="111"/>
      <c r="AF404" s="111"/>
      <c r="AG404" s="111"/>
      <c r="AH404" s="111"/>
      <c r="AI404" s="110"/>
      <c r="AJ404" s="110"/>
      <c r="AK404" s="110"/>
      <c r="AL404" s="110"/>
      <c r="AM404" s="110"/>
      <c r="AN404" s="110"/>
      <c r="AO404" s="110"/>
      <c r="AP404" s="110"/>
      <c r="AQ404" s="110"/>
      <c r="AR404" s="110"/>
      <c r="AS404" s="110"/>
      <c r="AT404" s="110"/>
      <c r="AU404" s="110"/>
      <c r="AV404" s="110"/>
      <c r="AW404" s="110"/>
      <c r="AX404" s="110"/>
      <c r="AY404" s="110"/>
      <c r="AZ404" s="110"/>
      <c r="BA404" s="110"/>
      <c r="BB404" s="110"/>
      <c r="BC404" s="110"/>
      <c r="BD404" s="110"/>
      <c r="BE404" s="110"/>
      <c r="BF404" s="110"/>
      <c r="BG404" s="110"/>
      <c r="BH404" s="110"/>
      <c r="BI404" s="110"/>
      <c r="BJ404" s="110"/>
      <c r="BK404" s="110"/>
      <c r="BL404" s="110"/>
      <c r="BM404" s="110"/>
      <c r="BN404" s="110"/>
      <c r="BO404" s="110"/>
      <c r="BP404" s="110"/>
      <c r="BQ404" s="110"/>
      <c r="BR404" s="110"/>
      <c r="BS404" s="110"/>
      <c r="BT404" s="110"/>
      <c r="BU404" s="110"/>
      <c r="BV404" s="110"/>
      <c r="BW404" s="110"/>
      <c r="BX404" s="110"/>
      <c r="BY404" s="110"/>
      <c r="BZ404" s="110"/>
      <c r="CA404" s="110"/>
      <c r="CB404" s="110"/>
      <c r="CC404" s="110"/>
      <c r="CD404" s="110"/>
      <c r="CE404" s="110"/>
      <c r="CF404" s="110"/>
      <c r="CG404" s="110"/>
      <c r="CH404" s="110"/>
      <c r="CI404" s="110"/>
      <c r="CJ404" s="110"/>
      <c r="CK404" s="110"/>
      <c r="CL404" s="110"/>
      <c r="CM404" s="110"/>
      <c r="CN404" s="110"/>
      <c r="CO404" s="110"/>
    </row>
    <row r="405" spans="1:93">
      <c r="A405" s="110"/>
      <c r="B405" s="110"/>
      <c r="C405" s="110"/>
      <c r="D405" s="110"/>
      <c r="E405" s="110"/>
      <c r="F405" s="110"/>
      <c r="G405" s="110"/>
      <c r="H405" s="110"/>
      <c r="I405" s="110"/>
      <c r="J405" s="110"/>
      <c r="K405" s="110"/>
      <c r="L405" s="110"/>
      <c r="M405" s="110"/>
      <c r="N405" s="110"/>
      <c r="O405" s="110"/>
      <c r="P405" s="110"/>
      <c r="Q405" s="110"/>
      <c r="R405" s="110"/>
      <c r="S405" s="110"/>
      <c r="T405" s="110"/>
      <c r="U405" s="111"/>
      <c r="V405" s="111"/>
      <c r="W405" s="111"/>
      <c r="X405" s="112"/>
      <c r="Y405" s="112"/>
      <c r="Z405" s="112"/>
      <c r="AA405" s="112"/>
      <c r="AB405" s="112"/>
      <c r="AC405" s="111"/>
      <c r="AD405" s="111"/>
      <c r="AE405" s="111"/>
      <c r="AF405" s="111"/>
      <c r="AG405" s="111"/>
      <c r="AH405" s="111"/>
      <c r="AI405" s="110"/>
      <c r="AJ405" s="110"/>
      <c r="AK405" s="110"/>
      <c r="AL405" s="110"/>
      <c r="AM405" s="110"/>
      <c r="AN405" s="110"/>
      <c r="AO405" s="110"/>
      <c r="AP405" s="110"/>
      <c r="AQ405" s="110"/>
      <c r="AR405" s="110"/>
      <c r="AS405" s="110"/>
      <c r="AT405" s="110"/>
      <c r="AU405" s="110"/>
      <c r="AV405" s="110"/>
      <c r="AW405" s="110"/>
      <c r="AX405" s="110"/>
      <c r="AY405" s="110"/>
      <c r="AZ405" s="110"/>
      <c r="BA405" s="110"/>
      <c r="BB405" s="110"/>
      <c r="BC405" s="110"/>
      <c r="BD405" s="110"/>
      <c r="BE405" s="110"/>
      <c r="BF405" s="110"/>
      <c r="BG405" s="110"/>
      <c r="BH405" s="110"/>
      <c r="BI405" s="110"/>
      <c r="BJ405" s="110"/>
      <c r="BK405" s="110"/>
      <c r="BL405" s="110"/>
      <c r="BM405" s="110"/>
      <c r="BN405" s="110"/>
      <c r="BO405" s="110"/>
      <c r="BP405" s="110"/>
      <c r="BQ405" s="110"/>
      <c r="BR405" s="110"/>
      <c r="BS405" s="110"/>
      <c r="BT405" s="110"/>
      <c r="BU405" s="110"/>
      <c r="BV405" s="110"/>
      <c r="BW405" s="110"/>
      <c r="BX405" s="110"/>
      <c r="BY405" s="110"/>
      <c r="BZ405" s="110"/>
      <c r="CA405" s="110"/>
      <c r="CB405" s="110"/>
      <c r="CC405" s="110"/>
      <c r="CD405" s="110"/>
      <c r="CE405" s="110"/>
      <c r="CF405" s="110"/>
      <c r="CG405" s="110"/>
      <c r="CH405" s="110"/>
      <c r="CI405" s="110"/>
      <c r="CJ405" s="110"/>
      <c r="CK405" s="110"/>
      <c r="CL405" s="110"/>
      <c r="CM405" s="110"/>
      <c r="CN405" s="110"/>
      <c r="CO405" s="110"/>
    </row>
    <row r="406" spans="1:93">
      <c r="A406" s="110"/>
      <c r="B406" s="110"/>
      <c r="C406" s="110"/>
      <c r="D406" s="110"/>
      <c r="E406" s="110"/>
      <c r="F406" s="110"/>
      <c r="G406" s="110"/>
      <c r="H406" s="110"/>
      <c r="I406" s="110"/>
      <c r="J406" s="110"/>
      <c r="K406" s="110"/>
      <c r="L406" s="110"/>
      <c r="M406" s="110"/>
      <c r="N406" s="110"/>
      <c r="O406" s="110"/>
      <c r="P406" s="110"/>
      <c r="Q406" s="110"/>
      <c r="R406" s="110"/>
      <c r="S406" s="110"/>
      <c r="T406" s="110"/>
      <c r="U406" s="111"/>
      <c r="V406" s="111"/>
      <c r="W406" s="111"/>
      <c r="X406" s="112"/>
      <c r="Y406" s="112"/>
      <c r="Z406" s="112"/>
      <c r="AA406" s="112"/>
      <c r="AB406" s="112"/>
      <c r="AC406" s="111"/>
      <c r="AD406" s="111"/>
      <c r="AE406" s="111"/>
      <c r="AF406" s="111"/>
      <c r="AG406" s="111"/>
      <c r="AH406" s="111"/>
      <c r="AI406" s="110"/>
      <c r="AJ406" s="110"/>
      <c r="AK406" s="110"/>
      <c r="AL406" s="110"/>
      <c r="AM406" s="110"/>
      <c r="AN406" s="110"/>
      <c r="AO406" s="110"/>
      <c r="AP406" s="110"/>
      <c r="AQ406" s="110"/>
      <c r="AR406" s="110"/>
      <c r="AS406" s="110"/>
      <c r="AT406" s="110"/>
      <c r="AU406" s="110"/>
      <c r="AV406" s="110"/>
      <c r="AW406" s="110"/>
      <c r="AX406" s="110"/>
      <c r="AY406" s="110"/>
      <c r="AZ406" s="110"/>
      <c r="BA406" s="110"/>
      <c r="BB406" s="110"/>
      <c r="BC406" s="110"/>
      <c r="BD406" s="110"/>
      <c r="BE406" s="110"/>
      <c r="BF406" s="110"/>
      <c r="BG406" s="110"/>
      <c r="BH406" s="110"/>
      <c r="BI406" s="110"/>
      <c r="BJ406" s="110"/>
      <c r="BK406" s="110"/>
      <c r="BL406" s="110"/>
      <c r="BM406" s="110"/>
      <c r="BN406" s="110"/>
      <c r="BO406" s="110"/>
      <c r="BP406" s="110"/>
      <c r="BQ406" s="110"/>
      <c r="BR406" s="110"/>
      <c r="BS406" s="110"/>
      <c r="BT406" s="110"/>
      <c r="BU406" s="110"/>
      <c r="BV406" s="110"/>
      <c r="BW406" s="110"/>
      <c r="BX406" s="110"/>
      <c r="BY406" s="110"/>
      <c r="BZ406" s="110"/>
      <c r="CA406" s="110"/>
      <c r="CB406" s="110"/>
      <c r="CC406" s="110"/>
      <c r="CD406" s="110"/>
      <c r="CE406" s="110"/>
      <c r="CF406" s="110"/>
      <c r="CG406" s="110"/>
      <c r="CH406" s="110"/>
      <c r="CI406" s="110"/>
      <c r="CJ406" s="110"/>
      <c r="CK406" s="110"/>
      <c r="CL406" s="110"/>
      <c r="CM406" s="110"/>
      <c r="CN406" s="110"/>
      <c r="CO406" s="110"/>
    </row>
    <row r="407" spans="1:93">
      <c r="A407" s="110"/>
      <c r="B407" s="110"/>
      <c r="C407" s="110"/>
      <c r="D407" s="110"/>
      <c r="E407" s="110"/>
      <c r="F407" s="110"/>
      <c r="G407" s="110"/>
      <c r="H407" s="110"/>
      <c r="I407" s="110"/>
      <c r="J407" s="110"/>
      <c r="K407" s="110"/>
      <c r="L407" s="110"/>
      <c r="M407" s="110"/>
      <c r="N407" s="110"/>
      <c r="O407" s="110"/>
      <c r="P407" s="110"/>
      <c r="Q407" s="110"/>
      <c r="R407" s="110"/>
      <c r="S407" s="110"/>
      <c r="T407" s="110"/>
      <c r="U407" s="111"/>
      <c r="V407" s="111"/>
      <c r="W407" s="111"/>
      <c r="X407" s="112"/>
      <c r="Y407" s="112"/>
      <c r="Z407" s="112"/>
      <c r="AA407" s="112"/>
      <c r="AB407" s="112"/>
      <c r="AC407" s="111"/>
      <c r="AD407" s="111"/>
      <c r="AE407" s="111"/>
      <c r="AF407" s="111"/>
      <c r="AG407" s="111"/>
      <c r="AH407" s="111"/>
      <c r="AI407" s="110"/>
      <c r="AJ407" s="110"/>
      <c r="AK407" s="110"/>
      <c r="AL407" s="110"/>
      <c r="AM407" s="110"/>
      <c r="AN407" s="110"/>
      <c r="AO407" s="110"/>
      <c r="AP407" s="110"/>
      <c r="AQ407" s="110"/>
      <c r="AR407" s="110"/>
      <c r="AS407" s="110"/>
      <c r="AT407" s="110"/>
      <c r="AU407" s="110"/>
      <c r="AV407" s="110"/>
      <c r="AW407" s="110"/>
      <c r="AX407" s="110"/>
      <c r="AY407" s="110"/>
      <c r="AZ407" s="110"/>
      <c r="BA407" s="110"/>
      <c r="BB407" s="110"/>
      <c r="BC407" s="110"/>
      <c r="BD407" s="110"/>
      <c r="BE407" s="110"/>
      <c r="BF407" s="110"/>
      <c r="BG407" s="110"/>
      <c r="BH407" s="110"/>
      <c r="BI407" s="110"/>
      <c r="BJ407" s="110"/>
      <c r="BK407" s="110"/>
      <c r="BL407" s="110"/>
      <c r="BM407" s="110"/>
      <c r="BN407" s="110"/>
      <c r="BO407" s="110"/>
      <c r="BP407" s="110"/>
      <c r="BQ407" s="110"/>
      <c r="BR407" s="110"/>
      <c r="BS407" s="110"/>
      <c r="BT407" s="110"/>
      <c r="BU407" s="110"/>
      <c r="BV407" s="110"/>
      <c r="BW407" s="110"/>
      <c r="BX407" s="110"/>
      <c r="BY407" s="110"/>
      <c r="BZ407" s="110"/>
      <c r="CA407" s="110"/>
      <c r="CB407" s="110"/>
      <c r="CC407" s="110"/>
      <c r="CD407" s="110"/>
      <c r="CE407" s="110"/>
      <c r="CF407" s="110"/>
      <c r="CG407" s="110"/>
      <c r="CH407" s="110"/>
      <c r="CI407" s="110"/>
      <c r="CJ407" s="110"/>
      <c r="CK407" s="110"/>
      <c r="CL407" s="110"/>
      <c r="CM407" s="110"/>
      <c r="CN407" s="110"/>
      <c r="CO407" s="110"/>
    </row>
    <row r="408" spans="1:93">
      <c r="A408" s="110"/>
      <c r="B408" s="110"/>
      <c r="C408" s="110"/>
      <c r="D408" s="110"/>
      <c r="E408" s="110"/>
      <c r="F408" s="110"/>
      <c r="G408" s="110"/>
      <c r="H408" s="110"/>
      <c r="I408" s="110"/>
      <c r="J408" s="110"/>
      <c r="K408" s="110"/>
      <c r="L408" s="110"/>
      <c r="M408" s="110"/>
      <c r="N408" s="110"/>
      <c r="O408" s="110"/>
      <c r="P408" s="110"/>
      <c r="Q408" s="110"/>
      <c r="R408" s="110"/>
      <c r="S408" s="110"/>
      <c r="T408" s="110"/>
      <c r="U408" s="111"/>
      <c r="V408" s="111"/>
      <c r="W408" s="111"/>
      <c r="X408" s="112"/>
      <c r="Y408" s="112"/>
      <c r="Z408" s="112"/>
      <c r="AA408" s="112"/>
      <c r="AB408" s="112"/>
      <c r="AC408" s="111"/>
      <c r="AD408" s="111"/>
      <c r="AE408" s="111"/>
      <c r="AF408" s="111"/>
      <c r="AG408" s="111"/>
      <c r="AH408" s="111"/>
      <c r="AI408" s="110"/>
      <c r="AJ408" s="110"/>
      <c r="AK408" s="110"/>
      <c r="AL408" s="110"/>
      <c r="AM408" s="110"/>
      <c r="AN408" s="110"/>
      <c r="AO408" s="110"/>
      <c r="AP408" s="110"/>
      <c r="AQ408" s="110"/>
      <c r="AR408" s="110"/>
      <c r="AS408" s="110"/>
      <c r="AT408" s="110"/>
      <c r="AU408" s="110"/>
      <c r="AV408" s="110"/>
      <c r="AW408" s="110"/>
      <c r="AX408" s="110"/>
      <c r="AY408" s="110"/>
      <c r="AZ408" s="110"/>
      <c r="BA408" s="110"/>
      <c r="BB408" s="110"/>
      <c r="BC408" s="110"/>
      <c r="BD408" s="110"/>
      <c r="BE408" s="110"/>
      <c r="BF408" s="110"/>
      <c r="BG408" s="110"/>
      <c r="BH408" s="110"/>
      <c r="BI408" s="110"/>
      <c r="BJ408" s="110"/>
      <c r="BK408" s="110"/>
      <c r="BL408" s="110"/>
      <c r="BM408" s="110"/>
      <c r="BN408" s="110"/>
      <c r="BO408" s="110"/>
      <c r="BP408" s="110"/>
      <c r="BQ408" s="110"/>
      <c r="BR408" s="110"/>
      <c r="BS408" s="110"/>
      <c r="BT408" s="110"/>
      <c r="BU408" s="110"/>
      <c r="BV408" s="110"/>
      <c r="BW408" s="110"/>
      <c r="BX408" s="110"/>
      <c r="BY408" s="110"/>
      <c r="BZ408" s="110"/>
      <c r="CA408" s="110"/>
      <c r="CB408" s="110"/>
      <c r="CC408" s="110"/>
      <c r="CD408" s="110"/>
      <c r="CE408" s="110"/>
      <c r="CF408" s="110"/>
      <c r="CG408" s="110"/>
      <c r="CH408" s="110"/>
      <c r="CI408" s="110"/>
      <c r="CJ408" s="110"/>
      <c r="CK408" s="110"/>
      <c r="CL408" s="110"/>
      <c r="CM408" s="110"/>
      <c r="CN408" s="110"/>
      <c r="CO408" s="110"/>
    </row>
    <row r="409" spans="1:93">
      <c r="A409" s="110"/>
      <c r="B409" s="110"/>
      <c r="C409" s="110"/>
      <c r="D409" s="110"/>
      <c r="E409" s="110"/>
      <c r="F409" s="110"/>
      <c r="G409" s="110"/>
      <c r="H409" s="110"/>
      <c r="I409" s="110"/>
      <c r="J409" s="110"/>
      <c r="K409" s="110"/>
      <c r="L409" s="110"/>
      <c r="M409" s="110"/>
      <c r="N409" s="110"/>
      <c r="O409" s="110"/>
      <c r="P409" s="110"/>
      <c r="Q409" s="110"/>
      <c r="R409" s="110"/>
      <c r="S409" s="110"/>
      <c r="T409" s="110"/>
      <c r="U409" s="111"/>
      <c r="V409" s="111"/>
      <c r="W409" s="111"/>
      <c r="X409" s="112"/>
      <c r="Y409" s="112"/>
      <c r="Z409" s="112"/>
      <c r="AA409" s="112"/>
      <c r="AB409" s="112"/>
      <c r="AC409" s="111"/>
      <c r="AD409" s="111"/>
      <c r="AE409" s="111"/>
      <c r="AF409" s="111"/>
      <c r="AG409" s="111"/>
      <c r="AH409" s="111"/>
      <c r="AI409" s="110"/>
      <c r="AJ409" s="110"/>
      <c r="AK409" s="110"/>
      <c r="AL409" s="110"/>
      <c r="AM409" s="110"/>
      <c r="AN409" s="110"/>
      <c r="AO409" s="110"/>
      <c r="AP409" s="110"/>
      <c r="AQ409" s="110"/>
      <c r="AR409" s="110"/>
      <c r="AS409" s="110"/>
      <c r="AT409" s="110"/>
      <c r="AU409" s="110"/>
      <c r="AV409" s="110"/>
      <c r="AW409" s="110"/>
      <c r="AX409" s="110"/>
      <c r="AY409" s="110"/>
      <c r="AZ409" s="110"/>
      <c r="BA409" s="110"/>
      <c r="BB409" s="110"/>
      <c r="BC409" s="110"/>
      <c r="BD409" s="110"/>
      <c r="BE409" s="110"/>
      <c r="BF409" s="110"/>
      <c r="BG409" s="110"/>
      <c r="BH409" s="110"/>
      <c r="BI409" s="110"/>
      <c r="BJ409" s="110"/>
      <c r="BK409" s="110"/>
      <c r="BL409" s="110"/>
      <c r="BM409" s="110"/>
      <c r="BN409" s="110"/>
      <c r="BO409" s="110"/>
      <c r="BP409" s="110"/>
      <c r="BQ409" s="110"/>
      <c r="BR409" s="110"/>
      <c r="BS409" s="110"/>
      <c r="BT409" s="110"/>
      <c r="BU409" s="110"/>
      <c r="BV409" s="110"/>
      <c r="BW409" s="110"/>
      <c r="BX409" s="110"/>
      <c r="BY409" s="110"/>
      <c r="BZ409" s="110"/>
      <c r="CA409" s="110"/>
      <c r="CB409" s="110"/>
      <c r="CC409" s="110"/>
      <c r="CD409" s="110"/>
      <c r="CE409" s="110"/>
      <c r="CF409" s="110"/>
      <c r="CG409" s="110"/>
      <c r="CH409" s="110"/>
      <c r="CI409" s="110"/>
      <c r="CJ409" s="110"/>
      <c r="CK409" s="110"/>
      <c r="CL409" s="110"/>
      <c r="CM409" s="110"/>
      <c r="CN409" s="110"/>
      <c r="CO409" s="110"/>
    </row>
    <row r="410" spans="1:93">
      <c r="A410" s="110"/>
      <c r="B410" s="110"/>
      <c r="C410" s="110"/>
      <c r="D410" s="110"/>
      <c r="E410" s="110"/>
      <c r="F410" s="110"/>
      <c r="G410" s="110"/>
      <c r="H410" s="110"/>
      <c r="I410" s="110"/>
      <c r="J410" s="110"/>
      <c r="K410" s="110"/>
      <c r="L410" s="110"/>
      <c r="M410" s="110"/>
      <c r="N410" s="110"/>
      <c r="O410" s="110"/>
      <c r="P410" s="110"/>
      <c r="Q410" s="110"/>
      <c r="R410" s="110"/>
      <c r="S410" s="110"/>
      <c r="T410" s="110"/>
      <c r="U410" s="111"/>
      <c r="V410" s="111"/>
      <c r="W410" s="111"/>
      <c r="X410" s="112"/>
      <c r="Y410" s="112"/>
      <c r="Z410" s="112"/>
      <c r="AA410" s="112"/>
      <c r="AB410" s="112"/>
      <c r="AC410" s="111"/>
      <c r="AD410" s="111"/>
      <c r="AE410" s="111"/>
      <c r="AF410" s="111"/>
      <c r="AG410" s="111"/>
      <c r="AH410" s="111"/>
      <c r="AI410" s="110"/>
      <c r="AJ410" s="110"/>
      <c r="AK410" s="110"/>
      <c r="AL410" s="110"/>
      <c r="AM410" s="110"/>
      <c r="AN410" s="110"/>
      <c r="AO410" s="110"/>
      <c r="AP410" s="110"/>
      <c r="AQ410" s="110"/>
      <c r="AR410" s="110"/>
      <c r="AS410" s="110"/>
      <c r="AT410" s="110"/>
      <c r="AU410" s="110"/>
      <c r="AV410" s="110"/>
      <c r="AW410" s="110"/>
      <c r="AX410" s="110"/>
      <c r="AY410" s="110"/>
      <c r="AZ410" s="110"/>
      <c r="BA410" s="110"/>
      <c r="BB410" s="110"/>
      <c r="BC410" s="110"/>
      <c r="BD410" s="110"/>
      <c r="BE410" s="110"/>
      <c r="BF410" s="110"/>
      <c r="BG410" s="110"/>
      <c r="BH410" s="110"/>
      <c r="BI410" s="110"/>
      <c r="BJ410" s="110"/>
      <c r="BK410" s="110"/>
      <c r="BL410" s="110"/>
      <c r="BM410" s="110"/>
      <c r="BN410" s="110"/>
      <c r="BO410" s="110"/>
      <c r="BP410" s="110"/>
      <c r="BQ410" s="110"/>
      <c r="BR410" s="110"/>
      <c r="BS410" s="110"/>
      <c r="BT410" s="110"/>
      <c r="BU410" s="110"/>
      <c r="BV410" s="110"/>
      <c r="BW410" s="110"/>
      <c r="BX410" s="110"/>
      <c r="BY410" s="110"/>
      <c r="BZ410" s="110"/>
      <c r="CA410" s="110"/>
      <c r="CB410" s="110"/>
      <c r="CC410" s="110"/>
      <c r="CD410" s="110"/>
      <c r="CE410" s="110"/>
      <c r="CF410" s="110"/>
      <c r="CG410" s="110"/>
      <c r="CH410" s="110"/>
      <c r="CI410" s="110"/>
      <c r="CJ410" s="110"/>
      <c r="CK410" s="110"/>
      <c r="CL410" s="110"/>
      <c r="CM410" s="110"/>
      <c r="CN410" s="110"/>
      <c r="CO410" s="110"/>
    </row>
    <row r="411" spans="1:93">
      <c r="A411" s="110"/>
      <c r="B411" s="110"/>
      <c r="C411" s="110"/>
      <c r="D411" s="110"/>
      <c r="E411" s="110"/>
      <c r="F411" s="110"/>
      <c r="G411" s="110"/>
      <c r="H411" s="110"/>
      <c r="I411" s="110"/>
      <c r="J411" s="110"/>
      <c r="K411" s="110"/>
      <c r="L411" s="110"/>
      <c r="M411" s="110"/>
      <c r="N411" s="110"/>
      <c r="O411" s="110"/>
      <c r="P411" s="110"/>
      <c r="Q411" s="110"/>
      <c r="R411" s="110"/>
      <c r="S411" s="110"/>
      <c r="T411" s="110"/>
      <c r="U411" s="111"/>
      <c r="V411" s="111"/>
      <c r="W411" s="111"/>
      <c r="X411" s="112"/>
      <c r="Y411" s="112"/>
      <c r="Z411" s="112"/>
      <c r="AA411" s="112"/>
      <c r="AB411" s="112"/>
      <c r="AC411" s="111"/>
      <c r="AD411" s="111"/>
      <c r="AE411" s="111"/>
      <c r="AF411" s="111"/>
      <c r="AG411" s="111"/>
      <c r="AH411" s="111"/>
      <c r="AI411" s="110"/>
      <c r="AJ411" s="110"/>
      <c r="AK411" s="110"/>
      <c r="AL411" s="110"/>
      <c r="AM411" s="110"/>
      <c r="AN411" s="110"/>
      <c r="AO411" s="110"/>
      <c r="AP411" s="110"/>
      <c r="AQ411" s="110"/>
      <c r="AR411" s="110"/>
      <c r="AS411" s="110"/>
      <c r="AT411" s="110"/>
      <c r="AU411" s="110"/>
      <c r="AV411" s="110"/>
      <c r="AW411" s="110"/>
      <c r="AX411" s="110"/>
      <c r="AY411" s="110"/>
      <c r="AZ411" s="110"/>
      <c r="BA411" s="110"/>
      <c r="BB411" s="110"/>
      <c r="BC411" s="110"/>
      <c r="BD411" s="110"/>
      <c r="BE411" s="110"/>
      <c r="BF411" s="110"/>
      <c r="BG411" s="110"/>
      <c r="BH411" s="110"/>
      <c r="BI411" s="110"/>
      <c r="BJ411" s="110"/>
      <c r="BK411" s="110"/>
      <c r="BL411" s="110"/>
      <c r="BM411" s="110"/>
      <c r="BN411" s="110"/>
      <c r="BO411" s="110"/>
      <c r="BP411" s="110"/>
      <c r="BQ411" s="110"/>
      <c r="BR411" s="110"/>
      <c r="BS411" s="110"/>
      <c r="BT411" s="110"/>
      <c r="BU411" s="110"/>
      <c r="BV411" s="110"/>
      <c r="BW411" s="110"/>
      <c r="BX411" s="110"/>
      <c r="BY411" s="110"/>
      <c r="BZ411" s="110"/>
      <c r="CA411" s="110"/>
      <c r="CB411" s="110"/>
      <c r="CC411" s="110"/>
      <c r="CD411" s="110"/>
      <c r="CE411" s="110"/>
      <c r="CF411" s="110"/>
      <c r="CG411" s="110"/>
      <c r="CH411" s="110"/>
      <c r="CI411" s="110"/>
      <c r="CJ411" s="110"/>
      <c r="CK411" s="110"/>
      <c r="CL411" s="110"/>
      <c r="CM411" s="110"/>
      <c r="CN411" s="110"/>
      <c r="CO411" s="110"/>
    </row>
    <row r="412" spans="1:93">
      <c r="A412" s="110"/>
      <c r="B412" s="110"/>
      <c r="C412" s="110"/>
      <c r="D412" s="110"/>
      <c r="E412" s="110"/>
      <c r="F412" s="110"/>
      <c r="G412" s="110"/>
      <c r="H412" s="110"/>
      <c r="I412" s="110"/>
      <c r="J412" s="110"/>
      <c r="K412" s="110"/>
      <c r="L412" s="110"/>
      <c r="M412" s="110"/>
      <c r="N412" s="110"/>
      <c r="O412" s="110"/>
      <c r="P412" s="110"/>
      <c r="Q412" s="110"/>
      <c r="R412" s="110"/>
      <c r="S412" s="110"/>
      <c r="T412" s="110"/>
      <c r="U412" s="111"/>
      <c r="V412" s="111"/>
      <c r="W412" s="111"/>
      <c r="X412" s="112"/>
      <c r="Y412" s="112"/>
      <c r="Z412" s="112"/>
      <c r="AA412" s="112"/>
      <c r="AB412" s="112"/>
      <c r="AC412" s="111"/>
      <c r="AD412" s="111"/>
      <c r="AE412" s="111"/>
      <c r="AF412" s="111"/>
      <c r="AG412" s="111"/>
      <c r="AH412" s="111"/>
      <c r="AI412" s="110"/>
      <c r="AJ412" s="110"/>
      <c r="AK412" s="110"/>
      <c r="AL412" s="110"/>
      <c r="AM412" s="110"/>
      <c r="AN412" s="110"/>
      <c r="AO412" s="110"/>
      <c r="AP412" s="110"/>
      <c r="AQ412" s="110"/>
      <c r="AR412" s="110"/>
      <c r="AS412" s="110"/>
      <c r="AT412" s="110"/>
      <c r="AU412" s="110"/>
      <c r="AV412" s="110"/>
      <c r="AW412" s="110"/>
      <c r="AX412" s="110"/>
      <c r="AY412" s="110"/>
      <c r="AZ412" s="110"/>
      <c r="BA412" s="110"/>
      <c r="BB412" s="110"/>
      <c r="BC412" s="110"/>
      <c r="BD412" s="110"/>
      <c r="BE412" s="110"/>
      <c r="BF412" s="110"/>
      <c r="BG412" s="110"/>
      <c r="BH412" s="110"/>
      <c r="BI412" s="110"/>
      <c r="BJ412" s="110"/>
      <c r="BK412" s="110"/>
      <c r="BL412" s="110"/>
      <c r="BM412" s="110"/>
      <c r="BN412" s="110"/>
      <c r="BO412" s="110"/>
      <c r="BP412" s="110"/>
      <c r="BQ412" s="110"/>
      <c r="BR412" s="110"/>
      <c r="BS412" s="110"/>
      <c r="BT412" s="110"/>
      <c r="BU412" s="110"/>
      <c r="BV412" s="110"/>
      <c r="BW412" s="110"/>
      <c r="BX412" s="110"/>
      <c r="BY412" s="110"/>
      <c r="BZ412" s="110"/>
      <c r="CA412" s="110"/>
      <c r="CB412" s="110"/>
      <c r="CC412" s="110"/>
      <c r="CD412" s="110"/>
      <c r="CE412" s="110"/>
      <c r="CF412" s="110"/>
      <c r="CG412" s="110"/>
      <c r="CH412" s="110"/>
      <c r="CI412" s="110"/>
      <c r="CJ412" s="110"/>
      <c r="CK412" s="110"/>
      <c r="CL412" s="110"/>
      <c r="CM412" s="110"/>
      <c r="CN412" s="110"/>
      <c r="CO412" s="110"/>
    </row>
    <row r="413" spans="1:93">
      <c r="A413" s="110"/>
      <c r="B413" s="110"/>
      <c r="C413" s="110"/>
      <c r="D413" s="110"/>
      <c r="E413" s="110"/>
      <c r="F413" s="110"/>
      <c r="G413" s="110"/>
      <c r="H413" s="110"/>
      <c r="I413" s="110"/>
      <c r="J413" s="110"/>
      <c r="K413" s="110"/>
      <c r="L413" s="110"/>
      <c r="M413" s="110"/>
      <c r="N413" s="110"/>
      <c r="O413" s="110"/>
      <c r="P413" s="110"/>
      <c r="Q413" s="110"/>
      <c r="R413" s="110"/>
      <c r="S413" s="110"/>
      <c r="T413" s="110"/>
      <c r="U413" s="111"/>
      <c r="V413" s="111"/>
      <c r="W413" s="111"/>
      <c r="X413" s="112"/>
      <c r="Y413" s="112"/>
      <c r="Z413" s="112"/>
      <c r="AA413" s="112"/>
      <c r="AB413" s="112"/>
      <c r="AC413" s="111"/>
      <c r="AD413" s="111"/>
      <c r="AE413" s="111"/>
      <c r="AF413" s="111"/>
      <c r="AG413" s="111"/>
      <c r="AH413" s="111"/>
      <c r="AI413" s="110"/>
      <c r="AJ413" s="110"/>
      <c r="AK413" s="110"/>
      <c r="AL413" s="110"/>
      <c r="AM413" s="110"/>
      <c r="AN413" s="110"/>
      <c r="AO413" s="110"/>
      <c r="AP413" s="110"/>
      <c r="AQ413" s="110"/>
      <c r="AR413" s="110"/>
      <c r="AS413" s="110"/>
      <c r="AT413" s="110"/>
      <c r="AU413" s="110"/>
      <c r="AV413" s="110"/>
      <c r="AW413" s="110"/>
      <c r="AX413" s="110"/>
      <c r="AY413" s="110"/>
      <c r="AZ413" s="110"/>
      <c r="BA413" s="110"/>
      <c r="BB413" s="110"/>
      <c r="BC413" s="110"/>
      <c r="BD413" s="110"/>
      <c r="BE413" s="110"/>
      <c r="BF413" s="110"/>
      <c r="BG413" s="110"/>
      <c r="BH413" s="110"/>
      <c r="BI413" s="110"/>
      <c r="BJ413" s="110"/>
      <c r="BK413" s="110"/>
      <c r="BL413" s="110"/>
      <c r="BM413" s="110"/>
      <c r="BN413" s="110"/>
      <c r="BO413" s="110"/>
      <c r="BP413" s="110"/>
      <c r="BQ413" s="110"/>
      <c r="BR413" s="110"/>
      <c r="BS413" s="110"/>
      <c r="BT413" s="110"/>
      <c r="BU413" s="110"/>
      <c r="BV413" s="110"/>
      <c r="BW413" s="110"/>
      <c r="BX413" s="110"/>
      <c r="BY413" s="110"/>
      <c r="BZ413" s="110"/>
      <c r="CA413" s="110"/>
      <c r="CB413" s="110"/>
      <c r="CC413" s="110"/>
      <c r="CD413" s="110"/>
      <c r="CE413" s="110"/>
      <c r="CF413" s="110"/>
      <c r="CG413" s="110"/>
      <c r="CH413" s="110"/>
      <c r="CI413" s="110"/>
      <c r="CJ413" s="110"/>
      <c r="CK413" s="110"/>
      <c r="CL413" s="110"/>
      <c r="CM413" s="110"/>
      <c r="CN413" s="110"/>
      <c r="CO413" s="110"/>
    </row>
    <row r="414" spans="1:93">
      <c r="A414" s="110"/>
      <c r="B414" s="110"/>
      <c r="C414" s="110"/>
      <c r="D414" s="110"/>
      <c r="E414" s="110"/>
      <c r="F414" s="110"/>
      <c r="G414" s="110"/>
      <c r="H414" s="110"/>
      <c r="I414" s="110"/>
      <c r="J414" s="110"/>
      <c r="K414" s="110"/>
      <c r="L414" s="110"/>
      <c r="M414" s="110"/>
      <c r="N414" s="110"/>
      <c r="O414" s="110"/>
      <c r="P414" s="110"/>
      <c r="Q414" s="110"/>
      <c r="R414" s="110"/>
      <c r="S414" s="110"/>
      <c r="T414" s="110"/>
      <c r="U414" s="111"/>
      <c r="V414" s="111"/>
      <c r="W414" s="111"/>
      <c r="X414" s="112"/>
      <c r="Y414" s="112"/>
      <c r="Z414" s="112"/>
      <c r="AA414" s="112"/>
      <c r="AB414" s="112"/>
      <c r="AC414" s="111"/>
      <c r="AD414" s="111"/>
      <c r="AE414" s="111"/>
      <c r="AF414" s="111"/>
      <c r="AG414" s="111"/>
      <c r="AH414" s="111"/>
      <c r="AI414" s="110"/>
      <c r="AJ414" s="110"/>
      <c r="AK414" s="110"/>
      <c r="AL414" s="110"/>
      <c r="AM414" s="110"/>
      <c r="AN414" s="110"/>
      <c r="AO414" s="110"/>
      <c r="AP414" s="110"/>
      <c r="AQ414" s="110"/>
      <c r="AR414" s="110"/>
      <c r="AS414" s="110"/>
      <c r="AT414" s="110"/>
      <c r="AU414" s="110"/>
      <c r="AV414" s="110"/>
      <c r="AW414" s="110"/>
      <c r="AX414" s="110"/>
      <c r="AY414" s="110"/>
      <c r="AZ414" s="110"/>
      <c r="BA414" s="110"/>
      <c r="BB414" s="110"/>
      <c r="BC414" s="110"/>
      <c r="BD414" s="110"/>
      <c r="BE414" s="110"/>
      <c r="BF414" s="110"/>
      <c r="BG414" s="110"/>
      <c r="BH414" s="110"/>
      <c r="BI414" s="110"/>
      <c r="BJ414" s="110"/>
      <c r="BK414" s="110"/>
      <c r="BL414" s="110"/>
      <c r="BM414" s="110"/>
      <c r="BN414" s="110"/>
      <c r="BO414" s="110"/>
      <c r="BP414" s="110"/>
      <c r="BQ414" s="110"/>
      <c r="BR414" s="110"/>
      <c r="BS414" s="110"/>
      <c r="BT414" s="110"/>
      <c r="BU414" s="110"/>
      <c r="BV414" s="110"/>
      <c r="BW414" s="110"/>
      <c r="BX414" s="110"/>
      <c r="BY414" s="110"/>
      <c r="BZ414" s="110"/>
      <c r="CA414" s="110"/>
      <c r="CB414" s="110"/>
      <c r="CC414" s="110"/>
      <c r="CD414" s="110"/>
      <c r="CE414" s="110"/>
      <c r="CF414" s="110"/>
      <c r="CG414" s="110"/>
      <c r="CH414" s="110"/>
      <c r="CI414" s="110"/>
      <c r="CJ414" s="110"/>
      <c r="CK414" s="110"/>
      <c r="CL414" s="110"/>
      <c r="CM414" s="110"/>
      <c r="CN414" s="110"/>
      <c r="CO414" s="110"/>
    </row>
    <row r="415" spans="1:93">
      <c r="A415" s="110"/>
      <c r="B415" s="110"/>
      <c r="C415" s="110"/>
      <c r="D415" s="110"/>
      <c r="E415" s="110"/>
      <c r="F415" s="110"/>
      <c r="G415" s="110"/>
      <c r="H415" s="110"/>
      <c r="I415" s="110"/>
      <c r="J415" s="110"/>
      <c r="K415" s="110"/>
      <c r="L415" s="110"/>
      <c r="M415" s="110"/>
      <c r="N415" s="110"/>
      <c r="O415" s="110"/>
      <c r="P415" s="110"/>
      <c r="Q415" s="110"/>
      <c r="R415" s="110"/>
      <c r="S415" s="110"/>
      <c r="T415" s="110"/>
      <c r="U415" s="111"/>
      <c r="V415" s="111"/>
      <c r="W415" s="111"/>
      <c r="X415" s="112"/>
      <c r="Y415" s="112"/>
      <c r="Z415" s="112"/>
      <c r="AA415" s="112"/>
      <c r="AB415" s="112"/>
      <c r="AC415" s="111"/>
      <c r="AD415" s="111"/>
      <c r="AE415" s="111"/>
      <c r="AF415" s="111"/>
      <c r="AG415" s="111"/>
      <c r="AH415" s="111"/>
      <c r="AI415" s="110"/>
      <c r="AJ415" s="110"/>
      <c r="AK415" s="110"/>
      <c r="AL415" s="110"/>
      <c r="AM415" s="110"/>
      <c r="AN415" s="110"/>
      <c r="AO415" s="110"/>
      <c r="AP415" s="110"/>
      <c r="AQ415" s="110"/>
      <c r="AR415" s="110"/>
      <c r="AS415" s="110"/>
      <c r="AT415" s="110"/>
      <c r="AU415" s="110"/>
      <c r="AV415" s="110"/>
      <c r="AW415" s="110"/>
      <c r="AX415" s="110"/>
      <c r="AY415" s="110"/>
      <c r="AZ415" s="110"/>
      <c r="BA415" s="110"/>
      <c r="BB415" s="110"/>
      <c r="BC415" s="110"/>
      <c r="BD415" s="110"/>
      <c r="BE415" s="110"/>
      <c r="BF415" s="110"/>
      <c r="BG415" s="110"/>
      <c r="BH415" s="110"/>
      <c r="BI415" s="110"/>
      <c r="BJ415" s="110"/>
      <c r="BK415" s="110"/>
      <c r="BL415" s="110"/>
      <c r="BM415" s="110"/>
      <c r="BN415" s="110"/>
      <c r="BO415" s="110"/>
      <c r="BP415" s="110"/>
      <c r="BQ415" s="110"/>
      <c r="BR415" s="110"/>
      <c r="BS415" s="110"/>
      <c r="BT415" s="110"/>
      <c r="BU415" s="110"/>
      <c r="BV415" s="110"/>
      <c r="BW415" s="110"/>
      <c r="BX415" s="110"/>
      <c r="BY415" s="110"/>
      <c r="BZ415" s="110"/>
      <c r="CA415" s="110"/>
      <c r="CB415" s="110"/>
      <c r="CC415" s="110"/>
      <c r="CD415" s="110"/>
      <c r="CE415" s="110"/>
      <c r="CF415" s="110"/>
      <c r="CG415" s="110"/>
      <c r="CH415" s="110"/>
      <c r="CI415" s="110"/>
      <c r="CJ415" s="110"/>
      <c r="CK415" s="110"/>
      <c r="CL415" s="110"/>
      <c r="CM415" s="110"/>
      <c r="CN415" s="110"/>
      <c r="CO415" s="110"/>
    </row>
    <row r="416" spans="1:93">
      <c r="A416" s="110"/>
      <c r="B416" s="110"/>
      <c r="C416" s="110"/>
      <c r="D416" s="110"/>
      <c r="E416" s="110"/>
      <c r="F416" s="110"/>
      <c r="G416" s="110"/>
      <c r="H416" s="110"/>
      <c r="I416" s="110"/>
      <c r="J416" s="110"/>
      <c r="K416" s="110"/>
      <c r="L416" s="110"/>
      <c r="M416" s="110"/>
      <c r="N416" s="110"/>
      <c r="O416" s="110"/>
      <c r="P416" s="110"/>
      <c r="Q416" s="110"/>
      <c r="R416" s="110"/>
      <c r="S416" s="110"/>
      <c r="T416" s="110"/>
      <c r="U416" s="111"/>
      <c r="V416" s="111"/>
      <c r="W416" s="111"/>
      <c r="X416" s="112"/>
      <c r="Y416" s="112"/>
      <c r="Z416" s="112"/>
      <c r="AA416" s="112"/>
      <c r="AB416" s="112"/>
      <c r="AC416" s="111"/>
      <c r="AD416" s="111"/>
      <c r="AE416" s="111"/>
      <c r="AF416" s="111"/>
      <c r="AG416" s="111"/>
      <c r="AH416" s="111"/>
      <c r="AI416" s="110"/>
      <c r="AJ416" s="110"/>
      <c r="AK416" s="110"/>
      <c r="AL416" s="110"/>
      <c r="AM416" s="110"/>
      <c r="AN416" s="110"/>
      <c r="AO416" s="110"/>
      <c r="AP416" s="110"/>
      <c r="AQ416" s="110"/>
      <c r="AR416" s="110"/>
      <c r="AS416" s="110"/>
      <c r="AT416" s="110"/>
      <c r="AU416" s="110"/>
      <c r="AV416" s="110"/>
      <c r="AW416" s="110"/>
      <c r="AX416" s="110"/>
      <c r="AY416" s="110"/>
      <c r="AZ416" s="110"/>
      <c r="BA416" s="110"/>
      <c r="BB416" s="110"/>
      <c r="BC416" s="110"/>
      <c r="BD416" s="110"/>
      <c r="BE416" s="110"/>
      <c r="BF416" s="110"/>
      <c r="BG416" s="110"/>
      <c r="BH416" s="110"/>
      <c r="BI416" s="110"/>
      <c r="BJ416" s="110"/>
      <c r="BK416" s="110"/>
      <c r="BL416" s="110"/>
      <c r="BM416" s="110"/>
      <c r="BN416" s="110"/>
      <c r="BO416" s="110"/>
      <c r="BP416" s="110"/>
      <c r="BQ416" s="110"/>
      <c r="BR416" s="110"/>
      <c r="BS416" s="110"/>
      <c r="BT416" s="110"/>
      <c r="BU416" s="110"/>
      <c r="BV416" s="110"/>
      <c r="BW416" s="110"/>
      <c r="BX416" s="110"/>
      <c r="BY416" s="110"/>
      <c r="BZ416" s="110"/>
      <c r="CA416" s="110"/>
      <c r="CB416" s="110"/>
      <c r="CC416" s="110"/>
      <c r="CD416" s="110"/>
      <c r="CE416" s="110"/>
      <c r="CF416" s="110"/>
      <c r="CG416" s="110"/>
      <c r="CH416" s="110"/>
      <c r="CI416" s="110"/>
      <c r="CJ416" s="110"/>
      <c r="CK416" s="110"/>
      <c r="CL416" s="110"/>
      <c r="CM416" s="110"/>
      <c r="CN416" s="110"/>
      <c r="CO416" s="110"/>
    </row>
    <row r="417" spans="1:93">
      <c r="A417" s="110"/>
      <c r="B417" s="110"/>
      <c r="C417" s="110"/>
      <c r="D417" s="110"/>
      <c r="E417" s="110"/>
      <c r="F417" s="110"/>
      <c r="G417" s="110"/>
      <c r="H417" s="110"/>
      <c r="I417" s="110"/>
      <c r="J417" s="110"/>
      <c r="K417" s="110"/>
      <c r="L417" s="110"/>
      <c r="M417" s="110"/>
      <c r="N417" s="110"/>
      <c r="O417" s="110"/>
      <c r="P417" s="110"/>
      <c r="Q417" s="110"/>
      <c r="R417" s="110"/>
      <c r="S417" s="110"/>
      <c r="T417" s="110"/>
      <c r="U417" s="111"/>
      <c r="V417" s="111"/>
      <c r="W417" s="111"/>
      <c r="X417" s="112"/>
      <c r="Y417" s="112"/>
      <c r="Z417" s="112"/>
      <c r="AA417" s="112"/>
      <c r="AB417" s="112"/>
      <c r="AC417" s="111"/>
      <c r="AD417" s="111"/>
      <c r="AE417" s="111"/>
      <c r="AF417" s="111"/>
      <c r="AG417" s="111"/>
      <c r="AH417" s="111"/>
      <c r="AI417" s="110"/>
      <c r="AJ417" s="110"/>
      <c r="AK417" s="110"/>
      <c r="AL417" s="110"/>
      <c r="AM417" s="110"/>
      <c r="AN417" s="110"/>
      <c r="AO417" s="110"/>
      <c r="AP417" s="110"/>
      <c r="AQ417" s="110"/>
      <c r="AR417" s="110"/>
      <c r="AS417" s="110"/>
      <c r="AT417" s="110"/>
      <c r="AU417" s="110"/>
      <c r="AV417" s="110"/>
      <c r="AW417" s="110"/>
      <c r="AX417" s="110"/>
      <c r="AY417" s="110"/>
      <c r="AZ417" s="110"/>
      <c r="BA417" s="110"/>
      <c r="BB417" s="110"/>
      <c r="BC417" s="110"/>
      <c r="BD417" s="110"/>
      <c r="BE417" s="110"/>
      <c r="BF417" s="110"/>
      <c r="BG417" s="110"/>
      <c r="BH417" s="110"/>
      <c r="BI417" s="110"/>
      <c r="BJ417" s="110"/>
      <c r="BK417" s="110"/>
      <c r="BL417" s="110"/>
      <c r="BM417" s="110"/>
      <c r="BN417" s="110"/>
      <c r="BO417" s="110"/>
      <c r="BP417" s="110"/>
      <c r="BQ417" s="110"/>
      <c r="BR417" s="110"/>
      <c r="BS417" s="110"/>
      <c r="BT417" s="110"/>
      <c r="BU417" s="110"/>
      <c r="BV417" s="110"/>
      <c r="BW417" s="110"/>
      <c r="BX417" s="110"/>
      <c r="BY417" s="110"/>
      <c r="BZ417" s="110"/>
      <c r="CA417" s="110"/>
      <c r="CB417" s="110"/>
      <c r="CC417" s="110"/>
      <c r="CD417" s="110"/>
      <c r="CE417" s="110"/>
      <c r="CF417" s="110"/>
      <c r="CG417" s="110"/>
      <c r="CH417" s="110"/>
      <c r="CI417" s="110"/>
      <c r="CJ417" s="110"/>
      <c r="CK417" s="110"/>
      <c r="CL417" s="110"/>
      <c r="CM417" s="110"/>
      <c r="CN417" s="110"/>
      <c r="CO417" s="110"/>
    </row>
    <row r="418" spans="1:93">
      <c r="A418" s="110"/>
      <c r="B418" s="110"/>
      <c r="C418" s="110"/>
      <c r="D418" s="110"/>
      <c r="E418" s="110"/>
      <c r="F418" s="110"/>
      <c r="G418" s="110"/>
      <c r="H418" s="110"/>
      <c r="I418" s="110"/>
      <c r="J418" s="110"/>
      <c r="K418" s="110"/>
      <c r="L418" s="110"/>
      <c r="M418" s="110"/>
      <c r="N418" s="110"/>
      <c r="O418" s="110"/>
      <c r="P418" s="110"/>
      <c r="Q418" s="110"/>
      <c r="R418" s="110"/>
      <c r="S418" s="110"/>
      <c r="T418" s="110"/>
      <c r="U418" s="111"/>
      <c r="V418" s="111"/>
      <c r="W418" s="111"/>
      <c r="X418" s="112"/>
      <c r="Y418" s="112"/>
      <c r="Z418" s="112"/>
      <c r="AA418" s="112"/>
      <c r="AB418" s="112"/>
      <c r="AC418" s="111"/>
      <c r="AD418" s="111"/>
      <c r="AE418" s="111"/>
      <c r="AF418" s="111"/>
      <c r="AG418" s="111"/>
      <c r="AH418" s="111"/>
      <c r="AI418" s="110"/>
      <c r="AJ418" s="110"/>
      <c r="AK418" s="110"/>
      <c r="AL418" s="110"/>
      <c r="AM418" s="110"/>
      <c r="AN418" s="110"/>
      <c r="AO418" s="110"/>
      <c r="AP418" s="110"/>
      <c r="AQ418" s="110"/>
      <c r="AR418" s="110"/>
      <c r="AS418" s="110"/>
      <c r="AT418" s="110"/>
      <c r="AU418" s="110"/>
      <c r="AV418" s="110"/>
      <c r="AW418" s="110"/>
      <c r="AX418" s="110"/>
      <c r="AY418" s="110"/>
      <c r="AZ418" s="110"/>
      <c r="BA418" s="110"/>
      <c r="BB418" s="110"/>
      <c r="BC418" s="110"/>
      <c r="BD418" s="110"/>
      <c r="BE418" s="110"/>
      <c r="BF418" s="110"/>
      <c r="BG418" s="110"/>
      <c r="BH418" s="110"/>
      <c r="BI418" s="110"/>
      <c r="BJ418" s="110"/>
      <c r="BK418" s="110"/>
      <c r="BL418" s="110"/>
      <c r="BM418" s="110"/>
      <c r="BN418" s="110"/>
      <c r="BO418" s="110"/>
      <c r="BP418" s="110"/>
      <c r="BQ418" s="110"/>
      <c r="BR418" s="110"/>
      <c r="BS418" s="110"/>
      <c r="BT418" s="110"/>
      <c r="BU418" s="110"/>
      <c r="BV418" s="110"/>
      <c r="BW418" s="110"/>
      <c r="BX418" s="110"/>
      <c r="BY418" s="110"/>
      <c r="BZ418" s="110"/>
      <c r="CA418" s="110"/>
      <c r="CB418" s="110"/>
      <c r="CC418" s="110"/>
      <c r="CD418" s="110"/>
      <c r="CE418" s="110"/>
      <c r="CF418" s="110"/>
      <c r="CG418" s="110"/>
      <c r="CH418" s="110"/>
      <c r="CI418" s="110"/>
      <c r="CJ418" s="110"/>
      <c r="CK418" s="110"/>
      <c r="CL418" s="110"/>
      <c r="CM418" s="110"/>
      <c r="CN418" s="110"/>
      <c r="CO418" s="110"/>
    </row>
    <row r="419" spans="1:93">
      <c r="A419" s="110"/>
      <c r="B419" s="110"/>
      <c r="C419" s="110"/>
      <c r="D419" s="110"/>
      <c r="E419" s="110"/>
      <c r="F419" s="110"/>
      <c r="G419" s="110"/>
      <c r="H419" s="110"/>
      <c r="I419" s="110"/>
      <c r="J419" s="110"/>
      <c r="K419" s="110"/>
      <c r="L419" s="110"/>
      <c r="M419" s="110"/>
      <c r="N419" s="110"/>
      <c r="O419" s="110"/>
      <c r="P419" s="110"/>
      <c r="Q419" s="110"/>
      <c r="R419" s="110"/>
      <c r="S419" s="110"/>
      <c r="T419" s="110"/>
      <c r="U419" s="111"/>
      <c r="V419" s="111"/>
      <c r="W419" s="111"/>
      <c r="X419" s="112"/>
      <c r="Y419" s="112"/>
      <c r="Z419" s="112"/>
      <c r="AA419" s="112"/>
      <c r="AB419" s="112"/>
      <c r="AC419" s="111"/>
      <c r="AD419" s="111"/>
      <c r="AE419" s="111"/>
      <c r="AF419" s="111"/>
      <c r="AG419" s="111"/>
      <c r="AH419" s="111"/>
      <c r="AI419" s="110"/>
      <c r="AJ419" s="110"/>
      <c r="AK419" s="110"/>
      <c r="AL419" s="110"/>
      <c r="AM419" s="110"/>
      <c r="AN419" s="110"/>
      <c r="AO419" s="110"/>
      <c r="AP419" s="110"/>
      <c r="AQ419" s="110"/>
      <c r="AR419" s="110"/>
      <c r="AS419" s="110"/>
      <c r="AT419" s="110"/>
      <c r="AU419" s="110"/>
      <c r="AV419" s="110"/>
      <c r="AW419" s="110"/>
      <c r="AX419" s="110"/>
      <c r="AY419" s="110"/>
      <c r="AZ419" s="110"/>
      <c r="BA419" s="110"/>
      <c r="BB419" s="110"/>
      <c r="BC419" s="110"/>
      <c r="BD419" s="110"/>
      <c r="BE419" s="110"/>
      <c r="BF419" s="110"/>
      <c r="BG419" s="110"/>
      <c r="BH419" s="110"/>
      <c r="BI419" s="110"/>
      <c r="BJ419" s="110"/>
      <c r="BK419" s="110"/>
      <c r="BL419" s="110"/>
      <c r="BM419" s="110"/>
      <c r="BN419" s="110"/>
      <c r="BO419" s="110"/>
      <c r="BP419" s="110"/>
      <c r="BQ419" s="110"/>
      <c r="BR419" s="110"/>
      <c r="BS419" s="110"/>
      <c r="BT419" s="110"/>
      <c r="BU419" s="110"/>
      <c r="BV419" s="110"/>
      <c r="BW419" s="110"/>
      <c r="BX419" s="110"/>
      <c r="BY419" s="110"/>
      <c r="BZ419" s="110"/>
      <c r="CA419" s="110"/>
      <c r="CB419" s="110"/>
      <c r="CC419" s="110"/>
      <c r="CD419" s="110"/>
      <c r="CE419" s="110"/>
      <c r="CF419" s="110"/>
      <c r="CG419" s="110"/>
      <c r="CH419" s="110"/>
      <c r="CI419" s="110"/>
      <c r="CJ419" s="110"/>
      <c r="CK419" s="110"/>
      <c r="CL419" s="110"/>
      <c r="CM419" s="110"/>
      <c r="CN419" s="110"/>
      <c r="CO419" s="110"/>
    </row>
    <row r="420" spans="1:93">
      <c r="A420" s="110"/>
      <c r="B420" s="110"/>
      <c r="C420" s="110"/>
      <c r="D420" s="110"/>
      <c r="E420" s="110"/>
      <c r="F420" s="110"/>
      <c r="G420" s="110"/>
      <c r="H420" s="110"/>
      <c r="I420" s="110"/>
      <c r="J420" s="110"/>
      <c r="K420" s="110"/>
      <c r="L420" s="110"/>
      <c r="M420" s="110"/>
      <c r="N420" s="110"/>
      <c r="O420" s="110"/>
      <c r="P420" s="110"/>
      <c r="Q420" s="110"/>
      <c r="R420" s="110"/>
      <c r="S420" s="110"/>
      <c r="T420" s="110"/>
      <c r="U420" s="111"/>
      <c r="V420" s="111"/>
      <c r="W420" s="111"/>
      <c r="X420" s="112"/>
      <c r="Y420" s="112"/>
      <c r="Z420" s="112"/>
      <c r="AA420" s="112"/>
      <c r="AB420" s="112"/>
      <c r="AC420" s="111"/>
      <c r="AD420" s="111"/>
      <c r="AE420" s="111"/>
      <c r="AF420" s="111"/>
      <c r="AG420" s="111"/>
      <c r="AH420" s="111"/>
      <c r="AI420" s="110"/>
      <c r="AJ420" s="110"/>
      <c r="AK420" s="110"/>
      <c r="AL420" s="110"/>
      <c r="AM420" s="110"/>
      <c r="AN420" s="110"/>
      <c r="AO420" s="110"/>
      <c r="AP420" s="110"/>
      <c r="AQ420" s="110"/>
      <c r="AR420" s="110"/>
      <c r="AS420" s="110"/>
      <c r="AT420" s="110"/>
      <c r="AU420" s="110"/>
      <c r="AV420" s="110"/>
      <c r="AW420" s="110"/>
      <c r="AX420" s="110"/>
      <c r="AY420" s="110"/>
      <c r="AZ420" s="110"/>
      <c r="BA420" s="110"/>
      <c r="BB420" s="110"/>
      <c r="BC420" s="110"/>
      <c r="BD420" s="110"/>
      <c r="BE420" s="110"/>
      <c r="BF420" s="110"/>
      <c r="BG420" s="110"/>
      <c r="BH420" s="110"/>
      <c r="BI420" s="110"/>
      <c r="BJ420" s="110"/>
      <c r="BK420" s="110"/>
      <c r="BL420" s="110"/>
      <c r="BM420" s="110"/>
      <c r="BN420" s="110"/>
      <c r="BO420" s="110"/>
      <c r="BP420" s="110"/>
      <c r="BQ420" s="110"/>
      <c r="BR420" s="110"/>
      <c r="BS420" s="110"/>
      <c r="BT420" s="110"/>
      <c r="BU420" s="110"/>
      <c r="BV420" s="110"/>
      <c r="BW420" s="110"/>
      <c r="BX420" s="110"/>
      <c r="BY420" s="110"/>
      <c r="BZ420" s="110"/>
      <c r="CA420" s="110"/>
      <c r="CB420" s="110"/>
      <c r="CC420" s="110"/>
      <c r="CD420" s="110"/>
      <c r="CE420" s="110"/>
      <c r="CF420" s="110"/>
      <c r="CG420" s="110"/>
      <c r="CH420" s="110"/>
      <c r="CI420" s="110"/>
      <c r="CJ420" s="110"/>
      <c r="CK420" s="110"/>
      <c r="CL420" s="110"/>
      <c r="CM420" s="110"/>
      <c r="CN420" s="110"/>
      <c r="CO420" s="110"/>
    </row>
    <row r="421" spans="1:93">
      <c r="A421" s="110"/>
      <c r="B421" s="110"/>
      <c r="C421" s="110"/>
      <c r="D421" s="110"/>
      <c r="E421" s="110"/>
      <c r="F421" s="110"/>
      <c r="G421" s="110"/>
      <c r="H421" s="110"/>
      <c r="I421" s="110"/>
      <c r="J421" s="110"/>
      <c r="K421" s="110"/>
      <c r="L421" s="110"/>
      <c r="M421" s="110"/>
      <c r="N421" s="110"/>
      <c r="O421" s="110"/>
      <c r="P421" s="110"/>
      <c r="Q421" s="110"/>
      <c r="R421" s="110"/>
      <c r="S421" s="110"/>
      <c r="T421" s="110"/>
      <c r="U421" s="111"/>
      <c r="V421" s="111"/>
      <c r="W421" s="111"/>
      <c r="X421" s="112"/>
      <c r="Y421" s="112"/>
      <c r="Z421" s="112"/>
      <c r="AA421" s="112"/>
      <c r="AB421" s="112"/>
      <c r="AC421" s="111"/>
      <c r="AD421" s="111"/>
      <c r="AE421" s="111"/>
      <c r="AF421" s="111"/>
      <c r="AG421" s="111"/>
      <c r="AH421" s="111"/>
      <c r="AI421" s="110"/>
      <c r="AJ421" s="110"/>
      <c r="AK421" s="110"/>
      <c r="AL421" s="110"/>
      <c r="AM421" s="110"/>
      <c r="AN421" s="110"/>
      <c r="AO421" s="110"/>
      <c r="AP421" s="110"/>
      <c r="AQ421" s="110"/>
      <c r="AR421" s="110"/>
      <c r="AS421" s="110"/>
      <c r="AT421" s="110"/>
      <c r="AU421" s="110"/>
      <c r="AV421" s="110"/>
      <c r="AW421" s="110"/>
      <c r="AX421" s="110"/>
      <c r="AY421" s="110"/>
      <c r="AZ421" s="110"/>
      <c r="BA421" s="110"/>
      <c r="BB421" s="110"/>
      <c r="BC421" s="110"/>
      <c r="BD421" s="110"/>
      <c r="BE421" s="110"/>
      <c r="BF421" s="110"/>
      <c r="BG421" s="110"/>
      <c r="BH421" s="110"/>
      <c r="BI421" s="110"/>
      <c r="BJ421" s="110"/>
      <c r="BK421" s="110"/>
      <c r="BL421" s="110"/>
      <c r="BM421" s="110"/>
      <c r="BN421" s="110"/>
      <c r="BO421" s="110"/>
      <c r="BP421" s="110"/>
      <c r="BQ421" s="110"/>
      <c r="BR421" s="110"/>
      <c r="BS421" s="110"/>
      <c r="BT421" s="110"/>
      <c r="BU421" s="110"/>
      <c r="BV421" s="110"/>
      <c r="BW421" s="110"/>
      <c r="BX421" s="110"/>
      <c r="BY421" s="110"/>
      <c r="BZ421" s="110"/>
      <c r="CA421" s="110"/>
      <c r="CB421" s="110"/>
      <c r="CC421" s="110"/>
      <c r="CD421" s="110"/>
      <c r="CE421" s="110"/>
      <c r="CF421" s="110"/>
      <c r="CG421" s="110"/>
      <c r="CH421" s="110"/>
      <c r="CI421" s="110"/>
      <c r="CJ421" s="110"/>
      <c r="CK421" s="110"/>
      <c r="CL421" s="110"/>
      <c r="CM421" s="110"/>
      <c r="CN421" s="110"/>
      <c r="CO421" s="110"/>
    </row>
    <row r="422" spans="1:93">
      <c r="A422" s="110"/>
      <c r="B422" s="110"/>
      <c r="C422" s="110"/>
      <c r="D422" s="110"/>
      <c r="E422" s="110"/>
      <c r="F422" s="110"/>
      <c r="G422" s="110"/>
      <c r="H422" s="110"/>
      <c r="I422" s="110"/>
      <c r="J422" s="110"/>
      <c r="K422" s="110"/>
      <c r="L422" s="110"/>
      <c r="M422" s="110"/>
      <c r="N422" s="110"/>
      <c r="O422" s="110"/>
      <c r="P422" s="110"/>
      <c r="Q422" s="110"/>
      <c r="R422" s="110"/>
      <c r="S422" s="110"/>
      <c r="T422" s="110"/>
      <c r="U422" s="111"/>
      <c r="V422" s="111"/>
      <c r="W422" s="111"/>
      <c r="X422" s="112"/>
      <c r="Y422" s="112"/>
      <c r="Z422" s="112"/>
      <c r="AA422" s="112"/>
      <c r="AB422" s="112"/>
      <c r="AC422" s="111"/>
      <c r="AD422" s="111"/>
      <c r="AE422" s="111"/>
      <c r="AF422" s="111"/>
      <c r="AG422" s="111"/>
      <c r="AH422" s="111"/>
      <c r="AI422" s="110"/>
      <c r="AJ422" s="110"/>
      <c r="AK422" s="110"/>
      <c r="AL422" s="110"/>
      <c r="AM422" s="110"/>
      <c r="AN422" s="110"/>
      <c r="AO422" s="110"/>
      <c r="AP422" s="110"/>
      <c r="AQ422" s="110"/>
      <c r="AR422" s="110"/>
      <c r="AS422" s="110"/>
      <c r="AT422" s="110"/>
      <c r="AU422" s="110"/>
      <c r="AV422" s="110"/>
      <c r="AW422" s="110"/>
      <c r="AX422" s="110"/>
      <c r="AY422" s="110"/>
      <c r="AZ422" s="110"/>
      <c r="BA422" s="110"/>
      <c r="BB422" s="110"/>
      <c r="BC422" s="110"/>
      <c r="BD422" s="110"/>
      <c r="BE422" s="110"/>
      <c r="BF422" s="110"/>
      <c r="BG422" s="110"/>
      <c r="BH422" s="110"/>
      <c r="BI422" s="110"/>
      <c r="BJ422" s="110"/>
      <c r="BK422" s="110"/>
      <c r="BL422" s="110"/>
      <c r="BM422" s="110"/>
      <c r="BN422" s="110"/>
      <c r="BO422" s="110"/>
      <c r="BP422" s="110"/>
      <c r="BQ422" s="110"/>
      <c r="BR422" s="110"/>
      <c r="BS422" s="110"/>
      <c r="BT422" s="110"/>
      <c r="BU422" s="110"/>
      <c r="BV422" s="110"/>
      <c r="BW422" s="110"/>
      <c r="BX422" s="110"/>
      <c r="BY422" s="110"/>
      <c r="BZ422" s="110"/>
      <c r="CA422" s="110"/>
      <c r="CB422" s="110"/>
      <c r="CC422" s="110"/>
      <c r="CD422" s="110"/>
      <c r="CE422" s="110"/>
      <c r="CF422" s="110"/>
      <c r="CG422" s="110"/>
      <c r="CH422" s="110"/>
      <c r="CI422" s="110"/>
      <c r="CJ422" s="110"/>
      <c r="CK422" s="110"/>
      <c r="CL422" s="110"/>
      <c r="CM422" s="110"/>
      <c r="CN422" s="110"/>
      <c r="CO422" s="110"/>
    </row>
    <row r="423" spans="1:93">
      <c r="A423" s="110"/>
      <c r="B423" s="110"/>
      <c r="C423" s="110"/>
      <c r="D423" s="110"/>
      <c r="E423" s="110"/>
      <c r="F423" s="110"/>
      <c r="G423" s="110"/>
      <c r="H423" s="110"/>
      <c r="I423" s="110"/>
      <c r="J423" s="110"/>
      <c r="K423" s="110"/>
      <c r="L423" s="110"/>
      <c r="M423" s="110"/>
      <c r="N423" s="110"/>
      <c r="O423" s="110"/>
      <c r="P423" s="110"/>
      <c r="Q423" s="110"/>
      <c r="R423" s="110"/>
      <c r="S423" s="110"/>
      <c r="T423" s="110"/>
      <c r="U423" s="111"/>
      <c r="V423" s="111"/>
      <c r="W423" s="111"/>
      <c r="X423" s="112"/>
      <c r="Y423" s="112"/>
      <c r="Z423" s="112"/>
      <c r="AA423" s="112"/>
      <c r="AB423" s="112"/>
      <c r="AC423" s="111"/>
      <c r="AD423" s="111"/>
      <c r="AE423" s="111"/>
      <c r="AF423" s="111"/>
      <c r="AG423" s="111"/>
      <c r="AH423" s="111"/>
      <c r="AI423" s="110"/>
      <c r="AJ423" s="110"/>
      <c r="AK423" s="110"/>
      <c r="AL423" s="110"/>
      <c r="AM423" s="110"/>
      <c r="AN423" s="110"/>
      <c r="AO423" s="110"/>
      <c r="AP423" s="110"/>
      <c r="AQ423" s="110"/>
      <c r="AR423" s="110"/>
      <c r="AS423" s="110"/>
      <c r="AT423" s="110"/>
      <c r="AU423" s="110"/>
      <c r="AV423" s="110"/>
      <c r="AW423" s="110"/>
      <c r="AX423" s="110"/>
      <c r="AY423" s="110"/>
      <c r="AZ423" s="110"/>
      <c r="BA423" s="110"/>
      <c r="BB423" s="110"/>
      <c r="BC423" s="110"/>
      <c r="BD423" s="110"/>
      <c r="BE423" s="110"/>
      <c r="BF423" s="110"/>
      <c r="BG423" s="110"/>
      <c r="BH423" s="110"/>
      <c r="BI423" s="110"/>
      <c r="BJ423" s="110"/>
      <c r="BK423" s="110"/>
      <c r="BL423" s="110"/>
      <c r="BM423" s="110"/>
      <c r="BN423" s="110"/>
      <c r="BO423" s="110"/>
      <c r="BP423" s="110"/>
      <c r="BQ423" s="110"/>
      <c r="BR423" s="110"/>
      <c r="BS423" s="110"/>
      <c r="BT423" s="110"/>
      <c r="BU423" s="110"/>
      <c r="BV423" s="110"/>
      <c r="BW423" s="110"/>
      <c r="BX423" s="110"/>
      <c r="BY423" s="110"/>
      <c r="BZ423" s="110"/>
      <c r="CA423" s="110"/>
      <c r="CB423" s="110"/>
      <c r="CC423" s="110"/>
      <c r="CD423" s="110"/>
      <c r="CE423" s="110"/>
      <c r="CF423" s="110"/>
      <c r="CG423" s="110"/>
      <c r="CH423" s="110"/>
      <c r="CI423" s="110"/>
      <c r="CJ423" s="110"/>
      <c r="CK423" s="110"/>
      <c r="CL423" s="110"/>
      <c r="CM423" s="110"/>
      <c r="CN423" s="110"/>
      <c r="CO423" s="110"/>
    </row>
    <row r="424" spans="1:93">
      <c r="A424" s="110"/>
      <c r="B424" s="110"/>
      <c r="C424" s="110"/>
      <c r="D424" s="110"/>
      <c r="E424" s="110"/>
      <c r="F424" s="110"/>
      <c r="G424" s="110"/>
      <c r="H424" s="110"/>
      <c r="I424" s="110"/>
      <c r="J424" s="110"/>
      <c r="K424" s="110"/>
      <c r="L424" s="110"/>
      <c r="M424" s="110"/>
      <c r="N424" s="110"/>
      <c r="O424" s="110"/>
      <c r="P424" s="110"/>
      <c r="Q424" s="110"/>
      <c r="R424" s="110"/>
      <c r="S424" s="110"/>
      <c r="T424" s="110"/>
      <c r="U424" s="111"/>
      <c r="V424" s="111"/>
      <c r="W424" s="111"/>
      <c r="X424" s="112"/>
      <c r="Y424" s="112"/>
      <c r="Z424" s="112"/>
      <c r="AA424" s="112"/>
      <c r="AB424" s="112"/>
      <c r="AC424" s="111"/>
      <c r="AD424" s="111"/>
      <c r="AE424" s="111"/>
      <c r="AF424" s="111"/>
      <c r="AG424" s="111"/>
      <c r="AH424" s="111"/>
      <c r="AI424" s="110"/>
      <c r="AJ424" s="110"/>
      <c r="AK424" s="110"/>
      <c r="AL424" s="110"/>
      <c r="AM424" s="110"/>
      <c r="AN424" s="110"/>
      <c r="AO424" s="110"/>
      <c r="AP424" s="110"/>
      <c r="AQ424" s="110"/>
      <c r="AR424" s="110"/>
      <c r="AS424" s="110"/>
      <c r="AT424" s="110"/>
      <c r="AU424" s="110"/>
      <c r="AV424" s="110"/>
      <c r="AW424" s="110"/>
      <c r="AX424" s="110"/>
      <c r="AY424" s="110"/>
      <c r="AZ424" s="110"/>
      <c r="BA424" s="110"/>
      <c r="BB424" s="110"/>
      <c r="BC424" s="110"/>
      <c r="BD424" s="110"/>
      <c r="BE424" s="110"/>
      <c r="BF424" s="110"/>
      <c r="BG424" s="110"/>
      <c r="BH424" s="110"/>
      <c r="BI424" s="110"/>
      <c r="BJ424" s="110"/>
      <c r="BK424" s="110"/>
      <c r="BL424" s="110"/>
      <c r="BM424" s="110"/>
      <c r="BN424" s="110"/>
      <c r="BO424" s="110"/>
      <c r="BP424" s="110"/>
      <c r="BQ424" s="110"/>
      <c r="BR424" s="110"/>
      <c r="BS424" s="110"/>
      <c r="BT424" s="110"/>
      <c r="BU424" s="110"/>
      <c r="BV424" s="110"/>
      <c r="BW424" s="110"/>
      <c r="BX424" s="110"/>
      <c r="BY424" s="110"/>
      <c r="BZ424" s="110"/>
      <c r="CA424" s="110"/>
      <c r="CB424" s="110"/>
      <c r="CC424" s="110"/>
      <c r="CD424" s="110"/>
      <c r="CE424" s="110"/>
      <c r="CF424" s="110"/>
      <c r="CG424" s="110"/>
      <c r="CH424" s="110"/>
      <c r="CI424" s="110"/>
      <c r="CJ424" s="110"/>
      <c r="CK424" s="110"/>
      <c r="CL424" s="110"/>
      <c r="CM424" s="110"/>
      <c r="CN424" s="110"/>
      <c r="CO424" s="110"/>
    </row>
    <row r="425" spans="1:93">
      <c r="A425" s="110"/>
      <c r="B425" s="110"/>
      <c r="C425" s="110"/>
      <c r="D425" s="110"/>
      <c r="E425" s="110"/>
      <c r="F425" s="110"/>
      <c r="G425" s="110"/>
      <c r="H425" s="110"/>
      <c r="I425" s="110"/>
      <c r="J425" s="110"/>
      <c r="K425" s="110"/>
      <c r="L425" s="110"/>
      <c r="M425" s="110"/>
      <c r="N425" s="110"/>
      <c r="O425" s="110"/>
      <c r="P425" s="110"/>
      <c r="Q425" s="110"/>
      <c r="R425" s="110"/>
      <c r="S425" s="110"/>
      <c r="T425" s="110"/>
      <c r="U425" s="111"/>
      <c r="V425" s="111"/>
      <c r="W425" s="111"/>
      <c r="X425" s="112"/>
      <c r="Y425" s="112"/>
      <c r="Z425" s="112"/>
      <c r="AA425" s="112"/>
      <c r="AB425" s="112"/>
      <c r="AC425" s="111"/>
      <c r="AD425" s="111"/>
      <c r="AE425" s="111"/>
      <c r="AF425" s="111"/>
      <c r="AG425" s="111"/>
      <c r="AH425" s="111"/>
      <c r="AI425" s="110"/>
      <c r="AJ425" s="110"/>
      <c r="AK425" s="110"/>
      <c r="AL425" s="110"/>
      <c r="AM425" s="110"/>
      <c r="AN425" s="110"/>
      <c r="AO425" s="110"/>
      <c r="AP425" s="110"/>
      <c r="AQ425" s="110"/>
      <c r="AR425" s="110"/>
      <c r="AS425" s="110"/>
      <c r="AT425" s="110"/>
      <c r="AU425" s="110"/>
      <c r="AV425" s="110"/>
      <c r="AW425" s="110"/>
      <c r="AX425" s="110"/>
      <c r="AY425" s="110"/>
      <c r="AZ425" s="110"/>
      <c r="BA425" s="110"/>
      <c r="BB425" s="110"/>
      <c r="BC425" s="110"/>
      <c r="BD425" s="110"/>
      <c r="BE425" s="110"/>
      <c r="BF425" s="110"/>
      <c r="BG425" s="110"/>
      <c r="BH425" s="110"/>
      <c r="BI425" s="110"/>
      <c r="BJ425" s="110"/>
      <c r="BK425" s="110"/>
      <c r="BL425" s="110"/>
      <c r="BM425" s="110"/>
      <c r="BN425" s="110"/>
      <c r="BO425" s="110"/>
      <c r="BP425" s="110"/>
      <c r="BQ425" s="110"/>
      <c r="BR425" s="110"/>
      <c r="BS425" s="110"/>
      <c r="BT425" s="110"/>
      <c r="BU425" s="110"/>
      <c r="BV425" s="110"/>
      <c r="BW425" s="110"/>
      <c r="BX425" s="110"/>
      <c r="BY425" s="110"/>
      <c r="BZ425" s="110"/>
      <c r="CA425" s="110"/>
      <c r="CB425" s="110"/>
      <c r="CC425" s="110"/>
      <c r="CD425" s="110"/>
      <c r="CE425" s="110"/>
      <c r="CF425" s="110"/>
      <c r="CG425" s="110"/>
      <c r="CH425" s="110"/>
      <c r="CI425" s="110"/>
      <c r="CJ425" s="110"/>
      <c r="CK425" s="110"/>
      <c r="CL425" s="110"/>
      <c r="CM425" s="110"/>
      <c r="CN425" s="110"/>
      <c r="CO425" s="110"/>
    </row>
    <row r="426" spans="1:93">
      <c r="A426" s="110"/>
      <c r="B426" s="110"/>
      <c r="C426" s="110"/>
      <c r="D426" s="110"/>
      <c r="E426" s="110"/>
      <c r="F426" s="110"/>
      <c r="G426" s="110"/>
      <c r="H426" s="110"/>
      <c r="I426" s="110"/>
      <c r="J426" s="110"/>
      <c r="K426" s="110"/>
      <c r="L426" s="110"/>
      <c r="M426" s="110"/>
      <c r="N426" s="110"/>
      <c r="O426" s="110"/>
      <c r="P426" s="110"/>
      <c r="Q426" s="110"/>
      <c r="R426" s="110"/>
      <c r="S426" s="110"/>
      <c r="T426" s="110"/>
      <c r="U426" s="111"/>
      <c r="V426" s="111"/>
      <c r="W426" s="111"/>
      <c r="X426" s="112"/>
      <c r="Y426" s="112"/>
      <c r="Z426" s="112"/>
      <c r="AA426" s="112"/>
      <c r="AB426" s="112"/>
      <c r="AC426" s="111"/>
      <c r="AD426" s="111"/>
      <c r="AE426" s="111"/>
      <c r="AF426" s="111"/>
      <c r="AG426" s="111"/>
      <c r="AH426" s="111"/>
      <c r="AI426" s="110"/>
      <c r="AJ426" s="110"/>
      <c r="AK426" s="110"/>
      <c r="AL426" s="110"/>
      <c r="AM426" s="110"/>
      <c r="AN426" s="110"/>
      <c r="AO426" s="110"/>
      <c r="AP426" s="110"/>
      <c r="AQ426" s="110"/>
      <c r="AR426" s="110"/>
      <c r="AS426" s="110"/>
      <c r="AT426" s="110"/>
      <c r="AU426" s="110"/>
      <c r="AV426" s="110"/>
      <c r="AW426" s="110"/>
      <c r="AX426" s="110"/>
      <c r="AY426" s="110"/>
      <c r="AZ426" s="110"/>
      <c r="BA426" s="110"/>
      <c r="BB426" s="110"/>
      <c r="BC426" s="110"/>
      <c r="BD426" s="110"/>
      <c r="BE426" s="110"/>
      <c r="BF426" s="110"/>
      <c r="BG426" s="110"/>
      <c r="BH426" s="110"/>
      <c r="BI426" s="110"/>
      <c r="BJ426" s="110"/>
      <c r="BK426" s="110"/>
      <c r="BL426" s="110"/>
      <c r="BM426" s="110"/>
      <c r="BN426" s="110"/>
      <c r="BO426" s="110"/>
      <c r="BP426" s="110"/>
      <c r="BQ426" s="110"/>
      <c r="BR426" s="110"/>
      <c r="BS426" s="110"/>
      <c r="BT426" s="110"/>
      <c r="BU426" s="110"/>
      <c r="BV426" s="110"/>
      <c r="BW426" s="110"/>
      <c r="BX426" s="110"/>
      <c r="BY426" s="110"/>
      <c r="BZ426" s="110"/>
      <c r="CA426" s="110"/>
      <c r="CB426" s="110"/>
      <c r="CC426" s="110"/>
      <c r="CD426" s="110"/>
      <c r="CE426" s="110"/>
      <c r="CF426" s="110"/>
      <c r="CG426" s="110"/>
      <c r="CH426" s="110"/>
      <c r="CI426" s="110"/>
      <c r="CJ426" s="110"/>
      <c r="CK426" s="110"/>
      <c r="CL426" s="110"/>
      <c r="CM426" s="110"/>
      <c r="CN426" s="110"/>
      <c r="CO426" s="110"/>
    </row>
    <row r="427" spans="1:93">
      <c r="A427" s="110"/>
      <c r="B427" s="110"/>
      <c r="C427" s="110"/>
      <c r="D427" s="110"/>
      <c r="E427" s="110"/>
      <c r="F427" s="110"/>
      <c r="G427" s="110"/>
      <c r="H427" s="110"/>
      <c r="I427" s="110"/>
      <c r="J427" s="110"/>
      <c r="K427" s="110"/>
      <c r="L427" s="110"/>
      <c r="M427" s="110"/>
      <c r="N427" s="110"/>
      <c r="O427" s="110"/>
      <c r="P427" s="110"/>
      <c r="Q427" s="110"/>
      <c r="R427" s="110"/>
      <c r="S427" s="110"/>
      <c r="T427" s="110"/>
      <c r="U427" s="111"/>
      <c r="V427" s="111"/>
      <c r="W427" s="111"/>
      <c r="X427" s="112"/>
      <c r="Y427" s="112"/>
      <c r="Z427" s="112"/>
      <c r="AA427" s="112"/>
      <c r="AB427" s="112"/>
      <c r="AC427" s="111"/>
      <c r="AD427" s="111"/>
      <c r="AE427" s="111"/>
      <c r="AF427" s="111"/>
      <c r="AG427" s="111"/>
      <c r="AH427" s="111"/>
      <c r="AI427" s="110"/>
      <c r="AJ427" s="110"/>
      <c r="AK427" s="110"/>
      <c r="AL427" s="110"/>
      <c r="AM427" s="110"/>
      <c r="AN427" s="110"/>
      <c r="AO427" s="110"/>
      <c r="AP427" s="110"/>
      <c r="AQ427" s="110"/>
      <c r="AR427" s="110"/>
      <c r="AS427" s="110"/>
      <c r="AT427" s="110"/>
      <c r="AU427" s="110"/>
      <c r="AV427" s="110"/>
      <c r="AW427" s="110"/>
      <c r="AX427" s="110"/>
      <c r="AY427" s="110"/>
      <c r="AZ427" s="110"/>
      <c r="BA427" s="110"/>
      <c r="BB427" s="110"/>
      <c r="BC427" s="110"/>
      <c r="BD427" s="110"/>
      <c r="BE427" s="110"/>
      <c r="BF427" s="110"/>
      <c r="BG427" s="110"/>
      <c r="BH427" s="110"/>
      <c r="BI427" s="110"/>
      <c r="BJ427" s="110"/>
      <c r="BK427" s="110"/>
      <c r="BL427" s="110"/>
      <c r="BM427" s="110"/>
      <c r="BN427" s="110"/>
      <c r="BO427" s="110"/>
      <c r="BP427" s="110"/>
      <c r="BQ427" s="110"/>
      <c r="BR427" s="110"/>
      <c r="BS427" s="110"/>
      <c r="BT427" s="110"/>
      <c r="BU427" s="110"/>
      <c r="BV427" s="110"/>
      <c r="BW427" s="110"/>
      <c r="BX427" s="110"/>
      <c r="BY427" s="110"/>
      <c r="BZ427" s="110"/>
      <c r="CA427" s="110"/>
      <c r="CB427" s="110"/>
      <c r="CC427" s="110"/>
      <c r="CD427" s="110"/>
      <c r="CE427" s="110"/>
      <c r="CF427" s="110"/>
      <c r="CG427" s="110"/>
      <c r="CH427" s="110"/>
      <c r="CI427" s="110"/>
      <c r="CJ427" s="110"/>
      <c r="CK427" s="110"/>
      <c r="CL427" s="110"/>
      <c r="CM427" s="110"/>
      <c r="CN427" s="110"/>
      <c r="CO427" s="110"/>
    </row>
    <row r="428" spans="1:93">
      <c r="A428" s="110"/>
      <c r="B428" s="110"/>
      <c r="C428" s="110"/>
      <c r="D428" s="110"/>
      <c r="E428" s="110"/>
      <c r="F428" s="110"/>
      <c r="G428" s="110"/>
      <c r="H428" s="110"/>
      <c r="I428" s="110"/>
      <c r="J428" s="110"/>
      <c r="K428" s="110"/>
      <c r="L428" s="110"/>
      <c r="M428" s="110"/>
      <c r="N428" s="110"/>
      <c r="O428" s="110"/>
      <c r="P428" s="110"/>
      <c r="Q428" s="110"/>
      <c r="R428" s="110"/>
      <c r="S428" s="110"/>
      <c r="T428" s="110"/>
      <c r="U428" s="111"/>
      <c r="V428" s="111"/>
      <c r="W428" s="111"/>
      <c r="X428" s="112"/>
      <c r="Y428" s="112"/>
      <c r="Z428" s="112"/>
      <c r="AA428" s="112"/>
      <c r="AB428" s="112"/>
      <c r="AC428" s="111"/>
      <c r="AD428" s="111"/>
      <c r="AE428" s="111"/>
      <c r="AF428" s="111"/>
      <c r="AG428" s="111"/>
      <c r="AH428" s="111"/>
      <c r="AI428" s="110"/>
      <c r="AJ428" s="110"/>
      <c r="AK428" s="110"/>
      <c r="AL428" s="110"/>
      <c r="AM428" s="110"/>
      <c r="AN428" s="110"/>
      <c r="AO428" s="110"/>
      <c r="AP428" s="110"/>
      <c r="AQ428" s="110"/>
      <c r="AR428" s="110"/>
      <c r="AS428" s="110"/>
      <c r="AT428" s="110"/>
      <c r="AU428" s="110"/>
      <c r="AV428" s="110"/>
      <c r="AW428" s="110"/>
      <c r="AX428" s="110"/>
      <c r="AY428" s="110"/>
      <c r="AZ428" s="110"/>
      <c r="BA428" s="110"/>
      <c r="BB428" s="110"/>
      <c r="BC428" s="110"/>
      <c r="BD428" s="110"/>
      <c r="BE428" s="110"/>
      <c r="BF428" s="110"/>
      <c r="BG428" s="110"/>
      <c r="BH428" s="110"/>
      <c r="BI428" s="110"/>
      <c r="BJ428" s="110"/>
      <c r="BK428" s="110"/>
      <c r="BL428" s="110"/>
      <c r="BM428" s="110"/>
      <c r="BN428" s="110"/>
      <c r="BO428" s="110"/>
      <c r="BP428" s="110"/>
      <c r="BQ428" s="110"/>
      <c r="BR428" s="110"/>
      <c r="BS428" s="110"/>
      <c r="BT428" s="110"/>
      <c r="BU428" s="110"/>
      <c r="BV428" s="110"/>
      <c r="BW428" s="110"/>
      <c r="BX428" s="110"/>
      <c r="BY428" s="110"/>
      <c r="BZ428" s="110"/>
      <c r="CA428" s="110"/>
      <c r="CB428" s="110"/>
      <c r="CC428" s="110"/>
      <c r="CD428" s="110"/>
      <c r="CE428" s="110"/>
      <c r="CF428" s="110"/>
      <c r="CG428" s="110"/>
      <c r="CH428" s="110"/>
      <c r="CI428" s="110"/>
      <c r="CJ428" s="110"/>
      <c r="CK428" s="110"/>
      <c r="CL428" s="110"/>
      <c r="CM428" s="110"/>
      <c r="CN428" s="110"/>
      <c r="CO428" s="110"/>
    </row>
    <row r="429" spans="1:93">
      <c r="A429" s="110"/>
      <c r="B429" s="110"/>
      <c r="C429" s="110"/>
      <c r="D429" s="110"/>
      <c r="E429" s="110"/>
      <c r="F429" s="110"/>
      <c r="G429" s="110"/>
      <c r="H429" s="110"/>
      <c r="I429" s="110"/>
      <c r="J429" s="110"/>
      <c r="K429" s="110"/>
      <c r="L429" s="110"/>
      <c r="M429" s="110"/>
      <c r="N429" s="110"/>
      <c r="O429" s="110"/>
      <c r="P429" s="110"/>
      <c r="Q429" s="110"/>
      <c r="R429" s="110"/>
      <c r="S429" s="110"/>
      <c r="T429" s="110"/>
      <c r="U429" s="111"/>
      <c r="V429" s="111"/>
      <c r="W429" s="111"/>
      <c r="X429" s="112"/>
      <c r="Y429" s="112"/>
      <c r="Z429" s="112"/>
      <c r="AA429" s="112"/>
      <c r="AB429" s="112"/>
      <c r="AC429" s="111"/>
      <c r="AD429" s="111"/>
      <c r="AE429" s="111"/>
      <c r="AF429" s="111"/>
      <c r="AG429" s="111"/>
      <c r="AH429" s="111"/>
      <c r="AI429" s="110"/>
      <c r="AJ429" s="110"/>
      <c r="AK429" s="110"/>
      <c r="AL429" s="110"/>
      <c r="AM429" s="110"/>
      <c r="AN429" s="110"/>
      <c r="AO429" s="110"/>
      <c r="AP429" s="110"/>
      <c r="AQ429" s="110"/>
      <c r="AR429" s="110"/>
      <c r="AS429" s="110"/>
      <c r="AT429" s="110"/>
      <c r="AU429" s="110"/>
      <c r="AV429" s="110"/>
      <c r="AW429" s="110"/>
      <c r="AX429" s="110"/>
      <c r="AY429" s="110"/>
      <c r="AZ429" s="110"/>
      <c r="BA429" s="110"/>
      <c r="BB429" s="110"/>
      <c r="BC429" s="110"/>
      <c r="BD429" s="110"/>
      <c r="BE429" s="110"/>
      <c r="BF429" s="110"/>
      <c r="BG429" s="110"/>
      <c r="BH429" s="110"/>
      <c r="BI429" s="110"/>
      <c r="BJ429" s="110"/>
      <c r="BK429" s="110"/>
      <c r="BL429" s="110"/>
      <c r="BM429" s="110"/>
      <c r="BN429" s="110"/>
      <c r="BO429" s="110"/>
      <c r="BP429" s="110"/>
      <c r="BQ429" s="110"/>
      <c r="BR429" s="110"/>
      <c r="BS429" s="110"/>
      <c r="BT429" s="110"/>
      <c r="BU429" s="110"/>
      <c r="BV429" s="110"/>
      <c r="BW429" s="110"/>
      <c r="BX429" s="110"/>
      <c r="BY429" s="110"/>
      <c r="BZ429" s="110"/>
      <c r="CA429" s="110"/>
      <c r="CB429" s="110"/>
      <c r="CC429" s="110"/>
      <c r="CD429" s="110"/>
      <c r="CE429" s="110"/>
      <c r="CF429" s="110"/>
      <c r="CG429" s="110"/>
      <c r="CH429" s="110"/>
      <c r="CI429" s="110"/>
      <c r="CJ429" s="110"/>
      <c r="CK429" s="110"/>
      <c r="CL429" s="110"/>
      <c r="CM429" s="110"/>
      <c r="CN429" s="110"/>
      <c r="CO429" s="110"/>
    </row>
    <row r="430" spans="1:93">
      <c r="A430" s="110"/>
      <c r="B430" s="110"/>
      <c r="C430" s="110"/>
      <c r="D430" s="110"/>
      <c r="E430" s="110"/>
      <c r="F430" s="110"/>
      <c r="G430" s="110"/>
      <c r="H430" s="110"/>
      <c r="I430" s="110"/>
      <c r="J430" s="110"/>
      <c r="K430" s="110"/>
      <c r="L430" s="110"/>
      <c r="M430" s="110"/>
      <c r="N430" s="110"/>
      <c r="O430" s="110"/>
      <c r="P430" s="110"/>
      <c r="Q430" s="110"/>
      <c r="R430" s="110"/>
      <c r="S430" s="110"/>
      <c r="T430" s="110"/>
      <c r="U430" s="111"/>
      <c r="V430" s="111"/>
      <c r="W430" s="111"/>
      <c r="X430" s="112"/>
      <c r="Y430" s="112"/>
      <c r="Z430" s="112"/>
      <c r="AA430" s="112"/>
      <c r="AB430" s="112"/>
      <c r="AC430" s="111"/>
      <c r="AD430" s="111"/>
      <c r="AE430" s="111"/>
      <c r="AF430" s="111"/>
      <c r="AG430" s="111"/>
      <c r="AH430" s="111"/>
      <c r="AI430" s="110"/>
      <c r="AJ430" s="110"/>
      <c r="AK430" s="110"/>
      <c r="AL430" s="110"/>
      <c r="AM430" s="110"/>
      <c r="AN430" s="110"/>
      <c r="AO430" s="110"/>
      <c r="AP430" s="110"/>
      <c r="AQ430" s="110"/>
      <c r="AR430" s="110"/>
      <c r="AS430" s="110"/>
      <c r="AT430" s="110"/>
      <c r="AU430" s="110"/>
      <c r="AV430" s="110"/>
      <c r="AW430" s="110"/>
      <c r="AX430" s="110"/>
      <c r="AY430" s="110"/>
      <c r="AZ430" s="110"/>
      <c r="BA430" s="110"/>
      <c r="BB430" s="110"/>
      <c r="BC430" s="110"/>
      <c r="BD430" s="110"/>
      <c r="BE430" s="110"/>
      <c r="BF430" s="110"/>
      <c r="BG430" s="110"/>
      <c r="BH430" s="110"/>
      <c r="BI430" s="110"/>
      <c r="BJ430" s="110"/>
      <c r="BK430" s="110"/>
      <c r="BL430" s="110"/>
      <c r="BM430" s="110"/>
      <c r="BN430" s="110"/>
      <c r="BO430" s="110"/>
      <c r="BP430" s="110"/>
      <c r="BQ430" s="110"/>
      <c r="BR430" s="110"/>
      <c r="BS430" s="110"/>
      <c r="BT430" s="110"/>
      <c r="BU430" s="110"/>
      <c r="BV430" s="110"/>
      <c r="BW430" s="110"/>
      <c r="BX430" s="110"/>
      <c r="BY430" s="110"/>
      <c r="BZ430" s="110"/>
      <c r="CA430" s="110"/>
      <c r="CB430" s="110"/>
      <c r="CC430" s="110"/>
      <c r="CD430" s="110"/>
      <c r="CE430" s="110"/>
      <c r="CF430" s="110"/>
      <c r="CG430" s="110"/>
      <c r="CH430" s="110"/>
      <c r="CI430" s="110"/>
      <c r="CJ430" s="110"/>
      <c r="CK430" s="110"/>
      <c r="CL430" s="110"/>
      <c r="CM430" s="110"/>
      <c r="CN430" s="110"/>
      <c r="CO430" s="110"/>
    </row>
    <row r="431" spans="1:93">
      <c r="A431" s="110"/>
      <c r="B431" s="110"/>
      <c r="C431" s="110"/>
      <c r="D431" s="110"/>
      <c r="E431" s="110"/>
      <c r="F431" s="110"/>
      <c r="G431" s="110"/>
      <c r="H431" s="110"/>
      <c r="I431" s="110"/>
      <c r="J431" s="110"/>
      <c r="K431" s="110"/>
      <c r="L431" s="110"/>
      <c r="M431" s="110"/>
      <c r="N431" s="110"/>
      <c r="O431" s="110"/>
      <c r="P431" s="110"/>
      <c r="Q431" s="110"/>
      <c r="R431" s="110"/>
      <c r="S431" s="110"/>
      <c r="T431" s="110"/>
      <c r="U431" s="111"/>
      <c r="V431" s="111"/>
      <c r="W431" s="111"/>
      <c r="X431" s="112"/>
      <c r="Y431" s="112"/>
      <c r="Z431" s="112"/>
      <c r="AA431" s="112"/>
      <c r="AB431" s="112"/>
      <c r="AC431" s="111"/>
      <c r="AD431" s="111"/>
      <c r="AE431" s="111"/>
      <c r="AF431" s="111"/>
      <c r="AG431" s="111"/>
      <c r="AH431" s="111"/>
      <c r="AI431" s="110"/>
      <c r="AJ431" s="110"/>
      <c r="AK431" s="110"/>
      <c r="AL431" s="110"/>
      <c r="AM431" s="110"/>
      <c r="AN431" s="110"/>
      <c r="AO431" s="110"/>
      <c r="AP431" s="110"/>
      <c r="AQ431" s="110"/>
      <c r="AR431" s="110"/>
      <c r="AS431" s="110"/>
      <c r="AT431" s="110"/>
      <c r="AU431" s="110"/>
      <c r="AV431" s="110"/>
      <c r="AW431" s="110"/>
      <c r="AX431" s="110"/>
      <c r="AY431" s="110"/>
      <c r="AZ431" s="110"/>
      <c r="BA431" s="110"/>
      <c r="BB431" s="110"/>
      <c r="BC431" s="110"/>
      <c r="BD431" s="110"/>
      <c r="BE431" s="110"/>
      <c r="BF431" s="110"/>
      <c r="BG431" s="110"/>
      <c r="BH431" s="110"/>
      <c r="BI431" s="110"/>
      <c r="BJ431" s="110"/>
      <c r="BK431" s="110"/>
      <c r="BL431" s="110"/>
      <c r="BM431" s="110"/>
      <c r="BN431" s="110"/>
      <c r="BO431" s="110"/>
      <c r="BP431" s="110"/>
      <c r="BQ431" s="110"/>
      <c r="BR431" s="110"/>
      <c r="BS431" s="110"/>
      <c r="BT431" s="110"/>
      <c r="BU431" s="110"/>
      <c r="BV431" s="110"/>
      <c r="BW431" s="110"/>
      <c r="BX431" s="110"/>
      <c r="BY431" s="110"/>
      <c r="BZ431" s="110"/>
      <c r="CA431" s="110"/>
      <c r="CB431" s="110"/>
      <c r="CC431" s="110"/>
      <c r="CD431" s="110"/>
      <c r="CE431" s="110"/>
      <c r="CF431" s="110"/>
      <c r="CG431" s="110"/>
      <c r="CH431" s="110"/>
      <c r="CI431" s="110"/>
      <c r="CJ431" s="110"/>
      <c r="CK431" s="110"/>
      <c r="CL431" s="110"/>
      <c r="CM431" s="110"/>
      <c r="CN431" s="110"/>
      <c r="CO431" s="110"/>
    </row>
    <row r="432" spans="1:93">
      <c r="A432" s="110"/>
      <c r="B432" s="110"/>
      <c r="C432" s="110"/>
      <c r="D432" s="110"/>
      <c r="E432" s="110"/>
      <c r="F432" s="110"/>
      <c r="G432" s="110"/>
      <c r="H432" s="110"/>
      <c r="I432" s="110"/>
      <c r="J432" s="110"/>
      <c r="K432" s="110"/>
      <c r="L432" s="110"/>
      <c r="M432" s="110"/>
      <c r="N432" s="110"/>
      <c r="O432" s="110"/>
      <c r="P432" s="110"/>
      <c r="Q432" s="110"/>
      <c r="R432" s="110"/>
      <c r="S432" s="110"/>
      <c r="T432" s="110"/>
      <c r="U432" s="111"/>
      <c r="V432" s="111"/>
      <c r="W432" s="111"/>
      <c r="X432" s="112"/>
      <c r="Y432" s="112"/>
      <c r="Z432" s="112"/>
      <c r="AA432" s="112"/>
      <c r="AB432" s="112"/>
      <c r="AC432" s="111"/>
      <c r="AD432" s="111"/>
      <c r="AE432" s="111"/>
      <c r="AF432" s="111"/>
      <c r="AG432" s="111"/>
      <c r="AH432" s="111"/>
      <c r="AI432" s="110"/>
      <c r="AJ432" s="110"/>
      <c r="AK432" s="110"/>
      <c r="AL432" s="110"/>
      <c r="AM432" s="110"/>
      <c r="AN432" s="110"/>
      <c r="AO432" s="110"/>
      <c r="AP432" s="110"/>
      <c r="AQ432" s="110"/>
      <c r="AR432" s="110"/>
      <c r="AS432" s="110"/>
      <c r="AT432" s="110"/>
      <c r="AU432" s="110"/>
      <c r="AV432" s="110"/>
      <c r="AW432" s="110"/>
      <c r="AX432" s="110"/>
      <c r="AY432" s="110"/>
      <c r="AZ432" s="110"/>
      <c r="BA432" s="110"/>
      <c r="BB432" s="110"/>
      <c r="BC432" s="110"/>
      <c r="BD432" s="110"/>
      <c r="BE432" s="110"/>
      <c r="BF432" s="110"/>
      <c r="BG432" s="110"/>
      <c r="BH432" s="110"/>
      <c r="BI432" s="110"/>
      <c r="BJ432" s="110"/>
      <c r="BK432" s="110"/>
      <c r="BL432" s="110"/>
      <c r="BM432" s="110"/>
      <c r="BN432" s="110"/>
      <c r="BO432" s="110"/>
      <c r="BP432" s="110"/>
      <c r="BQ432" s="110"/>
      <c r="BR432" s="110"/>
      <c r="BS432" s="110"/>
      <c r="BT432" s="110"/>
      <c r="BU432" s="110"/>
      <c r="BV432" s="110"/>
      <c r="BW432" s="110"/>
      <c r="BX432" s="110"/>
      <c r="BY432" s="110"/>
      <c r="BZ432" s="110"/>
      <c r="CA432" s="110"/>
      <c r="CB432" s="110"/>
      <c r="CC432" s="110"/>
      <c r="CD432" s="110"/>
      <c r="CE432" s="110"/>
      <c r="CF432" s="110"/>
      <c r="CG432" s="110"/>
      <c r="CH432" s="110"/>
      <c r="CI432" s="110"/>
      <c r="CJ432" s="110"/>
      <c r="CK432" s="110"/>
      <c r="CL432" s="110"/>
      <c r="CM432" s="110"/>
      <c r="CN432" s="110"/>
      <c r="CO432" s="110"/>
    </row>
    <row r="433" spans="1:93">
      <c r="A433" s="110"/>
      <c r="B433" s="110"/>
      <c r="C433" s="110"/>
      <c r="D433" s="110"/>
      <c r="E433" s="110"/>
      <c r="F433" s="110"/>
      <c r="G433" s="110"/>
      <c r="H433" s="110"/>
      <c r="I433" s="110"/>
      <c r="J433" s="110"/>
      <c r="K433" s="110"/>
      <c r="L433" s="110"/>
      <c r="M433" s="110"/>
      <c r="N433" s="110"/>
      <c r="O433" s="110"/>
      <c r="P433" s="110"/>
      <c r="Q433" s="110"/>
      <c r="R433" s="110"/>
      <c r="S433" s="110"/>
      <c r="T433" s="110"/>
      <c r="U433" s="111"/>
      <c r="V433" s="111"/>
      <c r="W433" s="111"/>
      <c r="X433" s="112"/>
      <c r="Y433" s="112"/>
      <c r="Z433" s="112"/>
      <c r="AA433" s="112"/>
      <c r="AB433" s="112"/>
      <c r="AC433" s="111"/>
      <c r="AD433" s="111"/>
      <c r="AE433" s="111"/>
      <c r="AF433" s="111"/>
      <c r="AG433" s="111"/>
      <c r="AH433" s="111"/>
      <c r="AI433" s="110"/>
      <c r="AJ433" s="110"/>
      <c r="AK433" s="110"/>
      <c r="AL433" s="110"/>
      <c r="AM433" s="110"/>
      <c r="AN433" s="110"/>
      <c r="AO433" s="110"/>
      <c r="AP433" s="110"/>
      <c r="AQ433" s="110"/>
      <c r="AR433" s="110"/>
      <c r="AS433" s="110"/>
      <c r="AT433" s="110"/>
      <c r="AU433" s="110"/>
      <c r="AV433" s="110"/>
      <c r="AW433" s="110"/>
      <c r="AX433" s="110"/>
      <c r="AY433" s="110"/>
      <c r="AZ433" s="110"/>
      <c r="BA433" s="110"/>
      <c r="BB433" s="110"/>
      <c r="BC433" s="110"/>
      <c r="BD433" s="110"/>
      <c r="BE433" s="110"/>
      <c r="BF433" s="110"/>
      <c r="BG433" s="110"/>
      <c r="BH433" s="110"/>
      <c r="BI433" s="110"/>
      <c r="BJ433" s="110"/>
      <c r="BK433" s="110"/>
      <c r="BL433" s="110"/>
      <c r="BM433" s="110"/>
      <c r="BN433" s="110"/>
      <c r="BO433" s="110"/>
      <c r="BP433" s="110"/>
      <c r="BQ433" s="110"/>
      <c r="BR433" s="110"/>
      <c r="BS433" s="110"/>
      <c r="BT433" s="110"/>
      <c r="BU433" s="110"/>
      <c r="BV433" s="110"/>
      <c r="BW433" s="110"/>
      <c r="BX433" s="110"/>
      <c r="BY433" s="110"/>
      <c r="BZ433" s="110"/>
      <c r="CA433" s="110"/>
      <c r="CB433" s="110"/>
      <c r="CC433" s="110"/>
      <c r="CD433" s="110"/>
      <c r="CE433" s="110"/>
      <c r="CF433" s="110"/>
      <c r="CG433" s="110"/>
      <c r="CH433" s="110"/>
      <c r="CI433" s="110"/>
      <c r="CJ433" s="110"/>
      <c r="CK433" s="110"/>
      <c r="CL433" s="110"/>
      <c r="CM433" s="110"/>
      <c r="CN433" s="110"/>
      <c r="CO433" s="110"/>
    </row>
    <row r="434" spans="1:93">
      <c r="A434" s="110"/>
      <c r="B434" s="110"/>
      <c r="C434" s="110"/>
      <c r="D434" s="110"/>
      <c r="E434" s="110"/>
      <c r="F434" s="110"/>
      <c r="G434" s="110"/>
      <c r="H434" s="110"/>
      <c r="I434" s="110"/>
      <c r="J434" s="110"/>
      <c r="K434" s="110"/>
      <c r="L434" s="110"/>
      <c r="M434" s="110"/>
      <c r="N434" s="110"/>
      <c r="O434" s="110"/>
      <c r="P434" s="110"/>
      <c r="Q434" s="110"/>
      <c r="R434" s="110"/>
      <c r="S434" s="110"/>
      <c r="T434" s="110"/>
      <c r="U434" s="111"/>
      <c r="V434" s="111"/>
      <c r="W434" s="111"/>
      <c r="X434" s="112"/>
      <c r="Y434" s="112"/>
      <c r="Z434" s="112"/>
      <c r="AA434" s="112"/>
      <c r="AB434" s="112"/>
      <c r="AC434" s="111"/>
      <c r="AD434" s="111"/>
      <c r="AE434" s="111"/>
      <c r="AF434" s="111"/>
      <c r="AG434" s="111"/>
      <c r="AH434" s="111"/>
      <c r="AI434" s="110"/>
      <c r="AJ434" s="110"/>
      <c r="AK434" s="110"/>
      <c r="AL434" s="110"/>
      <c r="AM434" s="110"/>
      <c r="AN434" s="110"/>
      <c r="AO434" s="110"/>
      <c r="AP434" s="110"/>
      <c r="AQ434" s="110"/>
      <c r="AR434" s="110"/>
      <c r="AS434" s="110"/>
      <c r="AT434" s="110"/>
      <c r="AU434" s="110"/>
      <c r="AV434" s="110"/>
      <c r="AW434" s="110"/>
      <c r="AX434" s="110"/>
      <c r="AY434" s="110"/>
      <c r="AZ434" s="110"/>
      <c r="BA434" s="110"/>
      <c r="BB434" s="110"/>
      <c r="BC434" s="110"/>
      <c r="BD434" s="110"/>
      <c r="BE434" s="110"/>
      <c r="BF434" s="110"/>
      <c r="BG434" s="110"/>
      <c r="BH434" s="110"/>
      <c r="BI434" s="110"/>
      <c r="BJ434" s="110"/>
      <c r="BK434" s="110"/>
      <c r="BL434" s="110"/>
      <c r="BM434" s="110"/>
      <c r="BN434" s="110"/>
      <c r="BO434" s="110"/>
      <c r="BP434" s="110"/>
      <c r="BQ434" s="110"/>
      <c r="BR434" s="110"/>
      <c r="BS434" s="110"/>
      <c r="BT434" s="110"/>
      <c r="BU434" s="110"/>
      <c r="BV434" s="110"/>
      <c r="BW434" s="110"/>
      <c r="BX434" s="110"/>
      <c r="BY434" s="110"/>
      <c r="BZ434" s="110"/>
      <c r="CA434" s="110"/>
      <c r="CB434" s="110"/>
      <c r="CC434" s="110"/>
      <c r="CD434" s="110"/>
      <c r="CE434" s="110"/>
      <c r="CF434" s="110"/>
      <c r="CG434" s="110"/>
      <c r="CH434" s="110"/>
      <c r="CI434" s="110"/>
      <c r="CJ434" s="110"/>
      <c r="CK434" s="110"/>
      <c r="CL434" s="110"/>
      <c r="CM434" s="110"/>
      <c r="CN434" s="110"/>
      <c r="CO434" s="110"/>
    </row>
    <row r="435" spans="1:93">
      <c r="A435" s="110"/>
      <c r="B435" s="110"/>
      <c r="C435" s="110"/>
      <c r="D435" s="110"/>
      <c r="E435" s="110"/>
      <c r="F435" s="110"/>
      <c r="G435" s="110"/>
      <c r="H435" s="110"/>
      <c r="I435" s="110"/>
      <c r="J435" s="110"/>
      <c r="K435" s="110"/>
      <c r="L435" s="110"/>
      <c r="M435" s="110"/>
      <c r="N435" s="110"/>
      <c r="O435" s="110"/>
      <c r="P435" s="110"/>
      <c r="Q435" s="110"/>
      <c r="R435" s="110"/>
      <c r="S435" s="110"/>
      <c r="T435" s="110"/>
      <c r="U435" s="111"/>
      <c r="V435" s="111"/>
      <c r="W435" s="111"/>
      <c r="X435" s="112"/>
      <c r="Y435" s="112"/>
      <c r="Z435" s="112"/>
      <c r="AA435" s="112"/>
      <c r="AB435" s="112"/>
      <c r="AC435" s="111"/>
      <c r="AD435" s="111"/>
      <c r="AE435" s="111"/>
      <c r="AF435" s="111"/>
      <c r="AG435" s="111"/>
      <c r="AH435" s="111"/>
      <c r="AI435" s="110"/>
      <c r="AJ435" s="110"/>
      <c r="AK435" s="110"/>
      <c r="AL435" s="110"/>
      <c r="AM435" s="110"/>
      <c r="AN435" s="110"/>
      <c r="AO435" s="110"/>
      <c r="AP435" s="110"/>
      <c r="AQ435" s="110"/>
      <c r="AR435" s="110"/>
      <c r="AS435" s="110"/>
      <c r="AT435" s="110"/>
      <c r="AU435" s="110"/>
      <c r="AV435" s="110"/>
      <c r="AW435" s="110"/>
      <c r="AX435" s="110"/>
      <c r="AY435" s="110"/>
      <c r="AZ435" s="110"/>
      <c r="BA435" s="110"/>
      <c r="BB435" s="110"/>
      <c r="BC435" s="110"/>
      <c r="BD435" s="110"/>
      <c r="BE435" s="110"/>
      <c r="BF435" s="110"/>
      <c r="BG435" s="110"/>
      <c r="BH435" s="110"/>
      <c r="BI435" s="110"/>
      <c r="BJ435" s="110"/>
      <c r="BK435" s="110"/>
      <c r="BL435" s="110"/>
      <c r="BM435" s="110"/>
      <c r="BN435" s="110"/>
      <c r="BO435" s="110"/>
      <c r="BP435" s="110"/>
      <c r="BQ435" s="110"/>
      <c r="BR435" s="110"/>
      <c r="BS435" s="110"/>
      <c r="BT435" s="110"/>
      <c r="BU435" s="110"/>
      <c r="BV435" s="110"/>
      <c r="BW435" s="110"/>
      <c r="BX435" s="110"/>
      <c r="BY435" s="110"/>
      <c r="BZ435" s="110"/>
      <c r="CA435" s="110"/>
      <c r="CB435" s="110"/>
      <c r="CC435" s="110"/>
      <c r="CD435" s="110"/>
      <c r="CE435" s="110"/>
      <c r="CF435" s="110"/>
      <c r="CG435" s="110"/>
      <c r="CH435" s="110"/>
      <c r="CI435" s="110"/>
      <c r="CJ435" s="110"/>
      <c r="CK435" s="110"/>
      <c r="CL435" s="110"/>
      <c r="CM435" s="110"/>
      <c r="CN435" s="110"/>
      <c r="CO435" s="110"/>
    </row>
    <row r="436" spans="1:93">
      <c r="A436" s="110"/>
      <c r="B436" s="110"/>
      <c r="C436" s="110"/>
      <c r="D436" s="110"/>
      <c r="E436" s="110"/>
      <c r="F436" s="110"/>
      <c r="G436" s="110"/>
      <c r="H436" s="110"/>
      <c r="I436" s="110"/>
      <c r="J436" s="110"/>
      <c r="K436" s="110"/>
      <c r="L436" s="110"/>
      <c r="M436" s="110"/>
      <c r="N436" s="110"/>
      <c r="O436" s="110"/>
      <c r="P436" s="110"/>
      <c r="Q436" s="110"/>
      <c r="R436" s="110"/>
      <c r="S436" s="110"/>
      <c r="T436" s="110"/>
      <c r="U436" s="111"/>
      <c r="V436" s="111"/>
      <c r="W436" s="111"/>
      <c r="X436" s="112"/>
      <c r="Y436" s="112"/>
      <c r="Z436" s="112"/>
      <c r="AA436" s="112"/>
      <c r="AB436" s="112"/>
      <c r="AC436" s="111"/>
      <c r="AD436" s="111"/>
      <c r="AE436" s="111"/>
      <c r="AF436" s="111"/>
      <c r="AG436" s="111"/>
      <c r="AH436" s="111"/>
      <c r="AI436" s="110"/>
      <c r="AJ436" s="110"/>
      <c r="AK436" s="110"/>
      <c r="AL436" s="110"/>
      <c r="AM436" s="110"/>
      <c r="AN436" s="110"/>
      <c r="AO436" s="110"/>
      <c r="AP436" s="110"/>
      <c r="AQ436" s="110"/>
      <c r="AR436" s="110"/>
      <c r="AS436" s="110"/>
      <c r="AT436" s="110"/>
      <c r="AU436" s="110"/>
      <c r="AV436" s="110"/>
      <c r="AW436" s="110"/>
      <c r="AX436" s="110"/>
      <c r="AY436" s="110"/>
      <c r="AZ436" s="110"/>
      <c r="BA436" s="110"/>
      <c r="BB436" s="110"/>
      <c r="BC436" s="110"/>
      <c r="BD436" s="110"/>
      <c r="BE436" s="110"/>
      <c r="BF436" s="110"/>
      <c r="BG436" s="110"/>
      <c r="BH436" s="110"/>
      <c r="BI436" s="110"/>
      <c r="BJ436" s="110"/>
      <c r="BK436" s="110"/>
      <c r="BL436" s="110"/>
      <c r="BM436" s="110"/>
      <c r="BN436" s="110"/>
      <c r="BO436" s="110"/>
      <c r="BP436" s="110"/>
      <c r="BQ436" s="110"/>
      <c r="BR436" s="110"/>
      <c r="BS436" s="110"/>
      <c r="BT436" s="110"/>
      <c r="BU436" s="110"/>
      <c r="BV436" s="110"/>
      <c r="BW436" s="110"/>
      <c r="BX436" s="110"/>
      <c r="BY436" s="110"/>
      <c r="BZ436" s="110"/>
      <c r="CA436" s="110"/>
      <c r="CB436" s="110"/>
      <c r="CC436" s="110"/>
      <c r="CD436" s="110"/>
      <c r="CE436" s="110"/>
      <c r="CF436" s="110"/>
      <c r="CG436" s="110"/>
      <c r="CH436" s="110"/>
      <c r="CI436" s="110"/>
      <c r="CJ436" s="110"/>
      <c r="CK436" s="110"/>
      <c r="CL436" s="110"/>
      <c r="CM436" s="110"/>
      <c r="CN436" s="110"/>
      <c r="CO436" s="110"/>
    </row>
    <row r="437" spans="1:93">
      <c r="A437" s="110"/>
      <c r="B437" s="110"/>
      <c r="C437" s="110"/>
      <c r="D437" s="110"/>
      <c r="E437" s="110"/>
      <c r="F437" s="110"/>
      <c r="G437" s="110"/>
      <c r="H437" s="110"/>
      <c r="I437" s="110"/>
      <c r="J437" s="110"/>
      <c r="K437" s="110"/>
      <c r="L437" s="110"/>
      <c r="M437" s="110"/>
      <c r="N437" s="110"/>
      <c r="O437" s="110"/>
      <c r="P437" s="110"/>
      <c r="Q437" s="110"/>
      <c r="R437" s="110"/>
      <c r="S437" s="110"/>
      <c r="T437" s="110"/>
      <c r="U437" s="111"/>
      <c r="V437" s="111"/>
      <c r="W437" s="111"/>
      <c r="X437" s="112"/>
      <c r="Y437" s="112"/>
      <c r="Z437" s="112"/>
      <c r="AA437" s="112"/>
      <c r="AB437" s="112"/>
      <c r="AC437" s="111"/>
      <c r="AD437" s="111"/>
      <c r="AE437" s="111"/>
      <c r="AF437" s="111"/>
      <c r="AG437" s="111"/>
      <c r="AH437" s="111"/>
      <c r="AI437" s="110"/>
      <c r="AJ437" s="110"/>
      <c r="AK437" s="110"/>
      <c r="AL437" s="110"/>
      <c r="AM437" s="110"/>
      <c r="AN437" s="110"/>
      <c r="AO437" s="110"/>
      <c r="AP437" s="110"/>
      <c r="AQ437" s="110"/>
      <c r="AR437" s="110"/>
      <c r="AS437" s="110"/>
      <c r="AT437" s="110"/>
      <c r="AU437" s="110"/>
      <c r="AV437" s="110"/>
      <c r="AW437" s="110"/>
      <c r="AX437" s="110"/>
      <c r="AY437" s="110"/>
      <c r="AZ437" s="110"/>
      <c r="BA437" s="110"/>
      <c r="BB437" s="110"/>
      <c r="BC437" s="110"/>
      <c r="BD437" s="110"/>
      <c r="BE437" s="110"/>
      <c r="BF437" s="110"/>
      <c r="BG437" s="110"/>
      <c r="BH437" s="110"/>
      <c r="BI437" s="110"/>
      <c r="BJ437" s="110"/>
      <c r="BK437" s="110"/>
      <c r="BL437" s="110"/>
      <c r="BM437" s="110"/>
      <c r="BN437" s="110"/>
      <c r="BO437" s="110"/>
      <c r="BP437" s="110"/>
      <c r="BQ437" s="110"/>
      <c r="BR437" s="110"/>
      <c r="BS437" s="110"/>
      <c r="BT437" s="110"/>
      <c r="BU437" s="110"/>
      <c r="BV437" s="110"/>
      <c r="BW437" s="110"/>
      <c r="BX437" s="110"/>
      <c r="BY437" s="110"/>
      <c r="BZ437" s="110"/>
      <c r="CA437" s="110"/>
      <c r="CB437" s="110"/>
      <c r="CC437" s="110"/>
      <c r="CD437" s="110"/>
      <c r="CE437" s="110"/>
      <c r="CF437" s="110"/>
      <c r="CG437" s="110"/>
      <c r="CH437" s="110"/>
      <c r="CI437" s="110"/>
      <c r="CJ437" s="110"/>
      <c r="CK437" s="110"/>
      <c r="CL437" s="110"/>
      <c r="CM437" s="110"/>
      <c r="CN437" s="110"/>
      <c r="CO437" s="110"/>
    </row>
    <row r="438" spans="1:93">
      <c r="A438" s="110"/>
      <c r="B438" s="110"/>
      <c r="C438" s="110"/>
      <c r="D438" s="110"/>
      <c r="E438" s="110"/>
      <c r="F438" s="110"/>
      <c r="G438" s="110"/>
      <c r="H438" s="110"/>
      <c r="I438" s="110"/>
      <c r="J438" s="110"/>
      <c r="K438" s="110"/>
      <c r="L438" s="110"/>
      <c r="M438" s="110"/>
      <c r="N438" s="110"/>
      <c r="O438" s="110"/>
      <c r="P438" s="110"/>
      <c r="Q438" s="110"/>
      <c r="R438" s="110"/>
      <c r="S438" s="110"/>
      <c r="T438" s="110"/>
      <c r="U438" s="111"/>
      <c r="V438" s="111"/>
      <c r="W438" s="111"/>
      <c r="X438" s="112"/>
      <c r="Y438" s="112"/>
      <c r="Z438" s="112"/>
      <c r="AA438" s="112"/>
      <c r="AB438" s="112"/>
      <c r="AC438" s="111"/>
      <c r="AD438" s="111"/>
      <c r="AE438" s="111"/>
      <c r="AF438" s="111"/>
      <c r="AG438" s="111"/>
      <c r="AH438" s="111"/>
      <c r="AI438" s="110"/>
      <c r="AJ438" s="110"/>
      <c r="AK438" s="110"/>
      <c r="AL438" s="110"/>
      <c r="AM438" s="110"/>
      <c r="AN438" s="110"/>
      <c r="AO438" s="110"/>
      <c r="AP438" s="110"/>
      <c r="AQ438" s="110"/>
      <c r="AR438" s="110"/>
      <c r="AS438" s="110"/>
      <c r="AT438" s="110"/>
      <c r="AU438" s="110"/>
      <c r="AV438" s="110"/>
      <c r="AW438" s="110"/>
      <c r="AX438" s="110"/>
      <c r="AY438" s="110"/>
      <c r="AZ438" s="110"/>
      <c r="BA438" s="110"/>
      <c r="BB438" s="110"/>
      <c r="BC438" s="110"/>
      <c r="BD438" s="110"/>
      <c r="BE438" s="110"/>
      <c r="BF438" s="110"/>
      <c r="BG438" s="110"/>
      <c r="BH438" s="110"/>
      <c r="BI438" s="110"/>
      <c r="BJ438" s="110"/>
      <c r="BK438" s="110"/>
      <c r="BL438" s="110"/>
      <c r="BM438" s="110"/>
      <c r="BN438" s="110"/>
      <c r="BO438" s="110"/>
      <c r="BP438" s="110"/>
      <c r="BQ438" s="110"/>
      <c r="BR438" s="110"/>
      <c r="BS438" s="110"/>
      <c r="BT438" s="110"/>
      <c r="BU438" s="110"/>
      <c r="BV438" s="110"/>
      <c r="BW438" s="110"/>
      <c r="BX438" s="110"/>
      <c r="BY438" s="110"/>
      <c r="BZ438" s="110"/>
      <c r="CA438" s="110"/>
      <c r="CB438" s="110"/>
      <c r="CC438" s="110"/>
      <c r="CD438" s="110"/>
      <c r="CE438" s="110"/>
      <c r="CF438" s="110"/>
      <c r="CG438" s="110"/>
      <c r="CH438" s="110"/>
      <c r="CI438" s="110"/>
      <c r="CJ438" s="110"/>
      <c r="CK438" s="110"/>
      <c r="CL438" s="110"/>
      <c r="CM438" s="110"/>
      <c r="CN438" s="110"/>
      <c r="CO438" s="110"/>
    </row>
    <row r="439" spans="1:93">
      <c r="A439" s="110"/>
      <c r="B439" s="110"/>
      <c r="C439" s="110"/>
      <c r="D439" s="110"/>
      <c r="E439" s="110"/>
      <c r="F439" s="110"/>
      <c r="G439" s="110"/>
      <c r="H439" s="110"/>
      <c r="I439" s="110"/>
      <c r="J439" s="110"/>
      <c r="K439" s="110"/>
      <c r="L439" s="110"/>
      <c r="M439" s="110"/>
      <c r="N439" s="110"/>
      <c r="O439" s="110"/>
      <c r="P439" s="110"/>
      <c r="Q439" s="110"/>
      <c r="R439" s="110"/>
      <c r="S439" s="110"/>
      <c r="T439" s="110"/>
      <c r="U439" s="111"/>
      <c r="V439" s="111"/>
      <c r="W439" s="111"/>
      <c r="X439" s="112"/>
      <c r="Y439" s="112"/>
      <c r="Z439" s="112"/>
      <c r="AA439" s="112"/>
      <c r="AB439" s="112"/>
      <c r="AC439" s="111"/>
      <c r="AD439" s="111"/>
      <c r="AE439" s="111"/>
      <c r="AF439" s="111"/>
      <c r="AG439" s="111"/>
      <c r="AH439" s="111"/>
      <c r="AI439" s="110"/>
      <c r="AJ439" s="110"/>
      <c r="AK439" s="110"/>
      <c r="AL439" s="110"/>
      <c r="AM439" s="110"/>
      <c r="AN439" s="110"/>
      <c r="AO439" s="110"/>
      <c r="AP439" s="110"/>
      <c r="AQ439" s="110"/>
      <c r="AR439" s="110"/>
      <c r="AS439" s="110"/>
      <c r="AT439" s="110"/>
      <c r="AU439" s="110"/>
      <c r="AV439" s="110"/>
      <c r="AW439" s="110"/>
      <c r="AX439" s="110"/>
      <c r="AY439" s="110"/>
      <c r="AZ439" s="110"/>
      <c r="BA439" s="110"/>
      <c r="BB439" s="110"/>
      <c r="BC439" s="110"/>
      <c r="BD439" s="110"/>
      <c r="BE439" s="110"/>
      <c r="BF439" s="110"/>
      <c r="BG439" s="110"/>
      <c r="BH439" s="110"/>
      <c r="BI439" s="110"/>
      <c r="BJ439" s="110"/>
      <c r="BK439" s="110"/>
      <c r="BL439" s="110"/>
      <c r="BM439" s="110"/>
      <c r="BN439" s="110"/>
      <c r="BO439" s="110"/>
      <c r="BP439" s="110"/>
      <c r="BQ439" s="110"/>
      <c r="BR439" s="110"/>
      <c r="BS439" s="110"/>
      <c r="BT439" s="110"/>
      <c r="BU439" s="110"/>
      <c r="BV439" s="110"/>
      <c r="BW439" s="110"/>
      <c r="BX439" s="110"/>
      <c r="BY439" s="110"/>
      <c r="BZ439" s="110"/>
      <c r="CA439" s="110"/>
      <c r="CB439" s="110"/>
      <c r="CC439" s="110"/>
      <c r="CD439" s="110"/>
      <c r="CE439" s="110"/>
      <c r="CF439" s="110"/>
      <c r="CG439" s="110"/>
      <c r="CH439" s="110"/>
      <c r="CI439" s="110"/>
      <c r="CJ439" s="110"/>
      <c r="CK439" s="110"/>
      <c r="CL439" s="110"/>
      <c r="CM439" s="110"/>
      <c r="CN439" s="110"/>
      <c r="CO439" s="110"/>
    </row>
    <row r="440" spans="1:93">
      <c r="A440" s="110"/>
      <c r="B440" s="110"/>
      <c r="C440" s="110"/>
      <c r="D440" s="110"/>
      <c r="E440" s="110"/>
      <c r="F440" s="110"/>
      <c r="G440" s="110"/>
      <c r="H440" s="110"/>
      <c r="I440" s="110"/>
      <c r="J440" s="110"/>
      <c r="K440" s="110"/>
      <c r="L440" s="110"/>
      <c r="M440" s="110"/>
      <c r="N440" s="110"/>
      <c r="O440" s="110"/>
      <c r="P440" s="110"/>
      <c r="Q440" s="110"/>
      <c r="R440" s="110"/>
      <c r="S440" s="110"/>
      <c r="T440" s="110"/>
      <c r="U440" s="111"/>
      <c r="V440" s="111"/>
      <c r="W440" s="111"/>
      <c r="X440" s="112"/>
      <c r="Y440" s="112"/>
      <c r="Z440" s="112"/>
      <c r="AA440" s="112"/>
      <c r="AB440" s="112"/>
      <c r="AC440" s="111"/>
      <c r="AD440" s="111"/>
      <c r="AE440" s="111"/>
      <c r="AF440" s="111"/>
      <c r="AG440" s="111"/>
      <c r="AH440" s="111"/>
      <c r="AI440" s="110"/>
      <c r="AJ440" s="110"/>
      <c r="AK440" s="110"/>
      <c r="AL440" s="110"/>
      <c r="AM440" s="110"/>
      <c r="AN440" s="110"/>
      <c r="AO440" s="110"/>
      <c r="AP440" s="110"/>
      <c r="AQ440" s="110"/>
      <c r="AR440" s="110"/>
      <c r="AS440" s="110"/>
      <c r="AT440" s="110"/>
      <c r="AU440" s="110"/>
      <c r="AV440" s="110"/>
      <c r="AW440" s="110"/>
      <c r="AX440" s="110"/>
      <c r="AY440" s="110"/>
      <c r="AZ440" s="110"/>
      <c r="BA440" s="110"/>
      <c r="BB440" s="110"/>
      <c r="BC440" s="110"/>
      <c r="BD440" s="110"/>
      <c r="BE440" s="110"/>
      <c r="BF440" s="110"/>
      <c r="BG440" s="110"/>
      <c r="BH440" s="110"/>
      <c r="BI440" s="110"/>
      <c r="BJ440" s="110"/>
      <c r="BK440" s="110"/>
      <c r="BL440" s="110"/>
      <c r="BM440" s="110"/>
      <c r="BN440" s="110"/>
      <c r="BO440" s="110"/>
      <c r="BP440" s="110"/>
      <c r="BQ440" s="110"/>
      <c r="BR440" s="110"/>
      <c r="BS440" s="110"/>
      <c r="BT440" s="110"/>
      <c r="BU440" s="110"/>
      <c r="BV440" s="110"/>
      <c r="BW440" s="110"/>
      <c r="BX440" s="110"/>
      <c r="BY440" s="110"/>
      <c r="BZ440" s="110"/>
      <c r="CA440" s="110"/>
      <c r="CB440" s="110"/>
      <c r="CC440" s="110"/>
      <c r="CD440" s="110"/>
      <c r="CE440" s="110"/>
      <c r="CF440" s="110"/>
      <c r="CG440" s="110"/>
      <c r="CH440" s="110"/>
      <c r="CI440" s="110"/>
      <c r="CJ440" s="110"/>
      <c r="CK440" s="110"/>
      <c r="CL440" s="110"/>
      <c r="CM440" s="110"/>
      <c r="CN440" s="110"/>
      <c r="CO440" s="110"/>
    </row>
    <row r="441" spans="1:93">
      <c r="A441" s="110"/>
      <c r="B441" s="110"/>
      <c r="C441" s="110"/>
      <c r="D441" s="110"/>
      <c r="E441" s="110"/>
      <c r="F441" s="110"/>
      <c r="G441" s="110"/>
      <c r="H441" s="110"/>
      <c r="I441" s="110"/>
      <c r="J441" s="110"/>
      <c r="K441" s="110"/>
      <c r="L441" s="110"/>
      <c r="M441" s="110"/>
      <c r="N441" s="110"/>
      <c r="O441" s="110"/>
      <c r="P441" s="110"/>
      <c r="Q441" s="110"/>
      <c r="R441" s="110"/>
      <c r="S441" s="110"/>
      <c r="T441" s="110"/>
      <c r="U441" s="111"/>
      <c r="V441" s="111"/>
      <c r="W441" s="111"/>
      <c r="X441" s="112"/>
      <c r="Y441" s="112"/>
      <c r="Z441" s="112"/>
      <c r="AA441" s="112"/>
      <c r="AB441" s="112"/>
      <c r="AC441" s="111"/>
      <c r="AD441" s="111"/>
      <c r="AE441" s="111"/>
      <c r="AF441" s="111"/>
      <c r="AG441" s="111"/>
      <c r="AH441" s="111"/>
      <c r="AI441" s="110"/>
      <c r="AJ441" s="110"/>
      <c r="AK441" s="110"/>
      <c r="AL441" s="110"/>
      <c r="AM441" s="110"/>
      <c r="AN441" s="110"/>
      <c r="AO441" s="110"/>
      <c r="AP441" s="110"/>
      <c r="AQ441" s="110"/>
      <c r="AR441" s="110"/>
      <c r="AS441" s="110"/>
      <c r="AT441" s="110"/>
      <c r="AU441" s="110"/>
      <c r="AV441" s="110"/>
      <c r="AW441" s="110"/>
      <c r="AX441" s="110"/>
      <c r="AY441" s="110"/>
      <c r="AZ441" s="110"/>
      <c r="BA441" s="110"/>
      <c r="BB441" s="110"/>
      <c r="BC441" s="110"/>
      <c r="BD441" s="110"/>
      <c r="BE441" s="110"/>
      <c r="BF441" s="110"/>
      <c r="BG441" s="110"/>
      <c r="BH441" s="110"/>
      <c r="BI441" s="110"/>
      <c r="BJ441" s="110"/>
      <c r="BK441" s="110"/>
      <c r="BL441" s="110"/>
      <c r="BM441" s="110"/>
      <c r="BN441" s="110"/>
      <c r="BO441" s="110"/>
      <c r="BP441" s="110"/>
      <c r="BQ441" s="110"/>
      <c r="BR441" s="110"/>
      <c r="BS441" s="110"/>
      <c r="BT441" s="110"/>
      <c r="BU441" s="110"/>
      <c r="BV441" s="110"/>
      <c r="BW441" s="110"/>
      <c r="BX441" s="110"/>
      <c r="BY441" s="110"/>
      <c r="BZ441" s="110"/>
      <c r="CA441" s="110"/>
      <c r="CB441" s="110"/>
      <c r="CC441" s="110"/>
      <c r="CD441" s="110"/>
      <c r="CE441" s="110"/>
      <c r="CF441" s="110"/>
      <c r="CG441" s="110"/>
      <c r="CH441" s="110"/>
      <c r="CI441" s="110"/>
      <c r="CJ441" s="110"/>
      <c r="CK441" s="110"/>
      <c r="CL441" s="110"/>
      <c r="CM441" s="110"/>
      <c r="CN441" s="110"/>
      <c r="CO441" s="110"/>
    </row>
    <row r="442" spans="1:93">
      <c r="A442" s="110"/>
      <c r="B442" s="110"/>
      <c r="C442" s="110"/>
      <c r="D442" s="110"/>
      <c r="E442" s="110"/>
      <c r="F442" s="110"/>
      <c r="G442" s="110"/>
      <c r="H442" s="110"/>
      <c r="I442" s="110"/>
      <c r="J442" s="110"/>
      <c r="K442" s="110"/>
      <c r="L442" s="110"/>
      <c r="M442" s="110"/>
      <c r="N442" s="110"/>
      <c r="O442" s="110"/>
      <c r="P442" s="110"/>
      <c r="Q442" s="110"/>
      <c r="R442" s="110"/>
      <c r="S442" s="110"/>
      <c r="T442" s="110"/>
      <c r="U442" s="111"/>
      <c r="V442" s="111"/>
      <c r="W442" s="111"/>
      <c r="X442" s="112"/>
      <c r="Y442" s="112"/>
      <c r="Z442" s="112"/>
      <c r="AA442" s="112"/>
      <c r="AB442" s="112"/>
      <c r="AC442" s="111"/>
      <c r="AD442" s="111"/>
      <c r="AE442" s="111"/>
      <c r="AF442" s="111"/>
      <c r="AG442" s="111"/>
      <c r="AH442" s="111"/>
      <c r="AI442" s="110"/>
      <c r="AJ442" s="110"/>
      <c r="AK442" s="110"/>
      <c r="AL442" s="110"/>
      <c r="AM442" s="110"/>
      <c r="AN442" s="110"/>
      <c r="AO442" s="110"/>
      <c r="AP442" s="110"/>
      <c r="AQ442" s="110"/>
      <c r="AR442" s="110"/>
      <c r="AS442" s="110"/>
      <c r="AT442" s="110"/>
      <c r="AU442" s="110"/>
      <c r="AV442" s="110"/>
      <c r="AW442" s="110"/>
      <c r="AX442" s="110"/>
      <c r="AY442" s="110"/>
      <c r="AZ442" s="110"/>
      <c r="BA442" s="110"/>
      <c r="BB442" s="110"/>
      <c r="BC442" s="110"/>
      <c r="BD442" s="110"/>
      <c r="BE442" s="110"/>
      <c r="BF442" s="110"/>
      <c r="BG442" s="110"/>
      <c r="BH442" s="110"/>
      <c r="BI442" s="110"/>
      <c r="BJ442" s="110"/>
      <c r="BK442" s="110"/>
      <c r="BL442" s="110"/>
      <c r="BM442" s="110"/>
      <c r="BN442" s="110"/>
      <c r="BO442" s="110"/>
      <c r="BP442" s="110"/>
      <c r="BQ442" s="110"/>
      <c r="BR442" s="110"/>
      <c r="BS442" s="110"/>
      <c r="BT442" s="110"/>
      <c r="BU442" s="110"/>
      <c r="BV442" s="110"/>
      <c r="BW442" s="110"/>
      <c r="BX442" s="110"/>
      <c r="BY442" s="110"/>
      <c r="BZ442" s="110"/>
      <c r="CA442" s="110"/>
      <c r="CB442" s="110"/>
      <c r="CC442" s="110"/>
      <c r="CD442" s="110"/>
      <c r="CE442" s="110"/>
      <c r="CF442" s="110"/>
      <c r="CG442" s="110"/>
      <c r="CH442" s="110"/>
      <c r="CI442" s="110"/>
      <c r="CJ442" s="110"/>
      <c r="CK442" s="110"/>
      <c r="CL442" s="110"/>
      <c r="CM442" s="110"/>
      <c r="CN442" s="110"/>
      <c r="CO442" s="110"/>
    </row>
    <row r="443" spans="1:93">
      <c r="A443" s="110"/>
      <c r="B443" s="110"/>
      <c r="C443" s="110"/>
      <c r="D443" s="110"/>
      <c r="E443" s="110"/>
      <c r="F443" s="110"/>
      <c r="G443" s="110"/>
      <c r="H443" s="110"/>
      <c r="I443" s="110"/>
      <c r="J443" s="110"/>
      <c r="K443" s="110"/>
      <c r="L443" s="110"/>
      <c r="M443" s="110"/>
      <c r="N443" s="110"/>
      <c r="O443" s="110"/>
      <c r="P443" s="110"/>
      <c r="Q443" s="110"/>
      <c r="R443" s="110"/>
      <c r="S443" s="110"/>
      <c r="T443" s="110"/>
      <c r="U443" s="111"/>
      <c r="V443" s="111"/>
      <c r="W443" s="111"/>
      <c r="X443" s="112"/>
      <c r="Y443" s="112"/>
      <c r="Z443" s="112"/>
      <c r="AA443" s="112"/>
      <c r="AB443" s="112"/>
      <c r="AC443" s="111"/>
      <c r="AD443" s="111"/>
      <c r="AE443" s="111"/>
      <c r="AF443" s="111"/>
      <c r="AG443" s="111"/>
      <c r="AH443" s="111"/>
      <c r="AI443" s="110"/>
      <c r="AJ443" s="110"/>
      <c r="AK443" s="110"/>
      <c r="AL443" s="110"/>
      <c r="AM443" s="110"/>
      <c r="AN443" s="110"/>
      <c r="AO443" s="110"/>
      <c r="AP443" s="110"/>
      <c r="AQ443" s="110"/>
      <c r="AR443" s="110"/>
      <c r="AS443" s="110"/>
      <c r="AT443" s="110"/>
      <c r="AU443" s="110"/>
      <c r="AV443" s="110"/>
      <c r="AW443" s="110"/>
      <c r="AX443" s="110"/>
      <c r="AY443" s="110"/>
      <c r="AZ443" s="110"/>
      <c r="BA443" s="110"/>
      <c r="BB443" s="110"/>
      <c r="BC443" s="110"/>
      <c r="BD443" s="110"/>
      <c r="BE443" s="110"/>
      <c r="BF443" s="110"/>
      <c r="BG443" s="110"/>
      <c r="BH443" s="110"/>
      <c r="BI443" s="110"/>
      <c r="BJ443" s="110"/>
      <c r="BK443" s="110"/>
      <c r="BL443" s="110"/>
      <c r="BM443" s="110"/>
      <c r="BN443" s="110"/>
      <c r="BO443" s="110"/>
      <c r="BP443" s="110"/>
      <c r="BQ443" s="110"/>
      <c r="BR443" s="110"/>
      <c r="BS443" s="110"/>
      <c r="BT443" s="110"/>
      <c r="BU443" s="110"/>
      <c r="BV443" s="110"/>
      <c r="BW443" s="110"/>
      <c r="BX443" s="110"/>
      <c r="BY443" s="110"/>
      <c r="BZ443" s="110"/>
      <c r="CA443" s="110"/>
      <c r="CB443" s="110"/>
      <c r="CC443" s="110"/>
      <c r="CD443" s="110"/>
      <c r="CE443" s="110"/>
      <c r="CF443" s="110"/>
      <c r="CG443" s="110"/>
      <c r="CH443" s="110"/>
      <c r="CI443" s="110"/>
      <c r="CJ443" s="110"/>
      <c r="CK443" s="110"/>
      <c r="CL443" s="110"/>
      <c r="CM443" s="110"/>
      <c r="CN443" s="110"/>
      <c r="CO443" s="110"/>
    </row>
    <row r="444" spans="1:93">
      <c r="A444" s="110"/>
      <c r="B444" s="110"/>
      <c r="C444" s="110"/>
      <c r="D444" s="110"/>
      <c r="E444" s="110"/>
      <c r="F444" s="110"/>
      <c r="G444" s="110"/>
      <c r="H444" s="110"/>
      <c r="I444" s="110"/>
      <c r="J444" s="110"/>
      <c r="K444" s="110"/>
      <c r="L444" s="110"/>
      <c r="M444" s="110"/>
      <c r="N444" s="110"/>
      <c r="O444" s="110"/>
      <c r="P444" s="110"/>
      <c r="Q444" s="110"/>
      <c r="R444" s="110"/>
      <c r="S444" s="110"/>
      <c r="T444" s="110"/>
      <c r="U444" s="111"/>
      <c r="V444" s="111"/>
      <c r="W444" s="111"/>
      <c r="X444" s="112"/>
      <c r="Y444" s="112"/>
      <c r="Z444" s="112"/>
      <c r="AA444" s="112"/>
      <c r="AB444" s="112"/>
      <c r="AC444" s="111"/>
      <c r="AD444" s="111"/>
      <c r="AE444" s="111"/>
      <c r="AF444" s="111"/>
      <c r="AG444" s="111"/>
      <c r="AH444" s="111"/>
      <c r="AI444" s="110"/>
      <c r="AJ444" s="110"/>
      <c r="AK444" s="110"/>
      <c r="AL444" s="110"/>
      <c r="AM444" s="110"/>
      <c r="AN444" s="110"/>
      <c r="AO444" s="110"/>
      <c r="AP444" s="110"/>
      <c r="AQ444" s="110"/>
      <c r="AR444" s="110"/>
      <c r="AS444" s="110"/>
      <c r="AT444" s="110"/>
      <c r="AU444" s="110"/>
      <c r="AV444" s="110"/>
      <c r="AW444" s="110"/>
      <c r="AX444" s="110"/>
      <c r="AY444" s="110"/>
      <c r="AZ444" s="110"/>
      <c r="BA444" s="110"/>
      <c r="BB444" s="110"/>
      <c r="BC444" s="110"/>
      <c r="BD444" s="110"/>
      <c r="BE444" s="110"/>
      <c r="BF444" s="110"/>
      <c r="BG444" s="110"/>
      <c r="BH444" s="110"/>
      <c r="BI444" s="110"/>
      <c r="BJ444" s="110"/>
      <c r="BK444" s="110"/>
      <c r="BL444" s="110"/>
      <c r="BM444" s="110"/>
      <c r="BN444" s="110"/>
      <c r="BO444" s="110"/>
      <c r="BP444" s="110"/>
      <c r="BQ444" s="110"/>
      <c r="BR444" s="110"/>
      <c r="BS444" s="110"/>
      <c r="BT444" s="110"/>
      <c r="BU444" s="110"/>
      <c r="BV444" s="110"/>
      <c r="BW444" s="110"/>
      <c r="BX444" s="110"/>
      <c r="BY444" s="110"/>
      <c r="BZ444" s="110"/>
      <c r="CA444" s="110"/>
      <c r="CB444" s="110"/>
      <c r="CC444" s="110"/>
      <c r="CD444" s="110"/>
      <c r="CE444" s="110"/>
      <c r="CF444" s="110"/>
      <c r="CG444" s="110"/>
      <c r="CH444" s="110"/>
      <c r="CI444" s="110"/>
      <c r="CJ444" s="110"/>
      <c r="CK444" s="110"/>
      <c r="CL444" s="110"/>
      <c r="CM444" s="110"/>
      <c r="CN444" s="110"/>
      <c r="CO444" s="110"/>
    </row>
    <row r="445" spans="1:93">
      <c r="A445" s="110"/>
      <c r="B445" s="110"/>
      <c r="C445" s="110"/>
      <c r="D445" s="110"/>
      <c r="E445" s="110"/>
      <c r="F445" s="110"/>
      <c r="G445" s="110"/>
      <c r="H445" s="110"/>
      <c r="I445" s="110"/>
      <c r="J445" s="110"/>
      <c r="K445" s="110"/>
      <c r="L445" s="110"/>
      <c r="M445" s="110"/>
      <c r="N445" s="110"/>
      <c r="O445" s="110"/>
      <c r="P445" s="110"/>
      <c r="Q445" s="110"/>
      <c r="R445" s="110"/>
      <c r="S445" s="110"/>
      <c r="T445" s="110"/>
      <c r="U445" s="111"/>
      <c r="V445" s="111"/>
      <c r="W445" s="111"/>
      <c r="X445" s="112"/>
      <c r="Y445" s="112"/>
      <c r="Z445" s="112"/>
      <c r="AA445" s="112"/>
      <c r="AB445" s="112"/>
      <c r="AC445" s="111"/>
      <c r="AD445" s="111"/>
      <c r="AE445" s="111"/>
      <c r="AF445" s="111"/>
      <c r="AG445" s="111"/>
      <c r="AH445" s="111"/>
      <c r="AI445" s="110"/>
      <c r="AJ445" s="110"/>
      <c r="AK445" s="110"/>
      <c r="AL445" s="110"/>
      <c r="AM445" s="110"/>
      <c r="AN445" s="110"/>
      <c r="AO445" s="110"/>
      <c r="AP445" s="110"/>
      <c r="AQ445" s="110"/>
      <c r="AR445" s="110"/>
      <c r="AS445" s="110"/>
      <c r="AT445" s="110"/>
      <c r="AU445" s="110"/>
      <c r="AV445" s="110"/>
      <c r="AW445" s="110"/>
      <c r="AX445" s="110"/>
      <c r="AY445" s="110"/>
      <c r="AZ445" s="110"/>
      <c r="BA445" s="110"/>
      <c r="BB445" s="110"/>
      <c r="BC445" s="110"/>
      <c r="BD445" s="110"/>
      <c r="BE445" s="110"/>
      <c r="BF445" s="110"/>
      <c r="BG445" s="110"/>
      <c r="BH445" s="110"/>
      <c r="BI445" s="110"/>
      <c r="BJ445" s="110"/>
      <c r="BK445" s="110"/>
      <c r="BL445" s="110"/>
      <c r="BM445" s="110"/>
      <c r="BN445" s="110"/>
      <c r="BO445" s="110"/>
      <c r="BP445" s="110"/>
      <c r="BQ445" s="110"/>
      <c r="BR445" s="110"/>
      <c r="BS445" s="110"/>
      <c r="BT445" s="110"/>
      <c r="BU445" s="110"/>
      <c r="BV445" s="110"/>
      <c r="BW445" s="110"/>
      <c r="BX445" s="110"/>
      <c r="BY445" s="110"/>
      <c r="BZ445" s="110"/>
      <c r="CA445" s="110"/>
      <c r="CB445" s="110"/>
      <c r="CC445" s="110"/>
      <c r="CD445" s="110"/>
      <c r="CE445" s="110"/>
      <c r="CF445" s="110"/>
      <c r="CG445" s="110"/>
      <c r="CH445" s="110"/>
      <c r="CI445" s="110"/>
      <c r="CJ445" s="110"/>
      <c r="CK445" s="110"/>
      <c r="CL445" s="110"/>
      <c r="CM445" s="110"/>
      <c r="CN445" s="110"/>
      <c r="CO445" s="110"/>
    </row>
    <row r="446" spans="1:93">
      <c r="A446" s="110"/>
      <c r="B446" s="110"/>
      <c r="C446" s="110"/>
      <c r="D446" s="110"/>
      <c r="E446" s="110"/>
      <c r="F446" s="110"/>
      <c r="G446" s="110"/>
      <c r="H446" s="110"/>
      <c r="I446" s="110"/>
      <c r="J446" s="110"/>
      <c r="K446" s="110"/>
      <c r="L446" s="110"/>
      <c r="M446" s="110"/>
      <c r="N446" s="110"/>
      <c r="O446" s="110"/>
      <c r="P446" s="110"/>
      <c r="Q446" s="110"/>
      <c r="R446" s="110"/>
      <c r="S446" s="110"/>
      <c r="T446" s="110"/>
      <c r="U446" s="111"/>
      <c r="V446" s="111"/>
      <c r="W446" s="111"/>
      <c r="X446" s="112"/>
      <c r="Y446" s="112"/>
      <c r="Z446" s="112"/>
      <c r="AA446" s="112"/>
      <c r="AB446" s="112"/>
      <c r="AC446" s="111"/>
      <c r="AD446" s="111"/>
      <c r="AE446" s="111"/>
      <c r="AF446" s="111"/>
      <c r="AG446" s="111"/>
      <c r="AH446" s="111"/>
      <c r="AI446" s="110"/>
      <c r="AJ446" s="110"/>
      <c r="AK446" s="110"/>
      <c r="AL446" s="110"/>
      <c r="AM446" s="110"/>
      <c r="AN446" s="110"/>
      <c r="AO446" s="110"/>
      <c r="AP446" s="110"/>
      <c r="AQ446" s="110"/>
      <c r="AR446" s="110"/>
      <c r="AS446" s="110"/>
      <c r="AT446" s="110"/>
      <c r="AU446" s="110"/>
      <c r="AV446" s="110"/>
      <c r="AW446" s="110"/>
      <c r="AX446" s="110"/>
      <c r="AY446" s="110"/>
      <c r="AZ446" s="110"/>
      <c r="BA446" s="110"/>
      <c r="BB446" s="110"/>
      <c r="BC446" s="110"/>
      <c r="BD446" s="110"/>
      <c r="BE446" s="110"/>
      <c r="BF446" s="110"/>
      <c r="BG446" s="110"/>
      <c r="BH446" s="110"/>
      <c r="BI446" s="110"/>
      <c r="BJ446" s="110"/>
      <c r="BK446" s="110"/>
      <c r="BL446" s="110"/>
      <c r="BM446" s="110"/>
      <c r="BN446" s="110"/>
      <c r="BO446" s="110"/>
      <c r="BP446" s="110"/>
      <c r="BQ446" s="110"/>
      <c r="BR446" s="110"/>
      <c r="BS446" s="110"/>
      <c r="BT446" s="110"/>
      <c r="BU446" s="110"/>
      <c r="BV446" s="110"/>
      <c r="BW446" s="110"/>
      <c r="BX446" s="110"/>
      <c r="BY446" s="110"/>
      <c r="BZ446" s="110"/>
      <c r="CA446" s="110"/>
      <c r="CB446" s="110"/>
      <c r="CC446" s="110"/>
      <c r="CD446" s="110"/>
      <c r="CE446" s="110"/>
      <c r="CF446" s="110"/>
      <c r="CG446" s="110"/>
      <c r="CH446" s="110"/>
      <c r="CI446" s="110"/>
      <c r="CJ446" s="110"/>
      <c r="CK446" s="110"/>
      <c r="CL446" s="110"/>
      <c r="CM446" s="110"/>
      <c r="CN446" s="110"/>
      <c r="CO446" s="110"/>
    </row>
    <row r="447" spans="1:93">
      <c r="A447" s="110"/>
      <c r="B447" s="110"/>
      <c r="C447" s="110"/>
      <c r="D447" s="110"/>
      <c r="E447" s="110"/>
      <c r="F447" s="110"/>
      <c r="G447" s="110"/>
      <c r="H447" s="110"/>
      <c r="I447" s="110"/>
      <c r="J447" s="110"/>
      <c r="K447" s="110"/>
      <c r="L447" s="110"/>
      <c r="M447" s="110"/>
      <c r="N447" s="110"/>
      <c r="O447" s="110"/>
      <c r="P447" s="110"/>
      <c r="Q447" s="110"/>
      <c r="R447" s="110"/>
      <c r="S447" s="110"/>
      <c r="T447" s="110"/>
      <c r="U447" s="111"/>
      <c r="V447" s="111"/>
      <c r="W447" s="111"/>
      <c r="X447" s="112"/>
      <c r="Y447" s="112"/>
      <c r="Z447" s="112"/>
      <c r="AA447" s="112"/>
      <c r="AB447" s="112"/>
      <c r="AC447" s="111"/>
      <c r="AD447" s="111"/>
      <c r="AE447" s="111"/>
      <c r="AF447" s="111"/>
      <c r="AG447" s="111"/>
      <c r="AH447" s="111"/>
      <c r="AI447" s="110"/>
      <c r="AJ447" s="110"/>
      <c r="AK447" s="110"/>
      <c r="AL447" s="110"/>
      <c r="AM447" s="110"/>
      <c r="AN447" s="110"/>
      <c r="AO447" s="110"/>
      <c r="AP447" s="110"/>
      <c r="AQ447" s="110"/>
      <c r="AR447" s="110"/>
      <c r="AS447" s="110"/>
      <c r="AT447" s="110"/>
      <c r="AU447" s="110"/>
      <c r="AV447" s="110"/>
      <c r="AW447" s="110"/>
      <c r="AX447" s="110"/>
      <c r="AY447" s="110"/>
      <c r="AZ447" s="110"/>
      <c r="BA447" s="110"/>
      <c r="BB447" s="110"/>
      <c r="BC447" s="110"/>
      <c r="BD447" s="110"/>
      <c r="BE447" s="110"/>
      <c r="BF447" s="110"/>
      <c r="BG447" s="110"/>
      <c r="BH447" s="110"/>
      <c r="BI447" s="110"/>
      <c r="BJ447" s="110"/>
      <c r="BK447" s="110"/>
      <c r="BL447" s="110"/>
      <c r="BM447" s="110"/>
      <c r="BN447" s="110"/>
      <c r="BO447" s="110"/>
      <c r="BP447" s="110"/>
      <c r="BQ447" s="110"/>
      <c r="BR447" s="110"/>
      <c r="BS447" s="110"/>
      <c r="BT447" s="110"/>
      <c r="BU447" s="110"/>
      <c r="BV447" s="110"/>
      <c r="BW447" s="110"/>
      <c r="BX447" s="110"/>
      <c r="BY447" s="110"/>
      <c r="BZ447" s="110"/>
      <c r="CA447" s="110"/>
      <c r="CB447" s="110"/>
      <c r="CC447" s="110"/>
      <c r="CD447" s="110"/>
      <c r="CE447" s="110"/>
      <c r="CF447" s="110"/>
      <c r="CG447" s="110"/>
      <c r="CH447" s="110"/>
      <c r="CI447" s="110"/>
      <c r="CJ447" s="110"/>
      <c r="CK447" s="110"/>
      <c r="CL447" s="110"/>
      <c r="CM447" s="110"/>
      <c r="CN447" s="110"/>
      <c r="CO447" s="110"/>
    </row>
    <row r="448" spans="1:93">
      <c r="A448" s="110"/>
      <c r="B448" s="110"/>
      <c r="C448" s="110"/>
      <c r="D448" s="110"/>
      <c r="E448" s="110"/>
      <c r="F448" s="110"/>
      <c r="G448" s="110"/>
      <c r="H448" s="110"/>
      <c r="I448" s="110"/>
      <c r="J448" s="110"/>
      <c r="K448" s="110"/>
      <c r="L448" s="110"/>
      <c r="M448" s="110"/>
      <c r="N448" s="110"/>
      <c r="O448" s="110"/>
      <c r="P448" s="110"/>
      <c r="Q448" s="110"/>
      <c r="R448" s="110"/>
      <c r="S448" s="110"/>
      <c r="T448" s="110"/>
      <c r="U448" s="111"/>
      <c r="V448" s="111"/>
      <c r="W448" s="111"/>
      <c r="X448" s="112"/>
      <c r="Y448" s="112"/>
      <c r="Z448" s="112"/>
      <c r="AA448" s="112"/>
      <c r="AB448" s="112"/>
      <c r="AC448" s="111"/>
      <c r="AD448" s="111"/>
      <c r="AE448" s="111"/>
      <c r="AF448" s="111"/>
      <c r="AG448" s="111"/>
      <c r="AH448" s="111"/>
      <c r="AI448" s="110"/>
      <c r="AJ448" s="110"/>
      <c r="AK448" s="110"/>
      <c r="AL448" s="110"/>
      <c r="AM448" s="110"/>
      <c r="AN448" s="110"/>
      <c r="AO448" s="110"/>
      <c r="AP448" s="110"/>
      <c r="AQ448" s="110"/>
      <c r="AR448" s="110"/>
      <c r="AS448" s="110"/>
      <c r="AT448" s="110"/>
      <c r="AU448" s="110"/>
      <c r="AV448" s="110"/>
      <c r="AW448" s="110"/>
      <c r="AX448" s="110"/>
      <c r="AY448" s="110"/>
      <c r="AZ448" s="110"/>
      <c r="BA448" s="110"/>
      <c r="BB448" s="110"/>
      <c r="BC448" s="110"/>
      <c r="BD448" s="110"/>
      <c r="BE448" s="110"/>
      <c r="BF448" s="110"/>
      <c r="BG448" s="110"/>
      <c r="BH448" s="110"/>
      <c r="BI448" s="110"/>
      <c r="BJ448" s="110"/>
      <c r="BK448" s="110"/>
      <c r="BL448" s="110"/>
      <c r="BM448" s="110"/>
      <c r="BN448" s="110"/>
      <c r="BO448" s="110"/>
      <c r="BP448" s="110"/>
      <c r="BQ448" s="110"/>
      <c r="BR448" s="110"/>
      <c r="BS448" s="110"/>
      <c r="BT448" s="110"/>
      <c r="BU448" s="110"/>
      <c r="BV448" s="110"/>
      <c r="BW448" s="110"/>
      <c r="BX448" s="110"/>
      <c r="BY448" s="110"/>
      <c r="BZ448" s="110"/>
      <c r="CA448" s="110"/>
      <c r="CB448" s="110"/>
      <c r="CC448" s="110"/>
      <c r="CD448" s="110"/>
      <c r="CE448" s="110"/>
      <c r="CF448" s="110"/>
      <c r="CG448" s="110"/>
      <c r="CH448" s="110"/>
      <c r="CI448" s="110"/>
      <c r="CJ448" s="110"/>
      <c r="CK448" s="110"/>
      <c r="CL448" s="110"/>
      <c r="CM448" s="110"/>
      <c r="CN448" s="110"/>
      <c r="CO448" s="110"/>
    </row>
    <row r="449" spans="1:93">
      <c r="A449" s="110"/>
      <c r="B449" s="110"/>
      <c r="C449" s="110"/>
      <c r="D449" s="110"/>
      <c r="E449" s="110"/>
      <c r="F449" s="110"/>
      <c r="G449" s="110"/>
      <c r="H449" s="110"/>
      <c r="I449" s="110"/>
      <c r="J449" s="110"/>
      <c r="K449" s="110"/>
      <c r="L449" s="110"/>
      <c r="M449" s="110"/>
      <c r="N449" s="110"/>
      <c r="O449" s="110"/>
      <c r="P449" s="110"/>
      <c r="Q449" s="110"/>
      <c r="R449" s="110"/>
      <c r="S449" s="110"/>
      <c r="T449" s="110"/>
      <c r="U449" s="111"/>
      <c r="V449" s="111"/>
      <c r="W449" s="111"/>
      <c r="X449" s="112"/>
      <c r="Y449" s="112"/>
      <c r="Z449" s="112"/>
      <c r="AA449" s="112"/>
      <c r="AB449" s="112"/>
      <c r="AC449" s="111"/>
      <c r="AD449" s="111"/>
      <c r="AE449" s="111"/>
      <c r="AF449" s="111"/>
      <c r="AG449" s="111"/>
      <c r="AH449" s="111"/>
      <c r="AI449" s="110"/>
      <c r="AJ449" s="110"/>
      <c r="AK449" s="110"/>
      <c r="AL449" s="110"/>
      <c r="AM449" s="110"/>
      <c r="AN449" s="110"/>
      <c r="AO449" s="110"/>
      <c r="AP449" s="110"/>
      <c r="AQ449" s="110"/>
      <c r="AR449" s="110"/>
      <c r="AS449" s="110"/>
      <c r="AT449" s="110"/>
      <c r="AU449" s="110"/>
      <c r="AV449" s="110"/>
      <c r="AW449" s="110"/>
      <c r="AX449" s="110"/>
      <c r="AY449" s="110"/>
      <c r="AZ449" s="110"/>
      <c r="BA449" s="110"/>
      <c r="BB449" s="110"/>
      <c r="BC449" s="110"/>
      <c r="BD449" s="110"/>
      <c r="BE449" s="110"/>
      <c r="BF449" s="110"/>
      <c r="BG449" s="110"/>
      <c r="BH449" s="110"/>
      <c r="BI449" s="110"/>
      <c r="BJ449" s="110"/>
      <c r="BK449" s="110"/>
      <c r="BL449" s="110"/>
      <c r="BM449" s="110"/>
      <c r="BN449" s="110"/>
      <c r="BO449" s="110"/>
      <c r="BP449" s="110"/>
      <c r="BQ449" s="110"/>
      <c r="BR449" s="110"/>
      <c r="BS449" s="110"/>
      <c r="BT449" s="110"/>
      <c r="BU449" s="110"/>
      <c r="BV449" s="110"/>
      <c r="BW449" s="110"/>
      <c r="BX449" s="110"/>
      <c r="BY449" s="110"/>
      <c r="BZ449" s="110"/>
      <c r="CA449" s="110"/>
      <c r="CB449" s="110"/>
      <c r="CC449" s="110"/>
      <c r="CD449" s="110"/>
      <c r="CE449" s="110"/>
      <c r="CF449" s="110"/>
      <c r="CG449" s="110"/>
      <c r="CH449" s="110"/>
      <c r="CI449" s="110"/>
      <c r="CJ449" s="110"/>
      <c r="CK449" s="110"/>
      <c r="CL449" s="110"/>
      <c r="CM449" s="110"/>
      <c r="CN449" s="110"/>
      <c r="CO449" s="110"/>
    </row>
    <row r="450" spans="1:93">
      <c r="A450" s="110"/>
      <c r="B450" s="110"/>
      <c r="C450" s="110"/>
      <c r="D450" s="110"/>
      <c r="E450" s="110"/>
      <c r="F450" s="110"/>
      <c r="G450" s="110"/>
      <c r="H450" s="110"/>
      <c r="I450" s="110"/>
      <c r="J450" s="110"/>
      <c r="K450" s="110"/>
      <c r="L450" s="110"/>
      <c r="M450" s="110"/>
      <c r="N450" s="110"/>
      <c r="O450" s="110"/>
      <c r="P450" s="110"/>
      <c r="Q450" s="110"/>
      <c r="R450" s="110"/>
      <c r="S450" s="110"/>
      <c r="T450" s="110"/>
      <c r="U450" s="111"/>
      <c r="V450" s="111"/>
      <c r="W450" s="111"/>
      <c r="X450" s="112"/>
      <c r="Y450" s="112"/>
      <c r="Z450" s="112"/>
      <c r="AA450" s="112"/>
      <c r="AB450" s="112"/>
      <c r="AC450" s="111"/>
      <c r="AD450" s="111"/>
      <c r="AE450" s="111"/>
      <c r="AF450" s="111"/>
      <c r="AG450" s="111"/>
      <c r="AH450" s="111"/>
      <c r="AI450" s="110"/>
      <c r="AJ450" s="110"/>
      <c r="AK450" s="110"/>
      <c r="AL450" s="110"/>
      <c r="AM450" s="110"/>
      <c r="AN450" s="110"/>
      <c r="AO450" s="110"/>
      <c r="AP450" s="110"/>
      <c r="AQ450" s="110"/>
      <c r="AR450" s="110"/>
      <c r="AS450" s="110"/>
      <c r="AT450" s="110"/>
      <c r="AU450" s="110"/>
      <c r="AV450" s="110"/>
      <c r="AW450" s="110"/>
      <c r="AX450" s="110"/>
      <c r="AY450" s="110"/>
      <c r="AZ450" s="110"/>
      <c r="BA450" s="110"/>
      <c r="BB450" s="110"/>
      <c r="BC450" s="110"/>
      <c r="BD450" s="110"/>
      <c r="BE450" s="110"/>
      <c r="BF450" s="110"/>
      <c r="BG450" s="110"/>
      <c r="BH450" s="110"/>
      <c r="BI450" s="110"/>
      <c r="BJ450" s="110"/>
      <c r="BK450" s="110"/>
      <c r="BL450" s="110"/>
      <c r="BM450" s="110"/>
      <c r="BN450" s="110"/>
      <c r="BO450" s="110"/>
      <c r="BP450" s="110"/>
      <c r="BQ450" s="110"/>
      <c r="BR450" s="110"/>
      <c r="BS450" s="110"/>
      <c r="BT450" s="110"/>
      <c r="BU450" s="110"/>
      <c r="BV450" s="110"/>
      <c r="BW450" s="110"/>
      <c r="BX450" s="110"/>
      <c r="BY450" s="110"/>
      <c r="BZ450" s="110"/>
      <c r="CA450" s="110"/>
      <c r="CB450" s="110"/>
      <c r="CC450" s="110"/>
      <c r="CD450" s="110"/>
      <c r="CE450" s="110"/>
      <c r="CF450" s="110"/>
      <c r="CG450" s="110"/>
      <c r="CH450" s="110"/>
      <c r="CI450" s="110"/>
      <c r="CJ450" s="110"/>
      <c r="CK450" s="110"/>
      <c r="CL450" s="110"/>
      <c r="CM450" s="110"/>
      <c r="CN450" s="110"/>
      <c r="CO450" s="110"/>
    </row>
    <row r="451" spans="1:93">
      <c r="A451" s="110"/>
      <c r="B451" s="110"/>
      <c r="C451" s="110"/>
      <c r="D451" s="110"/>
      <c r="E451" s="110"/>
      <c r="F451" s="110"/>
      <c r="G451" s="110"/>
      <c r="H451" s="110"/>
      <c r="I451" s="110"/>
      <c r="J451" s="110"/>
      <c r="K451" s="110"/>
      <c r="L451" s="110"/>
      <c r="M451" s="110"/>
      <c r="N451" s="110"/>
      <c r="O451" s="110"/>
      <c r="P451" s="110"/>
      <c r="Q451" s="110"/>
      <c r="R451" s="110"/>
      <c r="S451" s="110"/>
      <c r="T451" s="110"/>
      <c r="U451" s="111"/>
      <c r="V451" s="111"/>
      <c r="W451" s="111"/>
      <c r="X451" s="112"/>
      <c r="Y451" s="112"/>
      <c r="Z451" s="112"/>
      <c r="AA451" s="112"/>
      <c r="AB451" s="112"/>
      <c r="AC451" s="111"/>
      <c r="AD451" s="111"/>
      <c r="AE451" s="111"/>
      <c r="AF451" s="111"/>
      <c r="AG451" s="111"/>
      <c r="AH451" s="111"/>
      <c r="AI451" s="110"/>
      <c r="AJ451" s="110"/>
      <c r="AK451" s="110"/>
      <c r="AL451" s="110"/>
      <c r="AM451" s="110"/>
      <c r="AN451" s="110"/>
      <c r="AO451" s="110"/>
      <c r="AP451" s="110"/>
      <c r="AQ451" s="110"/>
      <c r="AR451" s="110"/>
      <c r="AS451" s="110"/>
      <c r="AT451" s="110"/>
      <c r="AU451" s="110"/>
      <c r="AV451" s="110"/>
      <c r="AW451" s="110"/>
      <c r="AX451" s="110"/>
      <c r="AY451" s="110"/>
      <c r="AZ451" s="110"/>
      <c r="BA451" s="110"/>
      <c r="BB451" s="110"/>
      <c r="BC451" s="110"/>
      <c r="BD451" s="110"/>
      <c r="BE451" s="110"/>
      <c r="BF451" s="110"/>
      <c r="BG451" s="110"/>
      <c r="BH451" s="110"/>
      <c r="BI451" s="110"/>
      <c r="BJ451" s="110"/>
      <c r="BK451" s="110"/>
      <c r="BL451" s="110"/>
      <c r="BM451" s="110"/>
      <c r="BN451" s="110"/>
      <c r="BO451" s="110"/>
      <c r="BP451" s="110"/>
      <c r="BQ451" s="110"/>
      <c r="BR451" s="110"/>
      <c r="BS451" s="110"/>
      <c r="BT451" s="110"/>
      <c r="BU451" s="110"/>
      <c r="BV451" s="110"/>
      <c r="BW451" s="110"/>
      <c r="BX451" s="110"/>
      <c r="BY451" s="110"/>
      <c r="BZ451" s="110"/>
      <c r="CA451" s="110"/>
      <c r="CB451" s="110"/>
      <c r="CC451" s="110"/>
      <c r="CD451" s="110"/>
      <c r="CE451" s="110"/>
      <c r="CF451" s="110"/>
      <c r="CG451" s="110"/>
      <c r="CH451" s="110"/>
      <c r="CI451" s="110"/>
      <c r="CJ451" s="110"/>
      <c r="CK451" s="110"/>
      <c r="CL451" s="110"/>
      <c r="CM451" s="110"/>
      <c r="CN451" s="110"/>
      <c r="CO451" s="110"/>
    </row>
    <row r="452" spans="1:93">
      <c r="A452" s="110"/>
      <c r="B452" s="110"/>
      <c r="C452" s="110"/>
      <c r="D452" s="110"/>
      <c r="E452" s="110"/>
      <c r="F452" s="110"/>
      <c r="G452" s="110"/>
      <c r="H452" s="110"/>
      <c r="I452" s="110"/>
      <c r="J452" s="110"/>
      <c r="K452" s="110"/>
      <c r="L452" s="110"/>
      <c r="M452" s="110"/>
      <c r="N452" s="110"/>
      <c r="O452" s="110"/>
      <c r="P452" s="110"/>
      <c r="Q452" s="110"/>
      <c r="R452" s="110"/>
      <c r="S452" s="110"/>
      <c r="T452" s="110"/>
      <c r="U452" s="111"/>
      <c r="V452" s="111"/>
      <c r="W452" s="111"/>
      <c r="X452" s="112"/>
      <c r="Y452" s="112"/>
      <c r="Z452" s="112"/>
      <c r="AA452" s="112"/>
      <c r="AB452" s="112"/>
      <c r="AC452" s="111"/>
      <c r="AD452" s="111"/>
      <c r="AE452" s="111"/>
      <c r="AF452" s="111"/>
      <c r="AG452" s="111"/>
      <c r="AH452" s="111"/>
      <c r="AI452" s="110"/>
      <c r="AJ452" s="110"/>
      <c r="AK452" s="110"/>
      <c r="AL452" s="110"/>
      <c r="AM452" s="110"/>
      <c r="AN452" s="110"/>
      <c r="AO452" s="110"/>
      <c r="AP452" s="110"/>
      <c r="AQ452" s="110"/>
      <c r="AR452" s="110"/>
      <c r="AS452" s="110"/>
      <c r="AT452" s="110"/>
      <c r="AU452" s="110"/>
      <c r="AV452" s="110"/>
      <c r="AW452" s="110"/>
      <c r="AX452" s="110"/>
      <c r="AY452" s="110"/>
      <c r="AZ452" s="110"/>
      <c r="BA452" s="110"/>
      <c r="BB452" s="110"/>
      <c r="BC452" s="110"/>
      <c r="BD452" s="110"/>
      <c r="BE452" s="110"/>
      <c r="BF452" s="110"/>
      <c r="BG452" s="110"/>
      <c r="BH452" s="110"/>
      <c r="BI452" s="110"/>
      <c r="BJ452" s="110"/>
      <c r="BK452" s="110"/>
      <c r="BL452" s="110"/>
      <c r="BM452" s="110"/>
      <c r="BN452" s="110"/>
      <c r="BO452" s="110"/>
      <c r="BP452" s="110"/>
      <c r="BQ452" s="110"/>
      <c r="BR452" s="110"/>
      <c r="BS452" s="110"/>
      <c r="BT452" s="110"/>
      <c r="BU452" s="110"/>
      <c r="BV452" s="110"/>
      <c r="BW452" s="110"/>
      <c r="BX452" s="110"/>
      <c r="BY452" s="110"/>
      <c r="BZ452" s="110"/>
      <c r="CA452" s="110"/>
      <c r="CB452" s="110"/>
      <c r="CC452" s="110"/>
      <c r="CD452" s="110"/>
      <c r="CE452" s="110"/>
      <c r="CF452" s="110"/>
      <c r="CG452" s="110"/>
      <c r="CH452" s="110"/>
      <c r="CI452" s="110"/>
      <c r="CJ452" s="110"/>
      <c r="CK452" s="110"/>
      <c r="CL452" s="110"/>
      <c r="CM452" s="110"/>
      <c r="CN452" s="110"/>
      <c r="CO452" s="110"/>
    </row>
    <row r="453" spans="1:93">
      <c r="A453" s="110"/>
      <c r="B453" s="110"/>
      <c r="C453" s="110"/>
      <c r="D453" s="110"/>
      <c r="E453" s="110"/>
      <c r="F453" s="110"/>
      <c r="G453" s="110"/>
      <c r="H453" s="110"/>
      <c r="I453" s="110"/>
      <c r="J453" s="110"/>
      <c r="K453" s="110"/>
      <c r="L453" s="110"/>
      <c r="M453" s="110"/>
      <c r="N453" s="110"/>
      <c r="O453" s="110"/>
      <c r="P453" s="110"/>
      <c r="Q453" s="110"/>
      <c r="R453" s="110"/>
      <c r="S453" s="110"/>
      <c r="T453" s="110"/>
      <c r="U453" s="111"/>
      <c r="V453" s="111"/>
      <c r="W453" s="111"/>
      <c r="X453" s="112"/>
      <c r="Y453" s="112"/>
      <c r="Z453" s="112"/>
      <c r="AA453" s="112"/>
      <c r="AB453" s="112"/>
      <c r="AC453" s="111"/>
      <c r="AD453" s="111"/>
      <c r="AE453" s="111"/>
      <c r="AF453" s="111"/>
      <c r="AG453" s="111"/>
      <c r="AH453" s="111"/>
      <c r="AI453" s="110"/>
      <c r="AJ453" s="110"/>
      <c r="AK453" s="110"/>
      <c r="AL453" s="110"/>
      <c r="AM453" s="110"/>
      <c r="AN453" s="110"/>
      <c r="AO453" s="110"/>
      <c r="AP453" s="110"/>
      <c r="AQ453" s="110"/>
      <c r="AR453" s="110"/>
      <c r="AS453" s="110"/>
      <c r="AT453" s="110"/>
      <c r="AU453" s="110"/>
      <c r="AV453" s="110"/>
      <c r="AW453" s="110"/>
      <c r="AX453" s="110"/>
      <c r="AY453" s="110"/>
      <c r="AZ453" s="110"/>
      <c r="BA453" s="110"/>
      <c r="BB453" s="110"/>
      <c r="BC453" s="110"/>
      <c r="BD453" s="110"/>
      <c r="BE453" s="110"/>
      <c r="BF453" s="110"/>
      <c r="BG453" s="110"/>
      <c r="BH453" s="110"/>
      <c r="BI453" s="110"/>
      <c r="BJ453" s="110"/>
      <c r="BK453" s="110"/>
      <c r="BL453" s="110"/>
      <c r="BM453" s="110"/>
      <c r="BN453" s="110"/>
      <c r="BO453" s="110"/>
      <c r="BP453" s="110"/>
      <c r="BQ453" s="110"/>
      <c r="BR453" s="110"/>
      <c r="BS453" s="110"/>
      <c r="BT453" s="110"/>
      <c r="BU453" s="110"/>
      <c r="BV453" s="110"/>
      <c r="BW453" s="110"/>
      <c r="BX453" s="110"/>
      <c r="BY453" s="110"/>
      <c r="BZ453" s="110"/>
      <c r="CA453" s="110"/>
      <c r="CB453" s="110"/>
      <c r="CC453" s="110"/>
      <c r="CD453" s="110"/>
      <c r="CE453" s="110"/>
      <c r="CF453" s="110"/>
      <c r="CG453" s="110"/>
      <c r="CH453" s="110"/>
      <c r="CI453" s="110"/>
      <c r="CJ453" s="110"/>
      <c r="CK453" s="110"/>
      <c r="CL453" s="110"/>
      <c r="CM453" s="110"/>
      <c r="CN453" s="110"/>
      <c r="CO453" s="110"/>
    </row>
    <row r="454" spans="1:93">
      <c r="A454" s="110"/>
      <c r="B454" s="110"/>
      <c r="C454" s="110"/>
      <c r="D454" s="110"/>
      <c r="E454" s="110"/>
      <c r="F454" s="110"/>
      <c r="G454" s="110"/>
      <c r="H454" s="110"/>
      <c r="I454" s="110"/>
      <c r="J454" s="110"/>
      <c r="K454" s="110"/>
      <c r="L454" s="110"/>
      <c r="M454" s="110"/>
      <c r="N454" s="110"/>
      <c r="O454" s="110"/>
      <c r="P454" s="110"/>
      <c r="Q454" s="110"/>
      <c r="R454" s="110"/>
      <c r="S454" s="110"/>
      <c r="T454" s="110"/>
      <c r="U454" s="111"/>
      <c r="V454" s="111"/>
      <c r="W454" s="111"/>
      <c r="X454" s="112"/>
      <c r="Y454" s="112"/>
      <c r="Z454" s="112"/>
      <c r="AA454" s="112"/>
      <c r="AB454" s="112"/>
      <c r="AC454" s="111"/>
      <c r="AD454" s="111"/>
      <c r="AE454" s="111"/>
      <c r="AF454" s="111"/>
      <c r="AG454" s="111"/>
      <c r="AH454" s="111"/>
      <c r="AI454" s="110"/>
      <c r="AJ454" s="110"/>
      <c r="AK454" s="110"/>
      <c r="AL454" s="110"/>
      <c r="AM454" s="110"/>
      <c r="AN454" s="110"/>
      <c r="AO454" s="110"/>
      <c r="AP454" s="110"/>
      <c r="AQ454" s="110"/>
      <c r="AR454" s="110"/>
      <c r="AS454" s="110"/>
      <c r="AT454" s="110"/>
      <c r="AU454" s="110"/>
      <c r="AV454" s="110"/>
      <c r="AW454" s="110"/>
      <c r="AX454" s="110"/>
      <c r="AY454" s="110"/>
      <c r="AZ454" s="110"/>
      <c r="BA454" s="110"/>
      <c r="BB454" s="110"/>
      <c r="BC454" s="110"/>
      <c r="BD454" s="110"/>
      <c r="BE454" s="110"/>
      <c r="BF454" s="110"/>
      <c r="BG454" s="110"/>
      <c r="BH454" s="110"/>
      <c r="BI454" s="110"/>
      <c r="BJ454" s="110"/>
      <c r="BK454" s="110"/>
      <c r="BL454" s="110"/>
      <c r="BM454" s="110"/>
      <c r="BN454" s="110"/>
      <c r="BO454" s="110"/>
      <c r="BP454" s="110"/>
      <c r="BQ454" s="110"/>
      <c r="BR454" s="110"/>
      <c r="BS454" s="110"/>
      <c r="BT454" s="110"/>
      <c r="BU454" s="110"/>
      <c r="BV454" s="110"/>
      <c r="BW454" s="110"/>
      <c r="BX454" s="110"/>
      <c r="BY454" s="110"/>
      <c r="BZ454" s="110"/>
      <c r="CA454" s="110"/>
      <c r="CB454" s="110"/>
      <c r="CC454" s="110"/>
      <c r="CD454" s="110"/>
      <c r="CE454" s="110"/>
      <c r="CF454" s="110"/>
      <c r="CG454" s="110"/>
      <c r="CH454" s="110"/>
      <c r="CI454" s="110"/>
      <c r="CJ454" s="110"/>
      <c r="CK454" s="110"/>
      <c r="CL454" s="110"/>
      <c r="CM454" s="110"/>
      <c r="CN454" s="110"/>
      <c r="CO454" s="110"/>
    </row>
    <row r="455" spans="1:93">
      <c r="A455" s="110"/>
      <c r="B455" s="110"/>
      <c r="C455" s="110"/>
      <c r="D455" s="110"/>
      <c r="E455" s="110"/>
      <c r="F455" s="110"/>
      <c r="G455" s="110"/>
      <c r="H455" s="110"/>
      <c r="I455" s="110"/>
      <c r="J455" s="110"/>
      <c r="K455" s="110"/>
      <c r="L455" s="110"/>
      <c r="M455" s="110"/>
      <c r="N455" s="110"/>
      <c r="O455" s="110"/>
      <c r="P455" s="110"/>
      <c r="Q455" s="110"/>
      <c r="R455" s="110"/>
      <c r="S455" s="110"/>
      <c r="T455" s="110"/>
      <c r="U455" s="111"/>
      <c r="V455" s="111"/>
      <c r="W455" s="111"/>
      <c r="X455" s="112"/>
      <c r="Y455" s="112"/>
      <c r="Z455" s="112"/>
      <c r="AA455" s="112"/>
      <c r="AB455" s="112"/>
      <c r="AC455" s="111"/>
      <c r="AD455" s="111"/>
      <c r="AE455" s="111"/>
      <c r="AF455" s="111"/>
      <c r="AG455" s="111"/>
      <c r="AH455" s="111"/>
      <c r="AI455" s="110"/>
      <c r="AJ455" s="110"/>
      <c r="AK455" s="110"/>
      <c r="AL455" s="110"/>
      <c r="AM455" s="110"/>
      <c r="AN455" s="110"/>
      <c r="AO455" s="110"/>
      <c r="AP455" s="110"/>
      <c r="AQ455" s="110"/>
      <c r="AR455" s="110"/>
      <c r="AS455" s="110"/>
      <c r="AT455" s="110"/>
      <c r="AU455" s="110"/>
      <c r="AV455" s="110"/>
      <c r="AW455" s="110"/>
      <c r="AX455" s="110"/>
      <c r="AY455" s="110"/>
      <c r="AZ455" s="110"/>
      <c r="BA455" s="110"/>
      <c r="BB455" s="110"/>
      <c r="BC455" s="110"/>
      <c r="BD455" s="110"/>
      <c r="BE455" s="110"/>
      <c r="BF455" s="110"/>
      <c r="BG455" s="110"/>
      <c r="BH455" s="110"/>
      <c r="BI455" s="110"/>
      <c r="BJ455" s="110"/>
      <c r="BK455" s="110"/>
      <c r="BL455" s="110"/>
      <c r="BM455" s="110"/>
      <c r="BN455" s="110"/>
      <c r="BO455" s="110"/>
      <c r="BP455" s="110"/>
      <c r="BQ455" s="110"/>
      <c r="BR455" s="110"/>
      <c r="BS455" s="110"/>
      <c r="BT455" s="110"/>
      <c r="BU455" s="110"/>
      <c r="BV455" s="110"/>
      <c r="BW455" s="110"/>
      <c r="BX455" s="110"/>
      <c r="BY455" s="110"/>
      <c r="BZ455" s="110"/>
      <c r="CA455" s="110"/>
      <c r="CB455" s="110"/>
      <c r="CC455" s="110"/>
      <c r="CD455" s="110"/>
      <c r="CE455" s="110"/>
      <c r="CF455" s="110"/>
      <c r="CG455" s="110"/>
      <c r="CH455" s="110"/>
      <c r="CI455" s="110"/>
      <c r="CJ455" s="110"/>
      <c r="CK455" s="110"/>
      <c r="CL455" s="110"/>
      <c r="CM455" s="110"/>
      <c r="CN455" s="110"/>
      <c r="CO455" s="110"/>
    </row>
    <row r="456" spans="1:93">
      <c r="A456" s="110"/>
      <c r="B456" s="110"/>
      <c r="C456" s="110"/>
      <c r="D456" s="110"/>
      <c r="E456" s="110"/>
      <c r="F456" s="110"/>
      <c r="G456" s="110"/>
      <c r="H456" s="110"/>
      <c r="I456" s="110"/>
      <c r="J456" s="110"/>
      <c r="K456" s="110"/>
      <c r="L456" s="110"/>
      <c r="M456" s="110"/>
      <c r="N456" s="110"/>
      <c r="O456" s="110"/>
      <c r="P456" s="110"/>
      <c r="Q456" s="110"/>
      <c r="R456" s="110"/>
      <c r="S456" s="110"/>
      <c r="T456" s="110"/>
      <c r="U456" s="111"/>
      <c r="V456" s="111"/>
      <c r="W456" s="111"/>
      <c r="X456" s="112"/>
      <c r="Y456" s="112"/>
      <c r="Z456" s="112"/>
      <c r="AA456" s="112"/>
      <c r="AB456" s="112"/>
      <c r="AC456" s="111"/>
      <c r="AD456" s="111"/>
      <c r="AE456" s="111"/>
      <c r="AF456" s="111"/>
      <c r="AG456" s="111"/>
      <c r="AH456" s="111"/>
      <c r="AI456" s="110"/>
      <c r="AJ456" s="110"/>
      <c r="AK456" s="110"/>
      <c r="AL456" s="110"/>
      <c r="AM456" s="110"/>
      <c r="AN456" s="110"/>
      <c r="AO456" s="110"/>
      <c r="AP456" s="110"/>
      <c r="AQ456" s="110"/>
      <c r="AR456" s="110"/>
      <c r="AS456" s="110"/>
      <c r="AT456" s="110"/>
      <c r="AU456" s="110"/>
      <c r="AV456" s="110"/>
      <c r="AW456" s="110"/>
      <c r="AX456" s="110"/>
      <c r="AY456" s="110"/>
      <c r="AZ456" s="110"/>
      <c r="BA456" s="110"/>
      <c r="BB456" s="110"/>
      <c r="BC456" s="110"/>
      <c r="BD456" s="110"/>
      <c r="BE456" s="110"/>
      <c r="BF456" s="110"/>
      <c r="BG456" s="110"/>
      <c r="BH456" s="110"/>
      <c r="BI456" s="110"/>
      <c r="BJ456" s="110"/>
      <c r="BK456" s="110"/>
      <c r="BL456" s="110"/>
      <c r="BM456" s="110"/>
      <c r="BN456" s="110"/>
      <c r="BO456" s="110"/>
      <c r="BP456" s="110"/>
      <c r="BQ456" s="110"/>
      <c r="BR456" s="110"/>
      <c r="BS456" s="110"/>
      <c r="BT456" s="110"/>
      <c r="BU456" s="110"/>
      <c r="BV456" s="110"/>
      <c r="BW456" s="110"/>
      <c r="BX456" s="110"/>
      <c r="BY456" s="110"/>
      <c r="BZ456" s="110"/>
      <c r="CA456" s="110"/>
      <c r="CB456" s="110"/>
      <c r="CC456" s="110"/>
      <c r="CD456" s="110"/>
      <c r="CE456" s="110"/>
      <c r="CF456" s="110"/>
      <c r="CG456" s="110"/>
      <c r="CH456" s="110"/>
      <c r="CI456" s="110"/>
      <c r="CJ456" s="110"/>
      <c r="CK456" s="110"/>
      <c r="CL456" s="110"/>
      <c r="CM456" s="110"/>
      <c r="CN456" s="110"/>
      <c r="CO456" s="110"/>
    </row>
    <row r="457" spans="1:93">
      <c r="A457" s="110"/>
      <c r="B457" s="110"/>
      <c r="C457" s="110"/>
      <c r="D457" s="110"/>
      <c r="E457" s="110"/>
      <c r="F457" s="110"/>
      <c r="G457" s="110"/>
      <c r="H457" s="110"/>
      <c r="I457" s="110"/>
      <c r="J457" s="110"/>
      <c r="K457" s="110"/>
      <c r="L457" s="110"/>
      <c r="M457" s="110"/>
      <c r="N457" s="110"/>
      <c r="O457" s="110"/>
      <c r="P457" s="110"/>
      <c r="Q457" s="110"/>
      <c r="R457" s="110"/>
      <c r="S457" s="110"/>
      <c r="T457" s="110"/>
      <c r="U457" s="111"/>
      <c r="V457" s="111"/>
      <c r="W457" s="111"/>
      <c r="X457" s="112"/>
      <c r="Y457" s="112"/>
      <c r="Z457" s="112"/>
      <c r="AA457" s="112"/>
      <c r="AB457" s="112"/>
      <c r="AC457" s="111"/>
      <c r="AD457" s="111"/>
      <c r="AE457" s="111"/>
      <c r="AF457" s="111"/>
      <c r="AG457" s="111"/>
      <c r="AH457" s="111"/>
      <c r="AI457" s="110"/>
      <c r="AJ457" s="110"/>
      <c r="AK457" s="110"/>
      <c r="AL457" s="110"/>
      <c r="AM457" s="110"/>
      <c r="AN457" s="110"/>
      <c r="AO457" s="110"/>
      <c r="AP457" s="110"/>
      <c r="AQ457" s="110"/>
      <c r="AR457" s="110"/>
      <c r="AS457" s="110"/>
      <c r="AT457" s="110"/>
      <c r="AU457" s="110"/>
      <c r="AV457" s="110"/>
      <c r="AW457" s="110"/>
      <c r="AX457" s="110"/>
      <c r="AY457" s="110"/>
      <c r="AZ457" s="110"/>
      <c r="BA457" s="110"/>
      <c r="BB457" s="110"/>
      <c r="BC457" s="110"/>
      <c r="BD457" s="110"/>
      <c r="BE457" s="110"/>
      <c r="BF457" s="110"/>
      <c r="BG457" s="110"/>
      <c r="BH457" s="110"/>
      <c r="BI457" s="110"/>
      <c r="BJ457" s="110"/>
      <c r="BK457" s="110"/>
      <c r="BL457" s="110"/>
      <c r="BM457" s="110"/>
      <c r="BN457" s="110"/>
      <c r="BO457" s="110"/>
      <c r="BP457" s="110"/>
      <c r="BQ457" s="110"/>
      <c r="BR457" s="110"/>
      <c r="BS457" s="110"/>
      <c r="BT457" s="110"/>
      <c r="BU457" s="110"/>
      <c r="BV457" s="110"/>
      <c r="BW457" s="110"/>
      <c r="BX457" s="110"/>
      <c r="BY457" s="110"/>
      <c r="BZ457" s="110"/>
      <c r="CA457" s="110"/>
      <c r="CB457" s="110"/>
      <c r="CC457" s="110"/>
      <c r="CD457" s="110"/>
      <c r="CE457" s="110"/>
      <c r="CF457" s="110"/>
      <c r="CG457" s="110"/>
      <c r="CH457" s="110"/>
      <c r="CI457" s="110"/>
      <c r="CJ457" s="110"/>
      <c r="CK457" s="110"/>
      <c r="CL457" s="110"/>
      <c r="CM457" s="110"/>
      <c r="CN457" s="110"/>
      <c r="CO457" s="110"/>
    </row>
    <row r="458" spans="1:93">
      <c r="A458" s="110"/>
      <c r="B458" s="110"/>
      <c r="C458" s="110"/>
      <c r="D458" s="110"/>
      <c r="E458" s="110"/>
      <c r="F458" s="110"/>
      <c r="G458" s="110"/>
      <c r="H458" s="110"/>
      <c r="I458" s="110"/>
      <c r="J458" s="110"/>
      <c r="K458" s="110"/>
      <c r="L458" s="110"/>
      <c r="M458" s="110"/>
      <c r="N458" s="110"/>
      <c r="O458" s="110"/>
      <c r="P458" s="110"/>
      <c r="Q458" s="110"/>
      <c r="R458" s="110"/>
      <c r="S458" s="110"/>
      <c r="T458" s="110"/>
      <c r="U458" s="111"/>
      <c r="V458" s="111"/>
      <c r="W458" s="111"/>
      <c r="X458" s="112"/>
      <c r="Y458" s="112"/>
      <c r="Z458" s="112"/>
      <c r="AA458" s="112"/>
      <c r="AB458" s="112"/>
      <c r="AC458" s="111"/>
      <c r="AD458" s="111"/>
      <c r="AE458" s="111"/>
      <c r="AF458" s="111"/>
      <c r="AG458" s="111"/>
      <c r="AH458" s="111"/>
      <c r="AI458" s="110"/>
      <c r="AJ458" s="110"/>
      <c r="AK458" s="110"/>
      <c r="AL458" s="110"/>
      <c r="AM458" s="110"/>
      <c r="AN458" s="110"/>
      <c r="AO458" s="110"/>
      <c r="AP458" s="110"/>
      <c r="AQ458" s="110"/>
      <c r="AR458" s="110"/>
      <c r="AS458" s="110"/>
      <c r="AT458" s="110"/>
      <c r="AU458" s="110"/>
      <c r="AV458" s="110"/>
      <c r="AW458" s="110"/>
      <c r="AX458" s="110"/>
      <c r="AY458" s="110"/>
      <c r="AZ458" s="110"/>
      <c r="BA458" s="110"/>
      <c r="BB458" s="110"/>
      <c r="BC458" s="110"/>
      <c r="BD458" s="110"/>
      <c r="BE458" s="110"/>
      <c r="BF458" s="110"/>
      <c r="BG458" s="110"/>
      <c r="BH458" s="110"/>
      <c r="BI458" s="110"/>
      <c r="BJ458" s="110"/>
      <c r="BK458" s="110"/>
      <c r="BL458" s="110"/>
      <c r="BM458" s="110"/>
      <c r="BN458" s="110"/>
      <c r="BO458" s="110"/>
      <c r="BP458" s="110"/>
      <c r="BQ458" s="110"/>
      <c r="BR458" s="110"/>
      <c r="BS458" s="110"/>
      <c r="BT458" s="110"/>
      <c r="BU458" s="110"/>
      <c r="BV458" s="110"/>
      <c r="BW458" s="110"/>
      <c r="BX458" s="110"/>
      <c r="BY458" s="110"/>
      <c r="BZ458" s="110"/>
      <c r="CA458" s="110"/>
      <c r="CB458" s="110"/>
      <c r="CC458" s="110"/>
      <c r="CD458" s="110"/>
      <c r="CE458" s="110"/>
      <c r="CF458" s="110"/>
      <c r="CG458" s="110"/>
      <c r="CH458" s="110"/>
      <c r="CI458" s="110"/>
      <c r="CJ458" s="110"/>
      <c r="CK458" s="110"/>
      <c r="CL458" s="110"/>
      <c r="CM458" s="110"/>
      <c r="CN458" s="110"/>
      <c r="CO458" s="110"/>
    </row>
    <row r="459" spans="1:93">
      <c r="A459" s="110"/>
      <c r="B459" s="110"/>
      <c r="C459" s="110"/>
      <c r="D459" s="110"/>
      <c r="E459" s="110"/>
      <c r="F459" s="110"/>
      <c r="G459" s="110"/>
      <c r="H459" s="110"/>
      <c r="I459" s="110"/>
      <c r="J459" s="110"/>
      <c r="K459" s="110"/>
      <c r="L459" s="110"/>
      <c r="M459" s="110"/>
      <c r="N459" s="110"/>
      <c r="O459" s="110"/>
      <c r="P459" s="110"/>
      <c r="Q459" s="110"/>
      <c r="R459" s="110"/>
      <c r="S459" s="110"/>
      <c r="T459" s="110"/>
      <c r="U459" s="111"/>
      <c r="V459" s="111"/>
      <c r="W459" s="111"/>
      <c r="X459" s="112"/>
      <c r="Y459" s="112"/>
      <c r="Z459" s="112"/>
      <c r="AA459" s="112"/>
      <c r="AB459" s="112"/>
      <c r="AC459" s="111"/>
      <c r="AD459" s="111"/>
      <c r="AE459" s="111"/>
      <c r="AF459" s="111"/>
      <c r="AG459" s="111"/>
      <c r="AH459" s="111"/>
      <c r="AI459" s="110"/>
      <c r="AJ459" s="110"/>
      <c r="AK459" s="110"/>
      <c r="AL459" s="110"/>
      <c r="AM459" s="110"/>
      <c r="AN459" s="110"/>
      <c r="AO459" s="110"/>
      <c r="AP459" s="110"/>
      <c r="AQ459" s="110"/>
      <c r="AR459" s="110"/>
      <c r="AS459" s="110"/>
      <c r="AT459" s="110"/>
      <c r="AU459" s="110"/>
      <c r="AV459" s="110"/>
      <c r="AW459" s="110"/>
      <c r="AX459" s="110"/>
      <c r="AY459" s="110"/>
      <c r="AZ459" s="110"/>
      <c r="BA459" s="110"/>
      <c r="BB459" s="110"/>
      <c r="BC459" s="110"/>
      <c r="BD459" s="110"/>
      <c r="BE459" s="110"/>
      <c r="BF459" s="110"/>
      <c r="BG459" s="110"/>
      <c r="BH459" s="110"/>
      <c r="BI459" s="110"/>
      <c r="BJ459" s="110"/>
      <c r="BK459" s="110"/>
      <c r="BL459" s="110"/>
      <c r="BM459" s="110"/>
      <c r="BN459" s="110"/>
      <c r="BO459" s="110"/>
      <c r="BP459" s="110"/>
      <c r="BQ459" s="110"/>
      <c r="BR459" s="110"/>
      <c r="BS459" s="110"/>
      <c r="BT459" s="110"/>
      <c r="BU459" s="110"/>
      <c r="BV459" s="110"/>
      <c r="BW459" s="110"/>
      <c r="BX459" s="110"/>
      <c r="BY459" s="110"/>
      <c r="BZ459" s="110"/>
      <c r="CA459" s="110"/>
      <c r="CB459" s="110"/>
      <c r="CC459" s="110"/>
      <c r="CD459" s="110"/>
      <c r="CE459" s="110"/>
      <c r="CF459" s="110"/>
      <c r="CG459" s="110"/>
      <c r="CH459" s="110"/>
      <c r="CI459" s="110"/>
      <c r="CJ459" s="110"/>
      <c r="CK459" s="110"/>
      <c r="CL459" s="110"/>
      <c r="CM459" s="110"/>
      <c r="CN459" s="110"/>
      <c r="CO459" s="110"/>
    </row>
    <row r="460" spans="1:93">
      <c r="A460" s="110"/>
      <c r="B460" s="110"/>
      <c r="C460" s="110"/>
      <c r="D460" s="110"/>
      <c r="E460" s="110"/>
      <c r="F460" s="110"/>
      <c r="G460" s="110"/>
      <c r="H460" s="110"/>
      <c r="I460" s="110"/>
      <c r="J460" s="110"/>
      <c r="K460" s="110"/>
      <c r="L460" s="110"/>
      <c r="M460" s="110"/>
      <c r="N460" s="110"/>
      <c r="O460" s="110"/>
      <c r="P460" s="110"/>
      <c r="Q460" s="110"/>
      <c r="R460" s="110"/>
      <c r="S460" s="110"/>
      <c r="T460" s="110"/>
      <c r="U460" s="111"/>
      <c r="V460" s="111"/>
      <c r="W460" s="111"/>
      <c r="X460" s="112"/>
      <c r="Y460" s="112"/>
      <c r="Z460" s="112"/>
      <c r="AA460" s="112"/>
      <c r="AB460" s="112"/>
      <c r="AC460" s="111"/>
      <c r="AD460" s="111"/>
      <c r="AE460" s="111"/>
      <c r="AF460" s="111"/>
      <c r="AG460" s="111"/>
      <c r="AH460" s="111"/>
      <c r="AI460" s="110"/>
      <c r="AJ460" s="110"/>
      <c r="AK460" s="110"/>
      <c r="AL460" s="110"/>
      <c r="AM460" s="110"/>
      <c r="AN460" s="110"/>
      <c r="AO460" s="110"/>
      <c r="AP460" s="110"/>
      <c r="AQ460" s="110"/>
      <c r="AR460" s="110"/>
      <c r="AS460" s="110"/>
      <c r="AT460" s="110"/>
      <c r="AU460" s="110"/>
      <c r="AV460" s="110"/>
      <c r="AW460" s="110"/>
      <c r="AX460" s="110"/>
      <c r="AY460" s="110"/>
      <c r="AZ460" s="110"/>
      <c r="BA460" s="110"/>
      <c r="BB460" s="110"/>
      <c r="BC460" s="110"/>
      <c r="BD460" s="110"/>
      <c r="BE460" s="110"/>
      <c r="BF460" s="110"/>
      <c r="BG460" s="110"/>
      <c r="BH460" s="110"/>
      <c r="BI460" s="110"/>
      <c r="BJ460" s="110"/>
      <c r="BK460" s="110"/>
      <c r="BL460" s="110"/>
      <c r="BM460" s="110"/>
      <c r="BN460" s="110"/>
      <c r="BO460" s="110"/>
      <c r="BP460" s="110"/>
      <c r="BQ460" s="110"/>
      <c r="BR460" s="110"/>
      <c r="BS460" s="110"/>
      <c r="BT460" s="110"/>
      <c r="BU460" s="110"/>
      <c r="BV460" s="110"/>
      <c r="BW460" s="110"/>
      <c r="BX460" s="110"/>
      <c r="BY460" s="110"/>
      <c r="BZ460" s="110"/>
      <c r="CA460" s="110"/>
      <c r="CB460" s="110"/>
      <c r="CC460" s="110"/>
      <c r="CD460" s="110"/>
      <c r="CE460" s="110"/>
      <c r="CF460" s="110"/>
      <c r="CG460" s="110"/>
      <c r="CH460" s="110"/>
      <c r="CI460" s="110"/>
      <c r="CJ460" s="110"/>
      <c r="CK460" s="110"/>
      <c r="CL460" s="110"/>
      <c r="CM460" s="110"/>
      <c r="CN460" s="110"/>
      <c r="CO460" s="110"/>
    </row>
    <row r="461" spans="1:93">
      <c r="A461" s="110"/>
      <c r="B461" s="110"/>
      <c r="C461" s="110"/>
      <c r="D461" s="110"/>
      <c r="E461" s="110"/>
      <c r="F461" s="110"/>
      <c r="G461" s="110"/>
      <c r="H461" s="110"/>
      <c r="I461" s="110"/>
      <c r="J461" s="110"/>
      <c r="K461" s="110"/>
      <c r="L461" s="110"/>
      <c r="M461" s="110"/>
      <c r="N461" s="110"/>
      <c r="O461" s="110"/>
      <c r="P461" s="110"/>
      <c r="Q461" s="110"/>
      <c r="R461" s="110"/>
      <c r="S461" s="110"/>
      <c r="T461" s="110"/>
      <c r="U461" s="111"/>
      <c r="V461" s="111"/>
      <c r="W461" s="111"/>
      <c r="X461" s="112"/>
      <c r="Y461" s="112"/>
      <c r="Z461" s="112"/>
      <c r="AA461" s="112"/>
      <c r="AB461" s="112"/>
      <c r="AC461" s="111"/>
      <c r="AD461" s="111"/>
      <c r="AE461" s="111"/>
      <c r="AF461" s="111"/>
      <c r="AG461" s="111"/>
      <c r="AH461" s="111"/>
      <c r="AI461" s="110"/>
      <c r="AJ461" s="110"/>
      <c r="AK461" s="110"/>
      <c r="AL461" s="110"/>
      <c r="AM461" s="110"/>
      <c r="AN461" s="110"/>
      <c r="AO461" s="110"/>
      <c r="AP461" s="110"/>
      <c r="AQ461" s="110"/>
      <c r="AR461" s="110"/>
      <c r="AS461" s="110"/>
      <c r="AT461" s="110"/>
      <c r="AU461" s="110"/>
      <c r="AV461" s="110"/>
      <c r="AW461" s="110"/>
      <c r="AX461" s="110"/>
      <c r="AY461" s="110"/>
      <c r="AZ461" s="110"/>
      <c r="BA461" s="110"/>
      <c r="BB461" s="110"/>
      <c r="BC461" s="110"/>
      <c r="BD461" s="110"/>
      <c r="BE461" s="110"/>
      <c r="BF461" s="110"/>
      <c r="BG461" s="110"/>
      <c r="BH461" s="110"/>
      <c r="BI461" s="110"/>
      <c r="BJ461" s="110"/>
      <c r="BK461" s="110"/>
      <c r="BL461" s="110"/>
      <c r="BM461" s="110"/>
      <c r="BN461" s="110"/>
      <c r="BO461" s="110"/>
      <c r="BP461" s="110"/>
      <c r="BQ461" s="110"/>
      <c r="BR461" s="110"/>
      <c r="BS461" s="110"/>
      <c r="BT461" s="110"/>
      <c r="BU461" s="110"/>
      <c r="BV461" s="110"/>
      <c r="BW461" s="110"/>
      <c r="BX461" s="110"/>
      <c r="BY461" s="110"/>
      <c r="BZ461" s="110"/>
      <c r="CA461" s="110"/>
      <c r="CB461" s="110"/>
      <c r="CC461" s="110"/>
      <c r="CD461" s="110"/>
      <c r="CE461" s="110"/>
      <c r="CF461" s="110"/>
      <c r="CG461" s="110"/>
      <c r="CH461" s="110"/>
      <c r="CI461" s="110"/>
      <c r="CJ461" s="110"/>
      <c r="CK461" s="110"/>
      <c r="CL461" s="110"/>
      <c r="CM461" s="110"/>
      <c r="CN461" s="110"/>
      <c r="CO461" s="110"/>
    </row>
    <row r="462" spans="1:93">
      <c r="A462" s="110"/>
      <c r="B462" s="110"/>
      <c r="C462" s="110"/>
      <c r="D462" s="110"/>
      <c r="E462" s="110"/>
      <c r="F462" s="110"/>
      <c r="G462" s="110"/>
      <c r="H462" s="110"/>
      <c r="I462" s="110"/>
      <c r="J462" s="110"/>
      <c r="K462" s="110"/>
      <c r="L462" s="110"/>
      <c r="M462" s="110"/>
      <c r="N462" s="110"/>
      <c r="O462" s="110"/>
      <c r="P462" s="110"/>
      <c r="Q462" s="110"/>
      <c r="R462" s="110"/>
      <c r="S462" s="110"/>
      <c r="T462" s="110"/>
      <c r="U462" s="111"/>
      <c r="V462" s="111"/>
      <c r="W462" s="111"/>
      <c r="X462" s="112"/>
      <c r="Y462" s="112"/>
      <c r="Z462" s="112"/>
      <c r="AA462" s="112"/>
      <c r="AB462" s="112"/>
      <c r="AC462" s="111"/>
      <c r="AD462" s="111"/>
      <c r="AE462" s="111"/>
      <c r="AF462" s="111"/>
      <c r="AG462" s="111"/>
      <c r="AH462" s="111"/>
      <c r="AI462" s="110"/>
      <c r="AJ462" s="110"/>
      <c r="AK462" s="110"/>
      <c r="AL462" s="110"/>
      <c r="AM462" s="110"/>
      <c r="AN462" s="110"/>
      <c r="AO462" s="110"/>
      <c r="AP462" s="110"/>
      <c r="AQ462" s="110"/>
      <c r="AR462" s="110"/>
      <c r="AS462" s="110"/>
      <c r="AT462" s="110"/>
      <c r="AU462" s="110"/>
      <c r="AV462" s="110"/>
      <c r="AW462" s="110"/>
      <c r="AX462" s="110"/>
      <c r="AY462" s="110"/>
      <c r="AZ462" s="110"/>
      <c r="BA462" s="110"/>
      <c r="BB462" s="110"/>
      <c r="BC462" s="110"/>
      <c r="BD462" s="110"/>
      <c r="BE462" s="110"/>
      <c r="BF462" s="110"/>
      <c r="BG462" s="110"/>
      <c r="BH462" s="110"/>
      <c r="BI462" s="110"/>
      <c r="BJ462" s="110"/>
      <c r="BK462" s="110"/>
      <c r="BL462" s="110"/>
      <c r="BM462" s="110"/>
      <c r="BN462" s="110"/>
      <c r="BO462" s="110"/>
      <c r="BP462" s="110"/>
      <c r="BQ462" s="110"/>
      <c r="BR462" s="110"/>
      <c r="BS462" s="110"/>
      <c r="BT462" s="110"/>
      <c r="BU462" s="110"/>
      <c r="BV462" s="110"/>
      <c r="BW462" s="110"/>
      <c r="BX462" s="110"/>
      <c r="BY462" s="110"/>
      <c r="BZ462" s="110"/>
      <c r="CA462" s="110"/>
      <c r="CB462" s="110"/>
      <c r="CC462" s="110"/>
      <c r="CD462" s="110"/>
      <c r="CE462" s="110"/>
      <c r="CF462" s="110"/>
      <c r="CG462" s="110"/>
      <c r="CH462" s="110"/>
      <c r="CI462" s="110"/>
      <c r="CJ462" s="110"/>
      <c r="CK462" s="110"/>
      <c r="CL462" s="110"/>
      <c r="CM462" s="110"/>
      <c r="CN462" s="110"/>
      <c r="CO462" s="110"/>
    </row>
    <row r="463" spans="1:93">
      <c r="A463" s="110"/>
      <c r="B463" s="110"/>
      <c r="C463" s="110"/>
      <c r="D463" s="110"/>
      <c r="E463" s="110"/>
      <c r="F463" s="110"/>
      <c r="G463" s="110"/>
      <c r="H463" s="110"/>
      <c r="I463" s="110"/>
      <c r="J463" s="110"/>
      <c r="K463" s="110"/>
      <c r="L463" s="110"/>
      <c r="M463" s="110"/>
      <c r="N463" s="110"/>
      <c r="O463" s="110"/>
      <c r="P463" s="110"/>
      <c r="Q463" s="110"/>
      <c r="R463" s="110"/>
      <c r="S463" s="110"/>
      <c r="T463" s="110"/>
      <c r="U463" s="111"/>
      <c r="V463" s="111"/>
      <c r="W463" s="111"/>
      <c r="X463" s="112"/>
      <c r="Y463" s="112"/>
      <c r="Z463" s="112"/>
      <c r="AA463" s="112"/>
      <c r="AB463" s="112"/>
      <c r="AC463" s="111"/>
      <c r="AD463" s="111"/>
      <c r="AE463" s="111"/>
      <c r="AF463" s="111"/>
      <c r="AG463" s="111"/>
      <c r="AH463" s="111"/>
      <c r="AI463" s="110"/>
      <c r="AJ463" s="110"/>
      <c r="AK463" s="110"/>
      <c r="AL463" s="110"/>
      <c r="AM463" s="110"/>
      <c r="AN463" s="110"/>
      <c r="AO463" s="110"/>
      <c r="AP463" s="110"/>
      <c r="AQ463" s="110"/>
      <c r="AR463" s="110"/>
      <c r="AS463" s="110"/>
      <c r="AT463" s="110"/>
      <c r="AU463" s="110"/>
      <c r="AV463" s="110"/>
      <c r="AW463" s="110"/>
      <c r="AX463" s="110"/>
      <c r="AY463" s="110"/>
      <c r="AZ463" s="110"/>
      <c r="BA463" s="110"/>
      <c r="BB463" s="110"/>
      <c r="BC463" s="110"/>
      <c r="BD463" s="110"/>
      <c r="BE463" s="110"/>
      <c r="BF463" s="110"/>
      <c r="BG463" s="110"/>
      <c r="BH463" s="110"/>
      <c r="BI463" s="110"/>
      <c r="BJ463" s="110"/>
      <c r="BK463" s="110"/>
      <c r="BL463" s="110"/>
      <c r="BM463" s="110"/>
      <c r="BN463" s="110"/>
      <c r="BO463" s="110"/>
      <c r="BP463" s="110"/>
      <c r="BQ463" s="110"/>
      <c r="BR463" s="110"/>
      <c r="BS463" s="110"/>
      <c r="BT463" s="110"/>
      <c r="BU463" s="110"/>
      <c r="BV463" s="110"/>
      <c r="BW463" s="110"/>
      <c r="BX463" s="110"/>
      <c r="BY463" s="110"/>
      <c r="BZ463" s="110"/>
      <c r="CA463" s="110"/>
      <c r="CB463" s="110"/>
      <c r="CC463" s="110"/>
      <c r="CD463" s="110"/>
      <c r="CE463" s="110"/>
      <c r="CF463" s="110"/>
      <c r="CG463" s="110"/>
      <c r="CH463" s="110"/>
      <c r="CI463" s="110"/>
      <c r="CJ463" s="110"/>
      <c r="CK463" s="110"/>
      <c r="CL463" s="110"/>
      <c r="CM463" s="110"/>
      <c r="CN463" s="110"/>
      <c r="CO463" s="110"/>
    </row>
    <row r="464" spans="1:93">
      <c r="A464" s="110"/>
      <c r="B464" s="110"/>
      <c r="C464" s="110"/>
      <c r="D464" s="110"/>
      <c r="E464" s="110"/>
      <c r="F464" s="110"/>
      <c r="G464" s="110"/>
      <c r="H464" s="110"/>
      <c r="I464" s="110"/>
      <c r="J464" s="110"/>
      <c r="K464" s="110"/>
      <c r="L464" s="110"/>
      <c r="M464" s="110"/>
      <c r="N464" s="110"/>
      <c r="O464" s="110"/>
      <c r="P464" s="110"/>
      <c r="Q464" s="110"/>
      <c r="R464" s="110"/>
      <c r="S464" s="110"/>
      <c r="T464" s="110"/>
      <c r="U464" s="111"/>
      <c r="V464" s="111"/>
      <c r="W464" s="111"/>
      <c r="X464" s="112"/>
      <c r="Y464" s="112"/>
      <c r="Z464" s="112"/>
      <c r="AA464" s="112"/>
      <c r="AB464" s="112"/>
      <c r="AC464" s="111"/>
      <c r="AD464" s="111"/>
      <c r="AE464" s="111"/>
      <c r="AF464" s="111"/>
      <c r="AG464" s="111"/>
      <c r="AH464" s="111"/>
      <c r="AI464" s="110"/>
      <c r="AJ464" s="110"/>
      <c r="AK464" s="110"/>
      <c r="AL464" s="110"/>
      <c r="AM464" s="110"/>
      <c r="AN464" s="110"/>
      <c r="AO464" s="110"/>
      <c r="AP464" s="110"/>
      <c r="AQ464" s="110"/>
      <c r="AR464" s="110"/>
      <c r="AS464" s="110"/>
      <c r="AT464" s="110"/>
      <c r="AU464" s="110"/>
      <c r="AV464" s="110"/>
      <c r="AW464" s="110"/>
      <c r="AX464" s="110"/>
      <c r="AY464" s="110"/>
      <c r="AZ464" s="110"/>
      <c r="BA464" s="110"/>
      <c r="BB464" s="110"/>
      <c r="BC464" s="110"/>
      <c r="BD464" s="110"/>
      <c r="BE464" s="110"/>
      <c r="BF464" s="110"/>
      <c r="BG464" s="110"/>
      <c r="BH464" s="110"/>
      <c r="BI464" s="110"/>
      <c r="BJ464" s="110"/>
      <c r="BK464" s="110"/>
      <c r="BL464" s="110"/>
      <c r="BM464" s="110"/>
      <c r="BN464" s="110"/>
      <c r="BO464" s="110"/>
      <c r="BP464" s="110"/>
      <c r="BQ464" s="110"/>
      <c r="BR464" s="110"/>
      <c r="BS464" s="110"/>
      <c r="BT464" s="110"/>
      <c r="BU464" s="110"/>
      <c r="BV464" s="110"/>
      <c r="BW464" s="110"/>
      <c r="BX464" s="110"/>
      <c r="BY464" s="110"/>
      <c r="BZ464" s="110"/>
      <c r="CA464" s="110"/>
      <c r="CB464" s="110"/>
      <c r="CC464" s="110"/>
      <c r="CD464" s="110"/>
      <c r="CE464" s="110"/>
      <c r="CF464" s="110"/>
      <c r="CG464" s="110"/>
      <c r="CH464" s="110"/>
      <c r="CI464" s="110"/>
      <c r="CJ464" s="110"/>
      <c r="CK464" s="110"/>
      <c r="CL464" s="110"/>
      <c r="CM464" s="110"/>
      <c r="CN464" s="110"/>
      <c r="CO464" s="110"/>
    </row>
    <row r="465" spans="1:93">
      <c r="A465" s="110"/>
      <c r="B465" s="110"/>
      <c r="C465" s="110"/>
      <c r="D465" s="110"/>
      <c r="E465" s="110"/>
      <c r="F465" s="110"/>
      <c r="G465" s="110"/>
      <c r="H465" s="110"/>
      <c r="I465" s="110"/>
      <c r="J465" s="110"/>
      <c r="K465" s="110"/>
      <c r="L465" s="110"/>
      <c r="M465" s="110"/>
      <c r="N465" s="110"/>
      <c r="O465" s="110"/>
      <c r="P465" s="110"/>
      <c r="Q465" s="110"/>
      <c r="R465" s="110"/>
      <c r="S465" s="110"/>
      <c r="T465" s="110"/>
      <c r="U465" s="111"/>
      <c r="V465" s="111"/>
      <c r="W465" s="111"/>
      <c r="X465" s="112"/>
      <c r="Y465" s="112"/>
      <c r="Z465" s="112"/>
      <c r="AA465" s="112"/>
      <c r="AB465" s="112"/>
      <c r="AC465" s="111"/>
      <c r="AD465" s="111"/>
      <c r="AE465" s="111"/>
      <c r="AF465" s="111"/>
      <c r="AG465" s="111"/>
      <c r="AH465" s="111"/>
      <c r="AI465" s="110"/>
      <c r="AJ465" s="110"/>
      <c r="AK465" s="110"/>
      <c r="AL465" s="110"/>
      <c r="AM465" s="110"/>
      <c r="AN465" s="110"/>
      <c r="AO465" s="110"/>
      <c r="AP465" s="110"/>
      <c r="AQ465" s="110"/>
      <c r="AR465" s="110"/>
      <c r="AS465" s="110"/>
      <c r="AT465" s="110"/>
      <c r="AU465" s="110"/>
      <c r="AV465" s="110"/>
      <c r="AW465" s="110"/>
      <c r="AX465" s="110"/>
      <c r="AY465" s="110"/>
      <c r="AZ465" s="110"/>
      <c r="BA465" s="110"/>
      <c r="BB465" s="110"/>
      <c r="BC465" s="110"/>
      <c r="BD465" s="110"/>
      <c r="BE465" s="110"/>
      <c r="BF465" s="110"/>
      <c r="BG465" s="110"/>
      <c r="BH465" s="110"/>
      <c r="BI465" s="110"/>
      <c r="BJ465" s="110"/>
      <c r="BK465" s="110"/>
      <c r="BL465" s="110"/>
      <c r="BM465" s="110"/>
      <c r="BN465" s="110"/>
      <c r="BO465" s="110"/>
      <c r="BP465" s="110"/>
      <c r="BQ465" s="110"/>
      <c r="BR465" s="110"/>
      <c r="BS465" s="110"/>
      <c r="BT465" s="110"/>
      <c r="BU465" s="110"/>
      <c r="BV465" s="110"/>
      <c r="BW465" s="110"/>
      <c r="BX465" s="110"/>
      <c r="BY465" s="110"/>
      <c r="BZ465" s="110"/>
      <c r="CA465" s="110"/>
      <c r="CB465" s="110"/>
      <c r="CC465" s="110"/>
      <c r="CD465" s="110"/>
      <c r="CE465" s="110"/>
      <c r="CF465" s="110"/>
      <c r="CG465" s="110"/>
      <c r="CH465" s="110"/>
      <c r="CI465" s="110"/>
      <c r="CJ465" s="110"/>
      <c r="CK465" s="110"/>
      <c r="CL465" s="110"/>
      <c r="CM465" s="110"/>
      <c r="CN465" s="110"/>
      <c r="CO465" s="110"/>
    </row>
    <row r="466" spans="1:93">
      <c r="A466" s="110"/>
      <c r="B466" s="110"/>
      <c r="C466" s="110"/>
      <c r="D466" s="110"/>
      <c r="E466" s="110"/>
      <c r="F466" s="110"/>
      <c r="G466" s="110"/>
      <c r="H466" s="110"/>
      <c r="I466" s="110"/>
      <c r="J466" s="110"/>
      <c r="K466" s="110"/>
      <c r="L466" s="110"/>
      <c r="M466" s="110"/>
      <c r="N466" s="110"/>
      <c r="O466" s="110"/>
      <c r="P466" s="110"/>
      <c r="Q466" s="110"/>
      <c r="R466" s="110"/>
      <c r="S466" s="110"/>
      <c r="T466" s="110"/>
      <c r="U466" s="111"/>
      <c r="V466" s="111"/>
      <c r="W466" s="111"/>
      <c r="X466" s="112"/>
      <c r="Y466" s="112"/>
      <c r="Z466" s="112"/>
      <c r="AA466" s="112"/>
      <c r="AB466" s="112"/>
      <c r="AC466" s="111"/>
      <c r="AD466" s="111"/>
      <c r="AE466" s="111"/>
      <c r="AF466" s="111"/>
      <c r="AG466" s="111"/>
      <c r="AH466" s="111"/>
      <c r="AI466" s="110"/>
      <c r="AJ466" s="110"/>
      <c r="AK466" s="110"/>
      <c r="AL466" s="110"/>
      <c r="AM466" s="110"/>
      <c r="AN466" s="110"/>
      <c r="AO466" s="110"/>
      <c r="AP466" s="110"/>
      <c r="AQ466" s="110"/>
      <c r="AR466" s="110"/>
      <c r="AS466" s="110"/>
      <c r="AT466" s="110"/>
      <c r="AU466" s="110"/>
      <c r="AV466" s="110"/>
      <c r="AW466" s="110"/>
      <c r="AX466" s="110"/>
      <c r="AY466" s="110"/>
      <c r="AZ466" s="110"/>
      <c r="BA466" s="110"/>
      <c r="BB466" s="110"/>
      <c r="BC466" s="110"/>
      <c r="BD466" s="110"/>
      <c r="BE466" s="110"/>
      <c r="BF466" s="110"/>
      <c r="BG466" s="110"/>
      <c r="BH466" s="110"/>
      <c r="BI466" s="110"/>
      <c r="BJ466" s="110"/>
      <c r="BK466" s="110"/>
      <c r="BL466" s="110"/>
      <c r="BM466" s="110"/>
      <c r="BN466" s="110"/>
      <c r="BO466" s="110"/>
      <c r="BP466" s="110"/>
      <c r="BQ466" s="110"/>
      <c r="BR466" s="110"/>
      <c r="BS466" s="110"/>
      <c r="BT466" s="110"/>
      <c r="BU466" s="110"/>
      <c r="BV466" s="110"/>
      <c r="BW466" s="110"/>
      <c r="BX466" s="110"/>
      <c r="BY466" s="110"/>
      <c r="BZ466" s="110"/>
      <c r="CA466" s="110"/>
      <c r="CB466" s="110"/>
      <c r="CC466" s="110"/>
      <c r="CD466" s="110"/>
      <c r="CE466" s="110"/>
      <c r="CF466" s="110"/>
      <c r="CG466" s="110"/>
      <c r="CH466" s="110"/>
      <c r="CI466" s="110"/>
      <c r="CJ466" s="110"/>
      <c r="CK466" s="110"/>
      <c r="CL466" s="110"/>
      <c r="CM466" s="110"/>
      <c r="CN466" s="110"/>
      <c r="CO466" s="110"/>
    </row>
    <row r="467" spans="1:93">
      <c r="A467" s="110"/>
      <c r="B467" s="110"/>
      <c r="C467" s="110"/>
      <c r="D467" s="110"/>
      <c r="E467" s="110"/>
      <c r="F467" s="110"/>
      <c r="G467" s="110"/>
      <c r="H467" s="110"/>
      <c r="I467" s="110"/>
      <c r="J467" s="110"/>
      <c r="K467" s="110"/>
      <c r="L467" s="110"/>
      <c r="M467" s="110"/>
      <c r="N467" s="110"/>
      <c r="O467" s="110"/>
      <c r="P467" s="110"/>
      <c r="Q467" s="110"/>
      <c r="R467" s="110"/>
      <c r="S467" s="110"/>
      <c r="T467" s="110"/>
      <c r="U467" s="111"/>
      <c r="V467" s="111"/>
      <c r="W467" s="111"/>
      <c r="X467" s="112"/>
      <c r="Y467" s="112"/>
      <c r="Z467" s="112"/>
      <c r="AA467" s="112"/>
      <c r="AB467" s="112"/>
      <c r="AC467" s="111"/>
      <c r="AD467" s="111"/>
      <c r="AE467" s="111"/>
      <c r="AF467" s="111"/>
      <c r="AG467" s="111"/>
      <c r="AH467" s="111"/>
      <c r="AI467" s="110"/>
      <c r="AJ467" s="110"/>
      <c r="AK467" s="110"/>
      <c r="AL467" s="110"/>
      <c r="AM467" s="110"/>
      <c r="AN467" s="110"/>
      <c r="AO467" s="110"/>
      <c r="AP467" s="110"/>
      <c r="AQ467" s="110"/>
      <c r="AR467" s="110"/>
      <c r="AS467" s="110"/>
      <c r="AT467" s="110"/>
      <c r="AU467" s="110"/>
      <c r="AV467" s="110"/>
      <c r="AW467" s="110"/>
      <c r="AX467" s="110"/>
      <c r="AY467" s="110"/>
      <c r="AZ467" s="110"/>
      <c r="BA467" s="110"/>
      <c r="BB467" s="110"/>
      <c r="BC467" s="110"/>
      <c r="BD467" s="110"/>
      <c r="BE467" s="110"/>
      <c r="BF467" s="110"/>
      <c r="BG467" s="110"/>
      <c r="BH467" s="110"/>
      <c r="BI467" s="110"/>
      <c r="BJ467" s="110"/>
      <c r="BK467" s="110"/>
      <c r="BL467" s="110"/>
      <c r="BM467" s="110"/>
      <c r="BN467" s="110"/>
      <c r="BO467" s="110"/>
      <c r="BP467" s="110"/>
      <c r="BQ467" s="110"/>
      <c r="BR467" s="110"/>
      <c r="BS467" s="110"/>
      <c r="BT467" s="110"/>
      <c r="BU467" s="110"/>
      <c r="BV467" s="110"/>
      <c r="BW467" s="110"/>
      <c r="BX467" s="110"/>
      <c r="BY467" s="110"/>
      <c r="BZ467" s="110"/>
      <c r="CA467" s="110"/>
      <c r="CB467" s="110"/>
      <c r="CC467" s="110"/>
      <c r="CD467" s="110"/>
      <c r="CE467" s="110"/>
      <c r="CF467" s="110"/>
      <c r="CG467" s="110"/>
      <c r="CH467" s="110"/>
      <c r="CI467" s="110"/>
      <c r="CJ467" s="110"/>
      <c r="CK467" s="110"/>
      <c r="CL467" s="110"/>
      <c r="CM467" s="110"/>
      <c r="CN467" s="110"/>
      <c r="CO467" s="110"/>
    </row>
    <row r="468" spans="1:93">
      <c r="A468" s="110"/>
      <c r="B468" s="110"/>
      <c r="C468" s="110"/>
      <c r="D468" s="110"/>
      <c r="E468" s="110"/>
      <c r="F468" s="110"/>
      <c r="G468" s="110"/>
      <c r="H468" s="110"/>
      <c r="I468" s="110"/>
      <c r="J468" s="110"/>
      <c r="K468" s="110"/>
      <c r="L468" s="110"/>
      <c r="M468" s="110"/>
      <c r="N468" s="110"/>
      <c r="O468" s="110"/>
      <c r="P468" s="110"/>
      <c r="Q468" s="110"/>
      <c r="R468" s="110"/>
      <c r="S468" s="110"/>
      <c r="T468" s="110"/>
      <c r="U468" s="111"/>
      <c r="V468" s="111"/>
      <c r="W468" s="111"/>
      <c r="X468" s="112"/>
      <c r="Y468" s="112"/>
      <c r="Z468" s="112"/>
      <c r="AA468" s="112"/>
      <c r="AB468" s="112"/>
      <c r="AC468" s="111"/>
      <c r="AD468" s="111"/>
      <c r="AE468" s="111"/>
      <c r="AF468" s="111"/>
      <c r="AG468" s="111"/>
      <c r="AH468" s="111"/>
      <c r="AI468" s="110"/>
      <c r="AJ468" s="110"/>
      <c r="AK468" s="110"/>
      <c r="AL468" s="110"/>
      <c r="AM468" s="110"/>
      <c r="AN468" s="110"/>
      <c r="AO468" s="110"/>
      <c r="AP468" s="110"/>
      <c r="AQ468" s="110"/>
      <c r="AR468" s="110"/>
      <c r="AS468" s="110"/>
      <c r="AT468" s="110"/>
      <c r="AU468" s="110"/>
      <c r="AV468" s="110"/>
      <c r="AW468" s="110"/>
      <c r="AX468" s="110"/>
      <c r="AY468" s="110"/>
      <c r="AZ468" s="110"/>
      <c r="BA468" s="110"/>
      <c r="BB468" s="110"/>
      <c r="BC468" s="110"/>
      <c r="BD468" s="110"/>
      <c r="BE468" s="110"/>
      <c r="BF468" s="110"/>
      <c r="BG468" s="110"/>
      <c r="BH468" s="110"/>
      <c r="BI468" s="110"/>
      <c r="BJ468" s="110"/>
      <c r="BK468" s="110"/>
      <c r="BL468" s="110"/>
      <c r="BM468" s="110"/>
      <c r="BN468" s="110"/>
      <c r="BO468" s="110"/>
      <c r="BP468" s="110"/>
      <c r="BQ468" s="110"/>
      <c r="BR468" s="110"/>
      <c r="BS468" s="110"/>
      <c r="BT468" s="110"/>
      <c r="BU468" s="110"/>
      <c r="BV468" s="110"/>
      <c r="BW468" s="110"/>
      <c r="BX468" s="110"/>
      <c r="BY468" s="110"/>
      <c r="BZ468" s="110"/>
      <c r="CA468" s="110"/>
      <c r="CB468" s="110"/>
      <c r="CC468" s="110"/>
      <c r="CD468" s="110"/>
      <c r="CE468" s="110"/>
      <c r="CF468" s="110"/>
      <c r="CG468" s="110"/>
      <c r="CH468" s="110"/>
      <c r="CI468" s="110"/>
      <c r="CJ468" s="110"/>
      <c r="CK468" s="110"/>
      <c r="CL468" s="110"/>
      <c r="CM468" s="110"/>
      <c r="CN468" s="110"/>
      <c r="CO468" s="110"/>
    </row>
    <row r="469" spans="1:93">
      <c r="A469" s="110"/>
      <c r="B469" s="110"/>
      <c r="C469" s="110"/>
      <c r="D469" s="110"/>
      <c r="E469" s="110"/>
      <c r="F469" s="110"/>
      <c r="G469" s="110"/>
      <c r="H469" s="110"/>
      <c r="I469" s="110"/>
      <c r="J469" s="110"/>
      <c r="K469" s="110"/>
      <c r="L469" s="110"/>
      <c r="M469" s="110"/>
      <c r="N469" s="110"/>
      <c r="O469" s="110"/>
      <c r="P469" s="110"/>
      <c r="Q469" s="110"/>
      <c r="R469" s="110"/>
      <c r="S469" s="110"/>
      <c r="T469" s="110"/>
      <c r="U469" s="111"/>
      <c r="V469" s="111"/>
      <c r="W469" s="111"/>
      <c r="X469" s="112"/>
      <c r="Y469" s="112"/>
      <c r="Z469" s="112"/>
      <c r="AA469" s="112"/>
      <c r="AB469" s="112"/>
      <c r="AC469" s="111"/>
      <c r="AD469" s="111"/>
      <c r="AE469" s="111"/>
      <c r="AF469" s="111"/>
      <c r="AG469" s="111"/>
      <c r="AH469" s="111"/>
      <c r="AI469" s="110"/>
      <c r="AJ469" s="110"/>
      <c r="AK469" s="110"/>
      <c r="AL469" s="110"/>
      <c r="AM469" s="110"/>
      <c r="AN469" s="110"/>
      <c r="AO469" s="110"/>
      <c r="AP469" s="110"/>
      <c r="AQ469" s="110"/>
      <c r="AR469" s="110"/>
      <c r="AS469" s="110"/>
      <c r="AT469" s="110"/>
      <c r="AU469" s="110"/>
      <c r="AV469" s="110"/>
      <c r="AW469" s="110"/>
      <c r="AX469" s="110"/>
      <c r="AY469" s="110"/>
      <c r="AZ469" s="110"/>
      <c r="BA469" s="110"/>
      <c r="BB469" s="110"/>
      <c r="BC469" s="110"/>
      <c r="BD469" s="110"/>
      <c r="BE469" s="110"/>
      <c r="BF469" s="110"/>
      <c r="BG469" s="110"/>
      <c r="BH469" s="110"/>
      <c r="BI469" s="110"/>
      <c r="BJ469" s="110"/>
      <c r="BK469" s="110"/>
      <c r="BL469" s="110"/>
      <c r="BM469" s="110"/>
      <c r="BN469" s="110"/>
      <c r="BO469" s="110"/>
      <c r="BP469" s="110"/>
      <c r="BQ469" s="110"/>
      <c r="BR469" s="110"/>
      <c r="BS469" s="110"/>
      <c r="BT469" s="110"/>
      <c r="BU469" s="110"/>
      <c r="BV469" s="110"/>
      <c r="BW469" s="110"/>
      <c r="BX469" s="110"/>
      <c r="BY469" s="110"/>
      <c r="BZ469" s="110"/>
      <c r="CA469" s="110"/>
      <c r="CB469" s="110"/>
      <c r="CC469" s="110"/>
      <c r="CD469" s="110"/>
      <c r="CE469" s="110"/>
      <c r="CF469" s="110"/>
      <c r="CG469" s="110"/>
      <c r="CH469" s="110"/>
      <c r="CI469" s="110"/>
      <c r="CJ469" s="110"/>
      <c r="CK469" s="110"/>
      <c r="CL469" s="110"/>
      <c r="CM469" s="110"/>
      <c r="CN469" s="110"/>
      <c r="CO469" s="110"/>
    </row>
    <row r="470" spans="1:93">
      <c r="A470" s="110"/>
      <c r="B470" s="110"/>
      <c r="C470" s="110"/>
      <c r="D470" s="110"/>
      <c r="E470" s="110"/>
      <c r="F470" s="110"/>
      <c r="G470" s="110"/>
      <c r="H470" s="110"/>
      <c r="I470" s="110"/>
      <c r="J470" s="110"/>
      <c r="K470" s="110"/>
      <c r="L470" s="110"/>
      <c r="M470" s="110"/>
      <c r="N470" s="110"/>
      <c r="O470" s="110"/>
      <c r="P470" s="110"/>
      <c r="Q470" s="110"/>
      <c r="R470" s="110"/>
      <c r="S470" s="110"/>
      <c r="T470" s="110"/>
      <c r="U470" s="111"/>
      <c r="V470" s="111"/>
      <c r="W470" s="111"/>
      <c r="X470" s="112"/>
      <c r="Y470" s="112"/>
      <c r="Z470" s="112"/>
      <c r="AA470" s="112"/>
      <c r="AB470" s="112"/>
      <c r="AC470" s="111"/>
      <c r="AD470" s="111"/>
      <c r="AE470" s="111"/>
      <c r="AF470" s="111"/>
      <c r="AG470" s="111"/>
      <c r="AH470" s="111"/>
      <c r="AI470" s="110"/>
      <c r="AJ470" s="110"/>
      <c r="AK470" s="110"/>
      <c r="AL470" s="110"/>
      <c r="AM470" s="110"/>
      <c r="AN470" s="110"/>
      <c r="AO470" s="110"/>
      <c r="AP470" s="110"/>
      <c r="AQ470" s="110"/>
      <c r="AR470" s="110"/>
      <c r="AS470" s="110"/>
      <c r="AT470" s="110"/>
      <c r="AU470" s="110"/>
      <c r="AV470" s="110"/>
      <c r="AW470" s="110"/>
      <c r="AX470" s="110"/>
      <c r="AY470" s="110"/>
      <c r="AZ470" s="110"/>
      <c r="BA470" s="110"/>
      <c r="BB470" s="110"/>
      <c r="BC470" s="110"/>
      <c r="BD470" s="110"/>
      <c r="BE470" s="110"/>
      <c r="BF470" s="110"/>
      <c r="BG470" s="110"/>
      <c r="BH470" s="110"/>
      <c r="BI470" s="110"/>
      <c r="BJ470" s="110"/>
      <c r="BK470" s="110"/>
      <c r="BL470" s="110"/>
      <c r="BM470" s="110"/>
      <c r="BN470" s="110"/>
      <c r="BO470" s="110"/>
      <c r="BP470" s="110"/>
      <c r="BQ470" s="110"/>
      <c r="BR470" s="110"/>
      <c r="BS470" s="110"/>
      <c r="BT470" s="110"/>
      <c r="BU470" s="110"/>
      <c r="BV470" s="110"/>
      <c r="BW470" s="110"/>
      <c r="BX470" s="110"/>
      <c r="BY470" s="110"/>
      <c r="BZ470" s="110"/>
      <c r="CA470" s="110"/>
      <c r="CB470" s="110"/>
      <c r="CC470" s="110"/>
      <c r="CD470" s="110"/>
      <c r="CE470" s="110"/>
      <c r="CF470" s="110"/>
      <c r="CG470" s="110"/>
      <c r="CH470" s="110"/>
      <c r="CI470" s="110"/>
      <c r="CJ470" s="110"/>
      <c r="CK470" s="110"/>
      <c r="CL470" s="110"/>
      <c r="CM470" s="110"/>
      <c r="CN470" s="110"/>
      <c r="CO470" s="110"/>
    </row>
    <row r="471" spans="1:93">
      <c r="A471" s="110"/>
      <c r="B471" s="110"/>
      <c r="C471" s="110"/>
      <c r="D471" s="110"/>
      <c r="E471" s="110"/>
      <c r="F471" s="110"/>
      <c r="G471" s="110"/>
      <c r="H471" s="110"/>
      <c r="I471" s="110"/>
      <c r="J471" s="110"/>
      <c r="K471" s="110"/>
      <c r="L471" s="110"/>
      <c r="M471" s="110"/>
      <c r="N471" s="110"/>
      <c r="O471" s="110"/>
      <c r="P471" s="110"/>
      <c r="Q471" s="110"/>
      <c r="R471" s="110"/>
      <c r="S471" s="110"/>
      <c r="T471" s="110"/>
      <c r="U471" s="111"/>
      <c r="V471" s="111"/>
      <c r="W471" s="111"/>
      <c r="X471" s="112"/>
      <c r="Y471" s="112"/>
      <c r="Z471" s="112"/>
      <c r="AA471" s="112"/>
      <c r="AB471" s="112"/>
      <c r="AC471" s="111"/>
      <c r="AD471" s="111"/>
      <c r="AE471" s="111"/>
      <c r="AF471" s="111"/>
      <c r="AG471" s="111"/>
      <c r="AH471" s="111"/>
      <c r="AI471" s="110"/>
      <c r="AJ471" s="110"/>
      <c r="AK471" s="110"/>
      <c r="AL471" s="110"/>
      <c r="AM471" s="110"/>
      <c r="AN471" s="110"/>
      <c r="AO471" s="110"/>
      <c r="AP471" s="110"/>
      <c r="AQ471" s="110"/>
      <c r="AR471" s="110"/>
      <c r="AS471" s="110"/>
      <c r="AT471" s="110"/>
      <c r="AU471" s="110"/>
      <c r="AV471" s="110"/>
      <c r="AW471" s="110"/>
      <c r="AX471" s="110"/>
      <c r="AY471" s="110"/>
      <c r="AZ471" s="110"/>
      <c r="BA471" s="110"/>
      <c r="BB471" s="110"/>
      <c r="BC471" s="110"/>
      <c r="BD471" s="110"/>
      <c r="BE471" s="110"/>
      <c r="BF471" s="110"/>
      <c r="BG471" s="110"/>
      <c r="BH471" s="110"/>
      <c r="BI471" s="110"/>
      <c r="BJ471" s="110"/>
      <c r="BK471" s="110"/>
      <c r="BL471" s="110"/>
      <c r="BM471" s="110"/>
      <c r="BN471" s="110"/>
      <c r="BO471" s="110"/>
      <c r="BP471" s="110"/>
      <c r="BQ471" s="110"/>
      <c r="BR471" s="110"/>
      <c r="BS471" s="110"/>
      <c r="BT471" s="110"/>
      <c r="BU471" s="110"/>
      <c r="BV471" s="110"/>
      <c r="BW471" s="110"/>
      <c r="BX471" s="110"/>
      <c r="BY471" s="110"/>
      <c r="BZ471" s="110"/>
      <c r="CA471" s="110"/>
      <c r="CB471" s="110"/>
      <c r="CC471" s="110"/>
      <c r="CD471" s="110"/>
      <c r="CE471" s="110"/>
      <c r="CF471" s="110"/>
      <c r="CG471" s="110"/>
      <c r="CH471" s="110"/>
      <c r="CI471" s="110"/>
      <c r="CJ471" s="110"/>
      <c r="CK471" s="110"/>
      <c r="CL471" s="110"/>
      <c r="CM471" s="110"/>
      <c r="CN471" s="110"/>
      <c r="CO471" s="110"/>
    </row>
    <row r="472" spans="1:93">
      <c r="A472" s="110"/>
      <c r="B472" s="110"/>
      <c r="C472" s="110"/>
      <c r="D472" s="110"/>
      <c r="E472" s="110"/>
      <c r="F472" s="110"/>
      <c r="G472" s="110"/>
      <c r="H472" s="110"/>
      <c r="I472" s="110"/>
      <c r="J472" s="110"/>
      <c r="K472" s="110"/>
      <c r="L472" s="110"/>
      <c r="M472" s="110"/>
      <c r="N472" s="110"/>
      <c r="O472" s="110"/>
      <c r="P472" s="110"/>
      <c r="Q472" s="110"/>
      <c r="R472" s="110"/>
      <c r="S472" s="110"/>
      <c r="T472" s="110"/>
      <c r="U472" s="111"/>
      <c r="V472" s="111"/>
      <c r="W472" s="111"/>
      <c r="X472" s="112"/>
      <c r="Y472" s="112"/>
      <c r="Z472" s="112"/>
      <c r="AA472" s="112"/>
      <c r="AB472" s="112"/>
      <c r="AC472" s="111"/>
      <c r="AD472" s="111"/>
      <c r="AE472" s="111"/>
      <c r="AF472" s="111"/>
      <c r="AG472" s="111"/>
      <c r="AH472" s="111"/>
      <c r="AI472" s="110"/>
      <c r="AJ472" s="110"/>
      <c r="AK472" s="110"/>
      <c r="AL472" s="110"/>
      <c r="AM472" s="110"/>
      <c r="AN472" s="110"/>
      <c r="AO472" s="110"/>
      <c r="AP472" s="110"/>
      <c r="AQ472" s="110"/>
      <c r="AR472" s="110"/>
      <c r="AS472" s="110"/>
      <c r="AT472" s="110"/>
      <c r="AU472" s="110"/>
      <c r="AV472" s="110"/>
      <c r="AW472" s="110"/>
      <c r="AX472" s="110"/>
      <c r="AY472" s="110"/>
      <c r="AZ472" s="110"/>
      <c r="BA472" s="110"/>
      <c r="BB472" s="110"/>
      <c r="BC472" s="110"/>
      <c r="BD472" s="110"/>
      <c r="BE472" s="110"/>
      <c r="BF472" s="110"/>
      <c r="BG472" s="110"/>
      <c r="BH472" s="110"/>
      <c r="BI472" s="110"/>
      <c r="BJ472" s="110"/>
      <c r="BK472" s="110"/>
      <c r="BL472" s="110"/>
      <c r="BM472" s="110"/>
      <c r="BN472" s="110"/>
      <c r="BO472" s="110"/>
      <c r="BP472" s="110"/>
      <c r="BQ472" s="110"/>
      <c r="BR472" s="110"/>
      <c r="BS472" s="110"/>
      <c r="BT472" s="110"/>
      <c r="BU472" s="110"/>
      <c r="BV472" s="110"/>
      <c r="BW472" s="110"/>
      <c r="BX472" s="110"/>
      <c r="BY472" s="110"/>
      <c r="BZ472" s="110"/>
      <c r="CA472" s="110"/>
      <c r="CB472" s="110"/>
      <c r="CC472" s="110"/>
      <c r="CD472" s="110"/>
      <c r="CE472" s="110"/>
      <c r="CF472" s="110"/>
      <c r="CG472" s="110"/>
      <c r="CH472" s="110"/>
      <c r="CI472" s="110"/>
      <c r="CJ472" s="110"/>
      <c r="CK472" s="110"/>
      <c r="CL472" s="110"/>
      <c r="CM472" s="110"/>
      <c r="CN472" s="110"/>
      <c r="CO472" s="110"/>
    </row>
    <row r="473" spans="1:93">
      <c r="A473" s="110"/>
      <c r="B473" s="110"/>
      <c r="C473" s="110"/>
      <c r="D473" s="110"/>
      <c r="E473" s="110"/>
      <c r="F473" s="110"/>
      <c r="G473" s="110"/>
      <c r="H473" s="110"/>
      <c r="I473" s="110"/>
      <c r="J473" s="110"/>
      <c r="K473" s="110"/>
      <c r="L473" s="110"/>
      <c r="M473" s="110"/>
      <c r="N473" s="110"/>
      <c r="O473" s="110"/>
      <c r="P473" s="110"/>
      <c r="Q473" s="110"/>
      <c r="R473" s="110"/>
      <c r="S473" s="110"/>
      <c r="T473" s="110"/>
      <c r="U473" s="111"/>
      <c r="V473" s="111"/>
      <c r="W473" s="111"/>
      <c r="X473" s="112"/>
      <c r="Y473" s="112"/>
      <c r="Z473" s="112"/>
      <c r="AA473" s="112"/>
      <c r="AB473" s="112"/>
      <c r="AC473" s="111"/>
      <c r="AD473" s="111"/>
      <c r="AE473" s="111"/>
      <c r="AF473" s="111"/>
      <c r="AG473" s="111"/>
      <c r="AH473" s="111"/>
      <c r="AI473" s="110"/>
      <c r="AJ473" s="110"/>
      <c r="AK473" s="110"/>
      <c r="AL473" s="110"/>
      <c r="AM473" s="110"/>
      <c r="AN473" s="110"/>
      <c r="AO473" s="110"/>
      <c r="AP473" s="110"/>
      <c r="AQ473" s="110"/>
      <c r="AR473" s="110"/>
      <c r="AS473" s="110"/>
      <c r="AT473" s="110"/>
      <c r="AU473" s="110"/>
      <c r="AV473" s="110"/>
      <c r="AW473" s="110"/>
      <c r="AX473" s="110"/>
      <c r="AY473" s="110"/>
      <c r="AZ473" s="110"/>
      <c r="BA473" s="110"/>
      <c r="BB473" s="110"/>
      <c r="BC473" s="110"/>
      <c r="BD473" s="110"/>
      <c r="BE473" s="110"/>
      <c r="BF473" s="110"/>
      <c r="BG473" s="110"/>
      <c r="BH473" s="110"/>
      <c r="BI473" s="110"/>
      <c r="BJ473" s="110"/>
      <c r="BK473" s="110"/>
      <c r="BL473" s="110"/>
      <c r="BM473" s="110"/>
      <c r="BN473" s="110"/>
      <c r="BO473" s="110"/>
      <c r="BP473" s="110"/>
      <c r="BQ473" s="110"/>
      <c r="BR473" s="110"/>
      <c r="BS473" s="110"/>
      <c r="BT473" s="110"/>
      <c r="BU473" s="110"/>
      <c r="BV473" s="110"/>
      <c r="BW473" s="110"/>
      <c r="BX473" s="110"/>
      <c r="BY473" s="110"/>
      <c r="BZ473" s="110"/>
      <c r="CA473" s="110"/>
      <c r="CB473" s="110"/>
      <c r="CC473" s="110"/>
      <c r="CD473" s="110"/>
      <c r="CE473" s="110"/>
      <c r="CF473" s="110"/>
      <c r="CG473" s="110"/>
      <c r="CH473" s="110"/>
      <c r="CI473" s="110"/>
      <c r="CJ473" s="110"/>
      <c r="CK473" s="110"/>
      <c r="CL473" s="110"/>
      <c r="CM473" s="110"/>
      <c r="CN473" s="110"/>
      <c r="CO473" s="110"/>
    </row>
    <row r="474" spans="1:93">
      <c r="A474" s="110"/>
      <c r="B474" s="110"/>
      <c r="C474" s="110"/>
      <c r="D474" s="110"/>
      <c r="E474" s="110"/>
      <c r="F474" s="110"/>
      <c r="G474" s="110"/>
      <c r="H474" s="110"/>
      <c r="I474" s="110"/>
      <c r="J474" s="110"/>
      <c r="K474" s="110"/>
      <c r="L474" s="110"/>
      <c r="M474" s="110"/>
      <c r="N474" s="110"/>
      <c r="O474" s="110"/>
      <c r="P474" s="110"/>
      <c r="Q474" s="110"/>
      <c r="R474" s="110"/>
      <c r="S474" s="110"/>
      <c r="T474" s="110"/>
      <c r="U474" s="111"/>
      <c r="V474" s="111"/>
      <c r="W474" s="111"/>
      <c r="X474" s="112"/>
      <c r="Y474" s="112"/>
      <c r="Z474" s="112"/>
      <c r="AA474" s="112"/>
      <c r="AB474" s="112"/>
      <c r="AC474" s="111"/>
      <c r="AD474" s="111"/>
      <c r="AE474" s="111"/>
      <c r="AF474" s="111"/>
      <c r="AG474" s="111"/>
      <c r="AH474" s="111"/>
      <c r="AI474" s="110"/>
      <c r="AJ474" s="110"/>
      <c r="AK474" s="110"/>
      <c r="AL474" s="110"/>
      <c r="AM474" s="110"/>
      <c r="AN474" s="110"/>
      <c r="AO474" s="110"/>
      <c r="AP474" s="110"/>
      <c r="AQ474" s="110"/>
      <c r="AR474" s="110"/>
      <c r="AS474" s="110"/>
      <c r="AT474" s="110"/>
      <c r="AU474" s="110"/>
      <c r="AV474" s="110"/>
      <c r="AW474" s="110"/>
      <c r="AX474" s="110"/>
      <c r="AY474" s="110"/>
      <c r="AZ474" s="110"/>
      <c r="BA474" s="110"/>
      <c r="BB474" s="110"/>
      <c r="BC474" s="110"/>
      <c r="BD474" s="110"/>
      <c r="BE474" s="110"/>
      <c r="BF474" s="110"/>
      <c r="BG474" s="110"/>
      <c r="BH474" s="110"/>
      <c r="BI474" s="110"/>
      <c r="BJ474" s="110"/>
      <c r="BK474" s="110"/>
      <c r="BL474" s="110"/>
      <c r="BM474" s="110"/>
      <c r="BN474" s="110"/>
      <c r="BO474" s="110"/>
      <c r="BP474" s="110"/>
      <c r="BQ474" s="110"/>
      <c r="BR474" s="110"/>
      <c r="BS474" s="110"/>
      <c r="BT474" s="110"/>
      <c r="BU474" s="110"/>
      <c r="BV474" s="110"/>
      <c r="BW474" s="110"/>
      <c r="BX474" s="110"/>
      <c r="BY474" s="110"/>
      <c r="BZ474" s="110"/>
      <c r="CA474" s="110"/>
      <c r="CB474" s="110"/>
      <c r="CC474" s="110"/>
      <c r="CD474" s="110"/>
      <c r="CE474" s="110"/>
      <c r="CF474" s="110"/>
      <c r="CG474" s="110"/>
      <c r="CH474" s="110"/>
      <c r="CI474" s="110"/>
      <c r="CJ474" s="110"/>
      <c r="CK474" s="110"/>
      <c r="CL474" s="110"/>
      <c r="CM474" s="110"/>
      <c r="CN474" s="110"/>
      <c r="CO474" s="110"/>
    </row>
    <row r="475" spans="1:93">
      <c r="A475" s="110"/>
      <c r="B475" s="110"/>
      <c r="C475" s="110"/>
      <c r="D475" s="110"/>
      <c r="E475" s="110"/>
      <c r="F475" s="110"/>
      <c r="G475" s="110"/>
      <c r="H475" s="110"/>
      <c r="I475" s="110"/>
      <c r="J475" s="110"/>
      <c r="K475" s="110"/>
      <c r="L475" s="110"/>
      <c r="M475" s="110"/>
      <c r="N475" s="110"/>
      <c r="O475" s="110"/>
      <c r="P475" s="110"/>
      <c r="Q475" s="110"/>
      <c r="R475" s="110"/>
      <c r="S475" s="110"/>
      <c r="T475" s="110"/>
      <c r="U475" s="111"/>
      <c r="V475" s="111"/>
      <c r="W475" s="111"/>
      <c r="X475" s="112"/>
      <c r="Y475" s="112"/>
      <c r="Z475" s="112"/>
      <c r="AA475" s="112"/>
      <c r="AB475" s="112"/>
      <c r="AC475" s="111"/>
      <c r="AD475" s="111"/>
      <c r="AE475" s="111"/>
      <c r="AF475" s="111"/>
      <c r="AG475" s="111"/>
      <c r="AH475" s="111"/>
      <c r="AI475" s="110"/>
      <c r="AJ475" s="110"/>
      <c r="AK475" s="110"/>
      <c r="AL475" s="110"/>
      <c r="AM475" s="110"/>
      <c r="AN475" s="110"/>
      <c r="AO475" s="110"/>
      <c r="AP475" s="110"/>
      <c r="AQ475" s="110"/>
      <c r="AR475" s="110"/>
      <c r="AS475" s="110"/>
      <c r="AT475" s="110"/>
      <c r="AU475" s="110"/>
      <c r="AV475" s="110"/>
      <c r="AW475" s="110"/>
      <c r="AX475" s="110"/>
      <c r="AY475" s="110"/>
      <c r="AZ475" s="110"/>
      <c r="BA475" s="110"/>
      <c r="BB475" s="110"/>
      <c r="BC475" s="110"/>
      <c r="BD475" s="110"/>
      <c r="BE475" s="110"/>
      <c r="BF475" s="110"/>
      <c r="BG475" s="110"/>
      <c r="BH475" s="110"/>
      <c r="BI475" s="110"/>
      <c r="BJ475" s="110"/>
      <c r="BK475" s="110"/>
      <c r="BL475" s="110"/>
      <c r="BM475" s="110"/>
      <c r="BN475" s="110"/>
      <c r="BO475" s="110"/>
      <c r="BP475" s="110"/>
      <c r="BQ475" s="110"/>
      <c r="BR475" s="110"/>
      <c r="BS475" s="110"/>
      <c r="BT475" s="110"/>
      <c r="BU475" s="110"/>
      <c r="BV475" s="110"/>
      <c r="BW475" s="110"/>
      <c r="BX475" s="110"/>
      <c r="BY475" s="110"/>
      <c r="BZ475" s="110"/>
      <c r="CA475" s="110"/>
      <c r="CB475" s="110"/>
      <c r="CC475" s="110"/>
      <c r="CD475" s="110"/>
      <c r="CE475" s="110"/>
      <c r="CF475" s="110"/>
      <c r="CG475" s="110"/>
      <c r="CH475" s="110"/>
      <c r="CI475" s="110"/>
      <c r="CJ475" s="110"/>
      <c r="CK475" s="110"/>
      <c r="CL475" s="110"/>
      <c r="CM475" s="110"/>
      <c r="CN475" s="110"/>
      <c r="CO475" s="110"/>
    </row>
    <row r="476" spans="1:93">
      <c r="A476" s="110"/>
      <c r="B476" s="110"/>
      <c r="C476" s="110"/>
      <c r="D476" s="110"/>
      <c r="E476" s="110"/>
      <c r="F476" s="110"/>
      <c r="G476" s="110"/>
      <c r="H476" s="110"/>
      <c r="I476" s="110"/>
      <c r="J476" s="110"/>
      <c r="K476" s="110"/>
      <c r="L476" s="110"/>
      <c r="M476" s="110"/>
      <c r="N476" s="110"/>
      <c r="O476" s="110"/>
      <c r="P476" s="110"/>
      <c r="Q476" s="110"/>
      <c r="R476" s="110"/>
      <c r="S476" s="110"/>
      <c r="T476" s="110"/>
      <c r="U476" s="111"/>
      <c r="V476" s="111"/>
      <c r="W476" s="111"/>
      <c r="X476" s="112"/>
      <c r="Y476" s="112"/>
      <c r="Z476" s="112"/>
      <c r="AA476" s="112"/>
      <c r="AB476" s="112"/>
      <c r="AC476" s="111"/>
      <c r="AD476" s="111"/>
      <c r="AE476" s="111"/>
      <c r="AF476" s="111"/>
      <c r="AG476" s="111"/>
      <c r="AH476" s="111"/>
      <c r="AI476" s="110"/>
      <c r="AJ476" s="110"/>
      <c r="AK476" s="110"/>
      <c r="AL476" s="110"/>
      <c r="AM476" s="110"/>
      <c r="AN476" s="110"/>
      <c r="AO476" s="110"/>
      <c r="AP476" s="110"/>
      <c r="AQ476" s="110"/>
      <c r="AR476" s="110"/>
      <c r="AS476" s="110"/>
      <c r="AT476" s="110"/>
      <c r="AU476" s="110"/>
      <c r="AV476" s="110"/>
      <c r="AW476" s="110"/>
      <c r="AX476" s="110"/>
      <c r="AY476" s="110"/>
      <c r="AZ476" s="110"/>
      <c r="BA476" s="110"/>
      <c r="BB476" s="110"/>
      <c r="BC476" s="110"/>
      <c r="BD476" s="110"/>
      <c r="BE476" s="110"/>
      <c r="BF476" s="110"/>
      <c r="BG476" s="110"/>
      <c r="BH476" s="110"/>
      <c r="BI476" s="110"/>
      <c r="BJ476" s="110"/>
      <c r="BK476" s="110"/>
      <c r="BL476" s="110"/>
      <c r="BM476" s="110"/>
      <c r="BN476" s="110"/>
      <c r="BO476" s="110"/>
      <c r="BP476" s="110"/>
      <c r="BQ476" s="110"/>
      <c r="BR476" s="110"/>
      <c r="BS476" s="110"/>
      <c r="BT476" s="110"/>
      <c r="BU476" s="110"/>
      <c r="BV476" s="110"/>
      <c r="BW476" s="110"/>
      <c r="BX476" s="110"/>
      <c r="BY476" s="110"/>
      <c r="BZ476" s="110"/>
      <c r="CA476" s="110"/>
      <c r="CB476" s="110"/>
      <c r="CC476" s="110"/>
      <c r="CD476" s="110"/>
      <c r="CE476" s="110"/>
      <c r="CF476" s="110"/>
      <c r="CG476" s="110"/>
      <c r="CH476" s="110"/>
      <c r="CI476" s="110"/>
      <c r="CJ476" s="110"/>
      <c r="CK476" s="110"/>
      <c r="CL476" s="110"/>
      <c r="CM476" s="110"/>
      <c r="CN476" s="110"/>
      <c r="CO476" s="110"/>
    </row>
    <row r="477" spans="1:93">
      <c r="A477" s="110"/>
      <c r="B477" s="110"/>
      <c r="C477" s="110"/>
      <c r="D477" s="110"/>
      <c r="E477" s="110"/>
      <c r="F477" s="110"/>
      <c r="G477" s="110"/>
      <c r="H477" s="110"/>
      <c r="I477" s="110"/>
      <c r="J477" s="110"/>
      <c r="K477" s="110"/>
      <c r="L477" s="110"/>
      <c r="M477" s="110"/>
      <c r="N477" s="110"/>
      <c r="O477" s="110"/>
      <c r="P477" s="110"/>
      <c r="Q477" s="110"/>
      <c r="R477" s="110"/>
      <c r="S477" s="110"/>
      <c r="T477" s="110"/>
      <c r="U477" s="111"/>
      <c r="V477" s="111"/>
      <c r="W477" s="111"/>
      <c r="X477" s="112"/>
      <c r="Y477" s="112"/>
      <c r="Z477" s="112"/>
      <c r="AA477" s="112"/>
      <c r="AB477" s="112"/>
      <c r="AC477" s="111"/>
      <c r="AD477" s="111"/>
      <c r="AE477" s="111"/>
      <c r="AF477" s="111"/>
      <c r="AG477" s="111"/>
      <c r="AH477" s="111"/>
      <c r="AI477" s="110"/>
      <c r="AJ477" s="110"/>
      <c r="AK477" s="110"/>
      <c r="AL477" s="110"/>
      <c r="AM477" s="110"/>
      <c r="AN477" s="110"/>
      <c r="AO477" s="110"/>
      <c r="AP477" s="110"/>
      <c r="AQ477" s="110"/>
      <c r="AR477" s="110"/>
      <c r="AS477" s="110"/>
      <c r="AT477" s="110"/>
      <c r="AU477" s="110"/>
      <c r="AV477" s="110"/>
      <c r="AW477" s="110"/>
      <c r="AX477" s="110"/>
      <c r="AY477" s="110"/>
      <c r="AZ477" s="110"/>
      <c r="BA477" s="110"/>
      <c r="BB477" s="110"/>
      <c r="BC477" s="110"/>
      <c r="BD477" s="110"/>
      <c r="BE477" s="110"/>
      <c r="BF477" s="110"/>
      <c r="BG477" s="110"/>
      <c r="BH477" s="110"/>
      <c r="BI477" s="110"/>
      <c r="BJ477" s="110"/>
      <c r="BK477" s="110"/>
      <c r="BL477" s="110"/>
      <c r="BM477" s="110"/>
      <c r="BN477" s="110"/>
      <c r="BO477" s="110"/>
      <c r="BP477" s="110"/>
      <c r="BQ477" s="110"/>
      <c r="BR477" s="110"/>
      <c r="BS477" s="110"/>
      <c r="BT477" s="110"/>
      <c r="BU477" s="110"/>
      <c r="BV477" s="110"/>
      <c r="BW477" s="110"/>
      <c r="BX477" s="110"/>
      <c r="BY477" s="110"/>
      <c r="BZ477" s="110"/>
      <c r="CA477" s="110"/>
      <c r="CB477" s="110"/>
      <c r="CC477" s="110"/>
      <c r="CD477" s="110"/>
      <c r="CE477" s="110"/>
      <c r="CF477" s="110"/>
      <c r="CG477" s="110"/>
      <c r="CH477" s="110"/>
      <c r="CI477" s="110"/>
      <c r="CJ477" s="110"/>
      <c r="CK477" s="110"/>
      <c r="CL477" s="110"/>
      <c r="CM477" s="110"/>
      <c r="CN477" s="110"/>
      <c r="CO477" s="110"/>
    </row>
    <row r="478" spans="1:93">
      <c r="A478" s="110"/>
      <c r="B478" s="110"/>
      <c r="C478" s="110"/>
      <c r="D478" s="110"/>
      <c r="E478" s="110"/>
      <c r="F478" s="110"/>
      <c r="G478" s="110"/>
      <c r="H478" s="110"/>
      <c r="I478" s="110"/>
      <c r="J478" s="110"/>
      <c r="K478" s="110"/>
      <c r="L478" s="110"/>
      <c r="M478" s="110"/>
      <c r="N478" s="110"/>
      <c r="O478" s="110"/>
      <c r="P478" s="110"/>
      <c r="Q478" s="110"/>
      <c r="R478" s="110"/>
      <c r="S478" s="110"/>
      <c r="T478" s="110"/>
      <c r="U478" s="111"/>
      <c r="V478" s="111"/>
      <c r="W478" s="111"/>
      <c r="X478" s="112"/>
      <c r="Y478" s="112"/>
      <c r="Z478" s="112"/>
      <c r="AA478" s="112"/>
      <c r="AB478" s="112"/>
      <c r="AC478" s="111"/>
      <c r="AD478" s="111"/>
      <c r="AE478" s="111"/>
      <c r="AF478" s="111"/>
      <c r="AG478" s="111"/>
      <c r="AH478" s="111"/>
      <c r="AI478" s="110"/>
      <c r="AJ478" s="110"/>
      <c r="AK478" s="110"/>
      <c r="AL478" s="110"/>
      <c r="AM478" s="110"/>
      <c r="AN478" s="110"/>
      <c r="AO478" s="110"/>
      <c r="AP478" s="110"/>
      <c r="AQ478" s="110"/>
      <c r="AR478" s="110"/>
      <c r="AS478" s="110"/>
      <c r="AT478" s="110"/>
      <c r="AU478" s="110"/>
      <c r="AV478" s="110"/>
      <c r="AW478" s="110"/>
      <c r="AX478" s="110"/>
      <c r="AY478" s="110"/>
      <c r="AZ478" s="110"/>
      <c r="BA478" s="110"/>
      <c r="BB478" s="110"/>
      <c r="BC478" s="110"/>
      <c r="BD478" s="110"/>
      <c r="BE478" s="110"/>
      <c r="BF478" s="110"/>
      <c r="BG478" s="110"/>
      <c r="BH478" s="110"/>
      <c r="BI478" s="110"/>
      <c r="BJ478" s="110"/>
      <c r="BK478" s="110"/>
      <c r="BL478" s="110"/>
      <c r="BM478" s="110"/>
      <c r="BN478" s="110"/>
      <c r="BO478" s="110"/>
      <c r="BP478" s="110"/>
      <c r="BQ478" s="110"/>
      <c r="BR478" s="110"/>
      <c r="BS478" s="110"/>
      <c r="BT478" s="110"/>
      <c r="BU478" s="110"/>
      <c r="BV478" s="110"/>
      <c r="BW478" s="110"/>
      <c r="BX478" s="110"/>
      <c r="BY478" s="110"/>
      <c r="BZ478" s="110"/>
      <c r="CA478" s="110"/>
      <c r="CB478" s="110"/>
      <c r="CC478" s="110"/>
      <c r="CD478" s="110"/>
      <c r="CE478" s="110"/>
      <c r="CF478" s="110"/>
      <c r="CG478" s="110"/>
      <c r="CH478" s="110"/>
      <c r="CI478" s="110"/>
      <c r="CJ478" s="110"/>
      <c r="CK478" s="110"/>
      <c r="CL478" s="110"/>
      <c r="CM478" s="110"/>
      <c r="CN478" s="110"/>
      <c r="CO478" s="110"/>
    </row>
    <row r="479" spans="1:93">
      <c r="A479" s="110"/>
      <c r="B479" s="110"/>
      <c r="C479" s="110"/>
      <c r="D479" s="110"/>
      <c r="E479" s="110"/>
      <c r="F479" s="110"/>
      <c r="G479" s="110"/>
      <c r="H479" s="110"/>
      <c r="I479" s="110"/>
      <c r="J479" s="110"/>
      <c r="K479" s="110"/>
      <c r="L479" s="110"/>
      <c r="M479" s="110"/>
      <c r="N479" s="110"/>
      <c r="O479" s="110"/>
      <c r="P479" s="110"/>
      <c r="Q479" s="110"/>
      <c r="R479" s="110"/>
      <c r="S479" s="110"/>
      <c r="T479" s="110"/>
      <c r="U479" s="111"/>
      <c r="V479" s="111"/>
      <c r="W479" s="111"/>
      <c r="X479" s="112"/>
      <c r="Y479" s="112"/>
      <c r="Z479" s="112"/>
      <c r="AA479" s="112"/>
      <c r="AB479" s="112"/>
      <c r="AC479" s="111"/>
      <c r="AD479" s="111"/>
      <c r="AE479" s="111"/>
      <c r="AF479" s="111"/>
      <c r="AG479" s="111"/>
      <c r="AH479" s="111"/>
      <c r="AI479" s="110"/>
      <c r="AJ479" s="110"/>
      <c r="AK479" s="110"/>
      <c r="AL479" s="110"/>
      <c r="AM479" s="110"/>
      <c r="AN479" s="110"/>
      <c r="AO479" s="110"/>
      <c r="AP479" s="110"/>
      <c r="AQ479" s="110"/>
      <c r="AR479" s="110"/>
      <c r="AS479" s="110"/>
      <c r="AT479" s="110"/>
      <c r="AU479" s="110"/>
      <c r="AV479" s="110"/>
      <c r="AW479" s="110"/>
      <c r="AX479" s="110"/>
      <c r="AY479" s="110"/>
      <c r="AZ479" s="110"/>
      <c r="BA479" s="110"/>
      <c r="BB479" s="110"/>
      <c r="BC479" s="110"/>
      <c r="BD479" s="110"/>
      <c r="BE479" s="110"/>
      <c r="BF479" s="110"/>
      <c r="BG479" s="110"/>
      <c r="BH479" s="110"/>
      <c r="BI479" s="110"/>
      <c r="BJ479" s="110"/>
      <c r="BK479" s="110"/>
      <c r="BL479" s="110"/>
      <c r="BM479" s="110"/>
      <c r="BN479" s="110"/>
      <c r="BO479" s="110"/>
      <c r="BP479" s="110"/>
      <c r="BQ479" s="110"/>
      <c r="BR479" s="110"/>
      <c r="BS479" s="110"/>
      <c r="BT479" s="110"/>
      <c r="BU479" s="110"/>
      <c r="BV479" s="110"/>
      <c r="BW479" s="110"/>
      <c r="BX479" s="110"/>
      <c r="BY479" s="110"/>
      <c r="BZ479" s="110"/>
      <c r="CA479" s="110"/>
      <c r="CB479" s="110"/>
      <c r="CC479" s="110"/>
      <c r="CD479" s="110"/>
      <c r="CE479" s="110"/>
      <c r="CF479" s="110"/>
      <c r="CG479" s="110"/>
      <c r="CH479" s="110"/>
      <c r="CI479" s="110"/>
      <c r="CJ479" s="110"/>
      <c r="CK479" s="110"/>
      <c r="CL479" s="110"/>
      <c r="CM479" s="110"/>
      <c r="CN479" s="110"/>
      <c r="CO479" s="110"/>
    </row>
    <row r="480" spans="1:93">
      <c r="A480" s="110"/>
      <c r="B480" s="110"/>
      <c r="C480" s="110"/>
      <c r="D480" s="110"/>
      <c r="E480" s="110"/>
      <c r="F480" s="110"/>
      <c r="G480" s="110"/>
      <c r="H480" s="110"/>
      <c r="I480" s="110"/>
      <c r="J480" s="110"/>
      <c r="K480" s="110"/>
      <c r="L480" s="110"/>
      <c r="M480" s="110"/>
      <c r="N480" s="110"/>
      <c r="O480" s="110"/>
      <c r="P480" s="110"/>
      <c r="Q480" s="110"/>
      <c r="R480" s="110"/>
      <c r="S480" s="110"/>
      <c r="T480" s="110"/>
      <c r="U480" s="111"/>
      <c r="V480" s="111"/>
      <c r="W480" s="111"/>
      <c r="X480" s="112"/>
      <c r="Y480" s="112"/>
      <c r="Z480" s="112"/>
      <c r="AA480" s="112"/>
      <c r="AB480" s="112"/>
      <c r="AC480" s="111"/>
      <c r="AD480" s="111"/>
      <c r="AE480" s="111"/>
      <c r="AF480" s="111"/>
      <c r="AG480" s="111"/>
      <c r="AH480" s="111"/>
      <c r="AI480" s="110"/>
      <c r="AJ480" s="110"/>
      <c r="AK480" s="110"/>
      <c r="AL480" s="110"/>
      <c r="AM480" s="110"/>
      <c r="AN480" s="110"/>
      <c r="AO480" s="110"/>
      <c r="AP480" s="110"/>
      <c r="AQ480" s="110"/>
      <c r="AR480" s="110"/>
      <c r="AS480" s="110"/>
      <c r="AT480" s="110"/>
      <c r="AU480" s="110"/>
      <c r="AV480" s="110"/>
      <c r="AW480" s="110"/>
      <c r="AX480" s="110"/>
      <c r="AY480" s="110"/>
      <c r="AZ480" s="110"/>
      <c r="BA480" s="110"/>
      <c r="BB480" s="110"/>
      <c r="BC480" s="110"/>
      <c r="BD480" s="110"/>
      <c r="BE480" s="110"/>
      <c r="BF480" s="110"/>
      <c r="BG480" s="110"/>
      <c r="BH480" s="110"/>
      <c r="BI480" s="110"/>
      <c r="BJ480" s="110"/>
      <c r="BK480" s="110"/>
      <c r="BL480" s="110"/>
      <c r="BM480" s="110"/>
      <c r="BN480" s="110"/>
      <c r="BO480" s="110"/>
      <c r="BP480" s="110"/>
      <c r="BQ480" s="110"/>
      <c r="BR480" s="110"/>
      <c r="BS480" s="110"/>
      <c r="BT480" s="110"/>
      <c r="BU480" s="110"/>
      <c r="BV480" s="110"/>
      <c r="BW480" s="110"/>
      <c r="BX480" s="110"/>
      <c r="BY480" s="110"/>
      <c r="BZ480" s="110"/>
      <c r="CA480" s="110"/>
      <c r="CB480" s="110"/>
      <c r="CC480" s="110"/>
      <c r="CD480" s="110"/>
      <c r="CE480" s="110"/>
      <c r="CF480" s="110"/>
      <c r="CG480" s="110"/>
      <c r="CH480" s="110"/>
      <c r="CI480" s="110"/>
      <c r="CJ480" s="110"/>
      <c r="CK480" s="110"/>
      <c r="CL480" s="110"/>
      <c r="CM480" s="110"/>
      <c r="CN480" s="110"/>
      <c r="CO480" s="110"/>
    </row>
    <row r="481" spans="1:93">
      <c r="A481" s="110"/>
      <c r="B481" s="110"/>
      <c r="C481" s="110"/>
      <c r="D481" s="110"/>
      <c r="E481" s="110"/>
      <c r="F481" s="110"/>
      <c r="G481" s="110"/>
      <c r="H481" s="110"/>
      <c r="I481" s="110"/>
      <c r="J481" s="110"/>
      <c r="K481" s="110"/>
      <c r="L481" s="110"/>
      <c r="M481" s="110"/>
      <c r="N481" s="110"/>
      <c r="O481" s="110"/>
      <c r="P481" s="110"/>
      <c r="Q481" s="110"/>
      <c r="R481" s="110"/>
      <c r="S481" s="110"/>
      <c r="T481" s="110"/>
      <c r="U481" s="111"/>
      <c r="V481" s="111"/>
      <c r="W481" s="111"/>
      <c r="X481" s="112"/>
      <c r="Y481" s="112"/>
      <c r="Z481" s="112"/>
      <c r="AA481" s="112"/>
      <c r="AB481" s="112"/>
      <c r="AC481" s="111"/>
      <c r="AD481" s="111"/>
      <c r="AE481" s="111"/>
      <c r="AF481" s="111"/>
      <c r="AG481" s="111"/>
      <c r="AH481" s="111"/>
      <c r="AI481" s="110"/>
      <c r="AJ481" s="110"/>
      <c r="AK481" s="110"/>
      <c r="AL481" s="110"/>
      <c r="AM481" s="110"/>
      <c r="AN481" s="110"/>
      <c r="AO481" s="110"/>
      <c r="AP481" s="110"/>
      <c r="AQ481" s="110"/>
      <c r="AR481" s="110"/>
      <c r="AS481" s="110"/>
      <c r="AT481" s="110"/>
      <c r="AU481" s="110"/>
      <c r="AV481" s="110"/>
      <c r="AW481" s="110"/>
      <c r="AX481" s="110"/>
      <c r="AY481" s="110"/>
      <c r="AZ481" s="110"/>
      <c r="BA481" s="110"/>
      <c r="BB481" s="110"/>
      <c r="BC481" s="110"/>
      <c r="BD481" s="110"/>
      <c r="BE481" s="110"/>
      <c r="BF481" s="110"/>
      <c r="BG481" s="110"/>
      <c r="BH481" s="110"/>
      <c r="BI481" s="110"/>
      <c r="BJ481" s="110"/>
      <c r="BK481" s="110"/>
      <c r="BL481" s="110"/>
      <c r="BM481" s="110"/>
      <c r="BN481" s="110"/>
      <c r="BO481" s="110"/>
      <c r="BP481" s="110"/>
      <c r="BQ481" s="110"/>
      <c r="BR481" s="110"/>
      <c r="BS481" s="110"/>
      <c r="BT481" s="110"/>
      <c r="BU481" s="110"/>
      <c r="BV481" s="110"/>
      <c r="BW481" s="110"/>
      <c r="BX481" s="110"/>
      <c r="BY481" s="110"/>
      <c r="BZ481" s="110"/>
      <c r="CA481" s="110"/>
      <c r="CB481" s="110"/>
      <c r="CC481" s="110"/>
      <c r="CD481" s="110"/>
      <c r="CE481" s="110"/>
      <c r="CF481" s="110"/>
      <c r="CG481" s="110"/>
      <c r="CH481" s="110"/>
      <c r="CI481" s="110"/>
      <c r="CJ481" s="110"/>
      <c r="CK481" s="110"/>
      <c r="CL481" s="110"/>
      <c r="CM481" s="110"/>
      <c r="CN481" s="110"/>
      <c r="CO481" s="110"/>
    </row>
    <row r="482" spans="1:93">
      <c r="A482" s="110"/>
      <c r="B482" s="110"/>
      <c r="C482" s="110"/>
      <c r="D482" s="110"/>
      <c r="E482" s="110"/>
      <c r="F482" s="110"/>
      <c r="G482" s="110"/>
      <c r="H482" s="110"/>
      <c r="I482" s="110"/>
      <c r="J482" s="110"/>
      <c r="K482" s="110"/>
      <c r="L482" s="110"/>
      <c r="M482" s="110"/>
      <c r="N482" s="110"/>
      <c r="O482" s="110"/>
      <c r="P482" s="110"/>
      <c r="Q482" s="110"/>
      <c r="R482" s="110"/>
      <c r="S482" s="110"/>
      <c r="T482" s="110"/>
      <c r="U482" s="111"/>
      <c r="V482" s="111"/>
      <c r="W482" s="111"/>
      <c r="X482" s="112"/>
      <c r="Y482" s="112"/>
      <c r="Z482" s="112"/>
      <c r="AA482" s="112"/>
      <c r="AB482" s="112"/>
      <c r="AC482" s="111"/>
      <c r="AD482" s="111"/>
      <c r="AE482" s="111"/>
      <c r="AF482" s="111"/>
      <c r="AG482" s="111"/>
      <c r="AH482" s="111"/>
      <c r="AI482" s="110"/>
      <c r="AJ482" s="110"/>
      <c r="AK482" s="110"/>
      <c r="AL482" s="110"/>
      <c r="AM482" s="110"/>
      <c r="AN482" s="110"/>
      <c r="AO482" s="110"/>
      <c r="AP482" s="110"/>
      <c r="AQ482" s="110"/>
      <c r="AR482" s="110"/>
      <c r="AS482" s="110"/>
      <c r="AT482" s="110"/>
      <c r="AU482" s="110"/>
      <c r="AV482" s="110"/>
      <c r="AW482" s="110"/>
      <c r="AX482" s="110"/>
      <c r="AY482" s="110"/>
      <c r="AZ482" s="110"/>
      <c r="BA482" s="110"/>
      <c r="BB482" s="110"/>
      <c r="BC482" s="110"/>
      <c r="BD482" s="110"/>
      <c r="BE482" s="110"/>
      <c r="BF482" s="110"/>
      <c r="BG482" s="110"/>
      <c r="BH482" s="110"/>
      <c r="BI482" s="110"/>
      <c r="BJ482" s="110"/>
      <c r="BK482" s="110"/>
      <c r="BL482" s="110"/>
      <c r="BM482" s="110"/>
      <c r="BN482" s="110"/>
      <c r="BO482" s="110"/>
      <c r="BP482" s="110"/>
      <c r="BQ482" s="110"/>
      <c r="BR482" s="110"/>
      <c r="BS482" s="110"/>
      <c r="BT482" s="110"/>
      <c r="BU482" s="110"/>
      <c r="BV482" s="110"/>
      <c r="BW482" s="110"/>
      <c r="BX482" s="110"/>
      <c r="BY482" s="110"/>
      <c r="BZ482" s="110"/>
      <c r="CA482" s="110"/>
      <c r="CB482" s="110"/>
      <c r="CC482" s="110"/>
      <c r="CD482" s="110"/>
      <c r="CE482" s="110"/>
      <c r="CF482" s="110"/>
      <c r="CG482" s="110"/>
      <c r="CH482" s="110"/>
      <c r="CI482" s="110"/>
      <c r="CJ482" s="110"/>
      <c r="CK482" s="110"/>
      <c r="CL482" s="110"/>
      <c r="CM482" s="110"/>
      <c r="CN482" s="110"/>
      <c r="CO482" s="110"/>
    </row>
    <row r="483" spans="1:93">
      <c r="A483" s="110"/>
      <c r="B483" s="110"/>
      <c r="C483" s="110"/>
      <c r="D483" s="110"/>
      <c r="E483" s="110"/>
      <c r="F483" s="110"/>
      <c r="G483" s="110"/>
      <c r="H483" s="110"/>
      <c r="I483" s="110"/>
      <c r="J483" s="110"/>
      <c r="K483" s="110"/>
      <c r="L483" s="110"/>
      <c r="M483" s="110"/>
      <c r="N483" s="110"/>
      <c r="O483" s="110"/>
      <c r="P483" s="110"/>
      <c r="Q483" s="110"/>
      <c r="R483" s="110"/>
      <c r="S483" s="110"/>
      <c r="T483" s="110"/>
      <c r="U483" s="111"/>
      <c r="V483" s="111"/>
      <c r="W483" s="111"/>
      <c r="X483" s="112"/>
      <c r="Y483" s="112"/>
      <c r="Z483" s="112"/>
      <c r="AA483" s="112"/>
      <c r="AB483" s="112"/>
      <c r="AC483" s="111"/>
      <c r="AD483" s="111"/>
      <c r="AE483" s="111"/>
      <c r="AF483" s="111"/>
      <c r="AG483" s="111"/>
      <c r="AH483" s="111"/>
      <c r="AI483" s="110"/>
      <c r="AJ483" s="110"/>
      <c r="AK483" s="110"/>
      <c r="AL483" s="110"/>
      <c r="AM483" s="110"/>
      <c r="AN483" s="110"/>
      <c r="AO483" s="110"/>
      <c r="AP483" s="110"/>
      <c r="AQ483" s="110"/>
      <c r="AR483" s="110"/>
      <c r="AS483" s="110"/>
      <c r="AT483" s="110"/>
      <c r="AU483" s="110"/>
      <c r="AV483" s="110"/>
      <c r="AW483" s="110"/>
      <c r="AX483" s="110"/>
      <c r="AY483" s="110"/>
      <c r="AZ483" s="110"/>
      <c r="BA483" s="110"/>
      <c r="BB483" s="110"/>
      <c r="BC483" s="110"/>
      <c r="BD483" s="110"/>
      <c r="BE483" s="110"/>
      <c r="BF483" s="110"/>
      <c r="BG483" s="110"/>
      <c r="BH483" s="110"/>
      <c r="BI483" s="110"/>
      <c r="BJ483" s="110"/>
      <c r="BK483" s="110"/>
      <c r="BL483" s="110"/>
      <c r="BM483" s="110"/>
      <c r="BN483" s="110"/>
      <c r="BO483" s="110"/>
      <c r="BP483" s="110"/>
      <c r="BQ483" s="110"/>
      <c r="BR483" s="110"/>
      <c r="BS483" s="110"/>
      <c r="BT483" s="110"/>
      <c r="BU483" s="110"/>
      <c r="BV483" s="110"/>
      <c r="BW483" s="110"/>
      <c r="BX483" s="110"/>
      <c r="BY483" s="110"/>
      <c r="BZ483" s="110"/>
      <c r="CA483" s="110"/>
      <c r="CB483" s="110"/>
      <c r="CC483" s="110"/>
      <c r="CD483" s="110"/>
      <c r="CE483" s="110"/>
      <c r="CF483" s="110"/>
      <c r="CG483" s="110"/>
      <c r="CH483" s="110"/>
      <c r="CI483" s="110"/>
      <c r="CJ483" s="110"/>
      <c r="CK483" s="110"/>
      <c r="CL483" s="110"/>
      <c r="CM483" s="110"/>
      <c r="CN483" s="110"/>
      <c r="CO483" s="110"/>
    </row>
    <row r="484" spans="1:93">
      <c r="A484" s="110"/>
      <c r="B484" s="110"/>
      <c r="C484" s="110"/>
      <c r="D484" s="110"/>
      <c r="E484" s="110"/>
      <c r="F484" s="110"/>
      <c r="G484" s="110"/>
      <c r="H484" s="110"/>
      <c r="I484" s="110"/>
      <c r="J484" s="110"/>
      <c r="K484" s="110"/>
      <c r="L484" s="110"/>
      <c r="M484" s="110"/>
      <c r="N484" s="110"/>
      <c r="O484" s="110"/>
      <c r="P484" s="110"/>
      <c r="Q484" s="110"/>
      <c r="R484" s="110"/>
      <c r="S484" s="110"/>
      <c r="T484" s="110"/>
      <c r="U484" s="111"/>
      <c r="V484" s="111"/>
      <c r="W484" s="111"/>
      <c r="X484" s="112"/>
      <c r="Y484" s="112"/>
      <c r="Z484" s="112"/>
      <c r="AA484" s="112"/>
      <c r="AB484" s="112"/>
      <c r="AC484" s="111"/>
      <c r="AD484" s="111"/>
      <c r="AE484" s="111"/>
      <c r="AF484" s="111"/>
      <c r="AG484" s="111"/>
      <c r="AH484" s="111"/>
      <c r="AI484" s="110"/>
      <c r="AJ484" s="110"/>
      <c r="AK484" s="110"/>
      <c r="AL484" s="110"/>
      <c r="AM484" s="110"/>
      <c r="AN484" s="110"/>
      <c r="AO484" s="110"/>
      <c r="AP484" s="110"/>
      <c r="AQ484" s="110"/>
      <c r="AR484" s="110"/>
      <c r="AS484" s="110"/>
      <c r="AT484" s="110"/>
      <c r="AU484" s="110"/>
      <c r="AV484" s="110"/>
      <c r="AW484" s="110"/>
      <c r="AX484" s="110"/>
      <c r="AY484" s="110"/>
      <c r="AZ484" s="110"/>
      <c r="BA484" s="110"/>
      <c r="BB484" s="110"/>
      <c r="BC484" s="110"/>
      <c r="BD484" s="110"/>
      <c r="BE484" s="110"/>
      <c r="BF484" s="110"/>
      <c r="BG484" s="110"/>
      <c r="BH484" s="110"/>
      <c r="BI484" s="110"/>
      <c r="BJ484" s="110"/>
      <c r="BK484" s="110"/>
      <c r="BL484" s="110"/>
      <c r="BM484" s="110"/>
      <c r="BN484" s="110"/>
      <c r="BO484" s="110"/>
      <c r="BP484" s="110"/>
      <c r="BQ484" s="110"/>
      <c r="BR484" s="110"/>
      <c r="BS484" s="110"/>
      <c r="BT484" s="110"/>
      <c r="BU484" s="110"/>
      <c r="BV484" s="110"/>
      <c r="BW484" s="110"/>
      <c r="BX484" s="110"/>
      <c r="BY484" s="110"/>
      <c r="BZ484" s="110"/>
      <c r="CA484" s="110"/>
      <c r="CB484" s="110"/>
      <c r="CC484" s="110"/>
      <c r="CD484" s="110"/>
      <c r="CE484" s="110"/>
      <c r="CF484" s="110"/>
      <c r="CG484" s="110"/>
      <c r="CH484" s="110"/>
      <c r="CI484" s="110"/>
      <c r="CJ484" s="110"/>
      <c r="CK484" s="110"/>
      <c r="CL484" s="110"/>
      <c r="CM484" s="110"/>
      <c r="CN484" s="110"/>
      <c r="CO484" s="110"/>
    </row>
    <row r="485" spans="1:93">
      <c r="A485" s="110"/>
      <c r="B485" s="110"/>
      <c r="C485" s="110"/>
      <c r="D485" s="110"/>
      <c r="E485" s="110"/>
      <c r="F485" s="110"/>
      <c r="G485" s="110"/>
      <c r="H485" s="110"/>
      <c r="I485" s="110"/>
      <c r="J485" s="110"/>
      <c r="K485" s="110"/>
      <c r="L485" s="110"/>
      <c r="M485" s="110"/>
      <c r="N485" s="110"/>
      <c r="O485" s="110"/>
      <c r="P485" s="110"/>
      <c r="Q485" s="110"/>
      <c r="R485" s="110"/>
      <c r="S485" s="110"/>
      <c r="T485" s="110"/>
      <c r="U485" s="111"/>
      <c r="V485" s="111"/>
      <c r="W485" s="111"/>
      <c r="X485" s="112"/>
      <c r="Y485" s="112"/>
      <c r="Z485" s="112"/>
      <c r="AA485" s="112"/>
      <c r="AB485" s="112"/>
      <c r="AC485" s="111"/>
      <c r="AD485" s="111"/>
      <c r="AE485" s="111"/>
      <c r="AF485" s="111"/>
      <c r="AG485" s="111"/>
      <c r="AH485" s="111"/>
      <c r="AI485" s="110"/>
      <c r="AJ485" s="110"/>
      <c r="AK485" s="110"/>
      <c r="AL485" s="110"/>
      <c r="AM485" s="110"/>
      <c r="AN485" s="110"/>
      <c r="AO485" s="110"/>
      <c r="AP485" s="110"/>
      <c r="AQ485" s="110"/>
      <c r="AR485" s="110"/>
      <c r="AS485" s="110"/>
      <c r="AT485" s="110"/>
      <c r="AU485" s="110"/>
      <c r="AV485" s="110"/>
      <c r="AW485" s="110"/>
      <c r="AX485" s="110"/>
      <c r="AY485" s="110"/>
      <c r="AZ485" s="110"/>
      <c r="BA485" s="110"/>
      <c r="BB485" s="110"/>
      <c r="BC485" s="110"/>
      <c r="BD485" s="110"/>
      <c r="BE485" s="110"/>
      <c r="BF485" s="110"/>
      <c r="BG485" s="110"/>
      <c r="BH485" s="110"/>
      <c r="BI485" s="110"/>
      <c r="BJ485" s="110"/>
      <c r="BK485" s="110"/>
      <c r="BL485" s="110"/>
      <c r="BM485" s="110"/>
      <c r="BN485" s="110"/>
      <c r="BO485" s="110"/>
      <c r="BP485" s="110"/>
      <c r="BQ485" s="110"/>
      <c r="BR485" s="110"/>
      <c r="BS485" s="110"/>
      <c r="BT485" s="110"/>
      <c r="BU485" s="110"/>
      <c r="BV485" s="110"/>
      <c r="BW485" s="110"/>
      <c r="BX485" s="110"/>
      <c r="BY485" s="110"/>
      <c r="BZ485" s="110"/>
      <c r="CA485" s="110"/>
      <c r="CB485" s="110"/>
      <c r="CC485" s="110"/>
      <c r="CD485" s="110"/>
      <c r="CE485" s="110"/>
      <c r="CF485" s="110"/>
      <c r="CG485" s="110"/>
      <c r="CH485" s="110"/>
      <c r="CI485" s="110"/>
      <c r="CJ485" s="110"/>
      <c r="CK485" s="110"/>
      <c r="CL485" s="110"/>
      <c r="CM485" s="110"/>
      <c r="CN485" s="110"/>
      <c r="CO485" s="110"/>
    </row>
    <row r="486" spans="1:93">
      <c r="A486" s="110"/>
      <c r="B486" s="110"/>
      <c r="C486" s="110"/>
      <c r="D486" s="110"/>
      <c r="E486" s="110"/>
      <c r="F486" s="110"/>
      <c r="G486" s="110"/>
      <c r="H486" s="110"/>
      <c r="I486" s="110"/>
      <c r="J486" s="110"/>
      <c r="K486" s="110"/>
      <c r="L486" s="110"/>
      <c r="M486" s="110"/>
      <c r="N486" s="110"/>
      <c r="O486" s="110"/>
      <c r="P486" s="110"/>
      <c r="Q486" s="110"/>
      <c r="R486" s="110"/>
      <c r="S486" s="110"/>
      <c r="T486" s="110"/>
      <c r="U486" s="111"/>
      <c r="V486" s="111"/>
      <c r="W486" s="111"/>
      <c r="X486" s="112"/>
      <c r="Y486" s="112"/>
      <c r="Z486" s="112"/>
      <c r="AA486" s="112"/>
      <c r="AB486" s="112"/>
      <c r="AC486" s="111"/>
      <c r="AD486" s="111"/>
      <c r="AE486" s="111"/>
      <c r="AF486" s="111"/>
      <c r="AG486" s="111"/>
      <c r="AH486" s="111"/>
      <c r="AI486" s="110"/>
      <c r="AJ486" s="110"/>
      <c r="AK486" s="110"/>
      <c r="AL486" s="110"/>
      <c r="AM486" s="110"/>
      <c r="AN486" s="110"/>
      <c r="AO486" s="110"/>
      <c r="AP486" s="110"/>
      <c r="AQ486" s="110"/>
      <c r="AR486" s="110"/>
      <c r="AS486" s="110"/>
      <c r="AT486" s="110"/>
      <c r="AU486" s="110"/>
      <c r="AV486" s="110"/>
      <c r="AW486" s="110"/>
      <c r="AX486" s="110"/>
      <c r="AY486" s="110"/>
      <c r="AZ486" s="110"/>
      <c r="BA486" s="110"/>
      <c r="BB486" s="110"/>
      <c r="BC486" s="110"/>
      <c r="BD486" s="110"/>
      <c r="BE486" s="110"/>
      <c r="BF486" s="110"/>
      <c r="BG486" s="110"/>
      <c r="BH486" s="110"/>
      <c r="BI486" s="110"/>
      <c r="BJ486" s="110"/>
      <c r="BK486" s="110"/>
      <c r="BL486" s="110"/>
      <c r="BM486" s="110"/>
      <c r="BN486" s="110"/>
      <c r="BO486" s="110"/>
      <c r="BP486" s="110"/>
      <c r="BQ486" s="110"/>
      <c r="BR486" s="110"/>
      <c r="BS486" s="110"/>
      <c r="BT486" s="110"/>
      <c r="BU486" s="110"/>
      <c r="BV486" s="110"/>
      <c r="BW486" s="110"/>
      <c r="BX486" s="110"/>
      <c r="BY486" s="110"/>
      <c r="BZ486" s="110"/>
      <c r="CA486" s="110"/>
      <c r="CB486" s="110"/>
      <c r="CC486" s="110"/>
      <c r="CD486" s="110"/>
      <c r="CE486" s="110"/>
      <c r="CF486" s="110"/>
      <c r="CG486" s="110"/>
      <c r="CH486" s="110"/>
      <c r="CI486" s="110"/>
      <c r="CJ486" s="110"/>
      <c r="CK486" s="110"/>
      <c r="CL486" s="110"/>
      <c r="CM486" s="110"/>
      <c r="CN486" s="110"/>
      <c r="CO486" s="110"/>
    </row>
    <row r="487" spans="1:93">
      <c r="A487" s="110"/>
      <c r="B487" s="110"/>
      <c r="C487" s="110"/>
      <c r="D487" s="110"/>
      <c r="E487" s="110"/>
      <c r="F487" s="110"/>
      <c r="G487" s="110"/>
      <c r="H487" s="110"/>
      <c r="I487" s="110"/>
      <c r="J487" s="110"/>
      <c r="K487" s="110"/>
      <c r="L487" s="110"/>
      <c r="M487" s="110"/>
      <c r="N487" s="110"/>
      <c r="O487" s="110"/>
      <c r="P487" s="110"/>
      <c r="Q487" s="110"/>
      <c r="R487" s="110"/>
      <c r="S487" s="110"/>
      <c r="T487" s="110"/>
      <c r="U487" s="111"/>
      <c r="V487" s="111"/>
      <c r="W487" s="111"/>
      <c r="X487" s="112"/>
      <c r="Y487" s="112"/>
      <c r="Z487" s="112"/>
      <c r="AA487" s="112"/>
      <c r="AB487" s="112"/>
      <c r="AC487" s="111"/>
      <c r="AD487" s="111"/>
      <c r="AE487" s="111"/>
      <c r="AF487" s="111"/>
      <c r="AG487" s="111"/>
      <c r="AH487" s="111"/>
      <c r="AI487" s="110"/>
      <c r="AJ487" s="110"/>
      <c r="AK487" s="110"/>
      <c r="AL487" s="110"/>
      <c r="AM487" s="110"/>
      <c r="AN487" s="110"/>
      <c r="AO487" s="110"/>
      <c r="AP487" s="110"/>
      <c r="AQ487" s="110"/>
      <c r="AR487" s="110"/>
      <c r="AS487" s="110"/>
      <c r="AT487" s="110"/>
      <c r="AU487" s="110"/>
      <c r="AV487" s="110"/>
      <c r="AW487" s="110"/>
      <c r="AX487" s="110"/>
      <c r="AY487" s="110"/>
      <c r="AZ487" s="110"/>
      <c r="BA487" s="110"/>
      <c r="BB487" s="110"/>
      <c r="BC487" s="110"/>
      <c r="BD487" s="110"/>
      <c r="BE487" s="110"/>
      <c r="BF487" s="110"/>
      <c r="BG487" s="110"/>
      <c r="BH487" s="110"/>
      <c r="BI487" s="110"/>
      <c r="BJ487" s="110"/>
      <c r="BK487" s="110"/>
      <c r="BL487" s="110"/>
      <c r="BM487" s="110"/>
      <c r="BN487" s="110"/>
      <c r="BO487" s="110"/>
      <c r="BP487" s="110"/>
      <c r="BQ487" s="110"/>
      <c r="BR487" s="110"/>
      <c r="BS487" s="110"/>
      <c r="BT487" s="110"/>
      <c r="BU487" s="110"/>
      <c r="BV487" s="110"/>
      <c r="BW487" s="110"/>
      <c r="BX487" s="110"/>
      <c r="BY487" s="110"/>
      <c r="BZ487" s="110"/>
      <c r="CA487" s="110"/>
      <c r="CB487" s="110"/>
      <c r="CC487" s="110"/>
      <c r="CD487" s="110"/>
      <c r="CE487" s="110"/>
      <c r="CF487" s="110"/>
      <c r="CG487" s="110"/>
      <c r="CH487" s="110"/>
      <c r="CI487" s="110"/>
      <c r="CJ487" s="110"/>
      <c r="CK487" s="110"/>
      <c r="CL487" s="110"/>
      <c r="CM487" s="110"/>
      <c r="CN487" s="110"/>
      <c r="CO487" s="110"/>
    </row>
    <row r="488" spans="1:93">
      <c r="A488" s="110"/>
      <c r="B488" s="110"/>
      <c r="C488" s="110"/>
      <c r="D488" s="110"/>
      <c r="E488" s="110"/>
      <c r="F488" s="110"/>
      <c r="G488" s="110"/>
      <c r="H488" s="110"/>
      <c r="I488" s="110"/>
      <c r="J488" s="110"/>
      <c r="K488" s="110"/>
      <c r="L488" s="110"/>
      <c r="M488" s="110"/>
      <c r="N488" s="110"/>
      <c r="O488" s="110"/>
      <c r="P488" s="110"/>
      <c r="Q488" s="110"/>
      <c r="R488" s="110"/>
      <c r="S488" s="110"/>
      <c r="T488" s="110"/>
      <c r="U488" s="111"/>
      <c r="V488" s="111"/>
      <c r="W488" s="111"/>
      <c r="X488" s="112"/>
      <c r="Y488" s="112"/>
      <c r="Z488" s="112"/>
      <c r="AA488" s="112"/>
      <c r="AB488" s="112"/>
      <c r="AC488" s="111"/>
      <c r="AD488" s="111"/>
      <c r="AE488" s="111"/>
      <c r="AF488" s="111"/>
      <c r="AG488" s="111"/>
      <c r="AH488" s="111"/>
      <c r="AI488" s="110"/>
      <c r="AJ488" s="110"/>
      <c r="AK488" s="110"/>
      <c r="AL488" s="110"/>
      <c r="AM488" s="110"/>
      <c r="AN488" s="110"/>
      <c r="AO488" s="110"/>
      <c r="AP488" s="110"/>
      <c r="AQ488" s="110"/>
      <c r="AR488" s="110"/>
      <c r="AS488" s="110"/>
      <c r="AT488" s="110"/>
      <c r="AU488" s="110"/>
      <c r="AV488" s="110"/>
      <c r="AW488" s="110"/>
      <c r="AX488" s="110"/>
      <c r="AY488" s="110"/>
      <c r="AZ488" s="110"/>
      <c r="BA488" s="110"/>
      <c r="BB488" s="110"/>
      <c r="BC488" s="110"/>
      <c r="BD488" s="110"/>
      <c r="BE488" s="110"/>
      <c r="BF488" s="110"/>
      <c r="BG488" s="110"/>
      <c r="BH488" s="110"/>
      <c r="BI488" s="110"/>
      <c r="BJ488" s="110"/>
      <c r="BK488" s="110"/>
      <c r="BL488" s="110"/>
      <c r="BM488" s="110"/>
      <c r="BN488" s="110"/>
      <c r="BO488" s="110"/>
      <c r="BP488" s="110"/>
      <c r="BQ488" s="110"/>
      <c r="BR488" s="110"/>
      <c r="BS488" s="110"/>
      <c r="BT488" s="110"/>
      <c r="BU488" s="110"/>
      <c r="BV488" s="110"/>
      <c r="BW488" s="110"/>
      <c r="BX488" s="110"/>
      <c r="BY488" s="110"/>
      <c r="BZ488" s="110"/>
      <c r="CA488" s="110"/>
      <c r="CB488" s="110"/>
      <c r="CC488" s="110"/>
      <c r="CD488" s="110"/>
      <c r="CE488" s="110"/>
      <c r="CF488" s="110"/>
      <c r="CG488" s="110"/>
      <c r="CH488" s="110"/>
      <c r="CI488" s="110"/>
      <c r="CJ488" s="110"/>
      <c r="CK488" s="110"/>
      <c r="CL488" s="110"/>
      <c r="CM488" s="110"/>
      <c r="CN488" s="110"/>
      <c r="CO488" s="110"/>
    </row>
    <row r="489" spans="1:93">
      <c r="A489" s="110"/>
      <c r="B489" s="110"/>
      <c r="C489" s="110"/>
      <c r="D489" s="110"/>
      <c r="E489" s="110"/>
      <c r="F489" s="110"/>
      <c r="G489" s="110"/>
      <c r="H489" s="110"/>
      <c r="I489" s="110"/>
      <c r="J489" s="110"/>
      <c r="K489" s="110"/>
      <c r="L489" s="110"/>
      <c r="M489" s="110"/>
      <c r="N489" s="110"/>
      <c r="O489" s="110"/>
      <c r="P489" s="110"/>
      <c r="Q489" s="110"/>
      <c r="R489" s="110"/>
      <c r="S489" s="110"/>
      <c r="T489" s="110"/>
      <c r="U489" s="111"/>
      <c r="V489" s="111"/>
      <c r="W489" s="111"/>
      <c r="X489" s="112"/>
      <c r="Y489" s="112"/>
      <c r="Z489" s="112"/>
      <c r="AA489" s="112"/>
      <c r="AB489" s="112"/>
      <c r="AC489" s="111"/>
      <c r="AD489" s="111"/>
      <c r="AE489" s="111"/>
      <c r="AF489" s="111"/>
      <c r="AG489" s="111"/>
      <c r="AH489" s="111"/>
      <c r="AI489" s="110"/>
      <c r="AJ489" s="110"/>
      <c r="AK489" s="110"/>
      <c r="AL489" s="110"/>
      <c r="AM489" s="110"/>
      <c r="AN489" s="110"/>
      <c r="AO489" s="110"/>
      <c r="AP489" s="110"/>
      <c r="AQ489" s="110"/>
      <c r="AR489" s="110"/>
      <c r="AS489" s="110"/>
      <c r="AT489" s="110"/>
      <c r="AU489" s="110"/>
      <c r="AV489" s="110"/>
      <c r="AW489" s="110"/>
      <c r="AX489" s="110"/>
      <c r="AY489" s="110"/>
      <c r="AZ489" s="110"/>
      <c r="BA489" s="110"/>
      <c r="BB489" s="110"/>
      <c r="BC489" s="110"/>
      <c r="BD489" s="110"/>
      <c r="BE489" s="110"/>
      <c r="BF489" s="110"/>
      <c r="BG489" s="110"/>
      <c r="BH489" s="110"/>
      <c r="BI489" s="110"/>
      <c r="BJ489" s="110"/>
      <c r="BK489" s="110"/>
      <c r="BL489" s="110"/>
      <c r="BM489" s="110"/>
      <c r="BN489" s="110"/>
      <c r="BO489" s="110"/>
      <c r="BP489" s="110"/>
      <c r="BQ489" s="110"/>
      <c r="BR489" s="110"/>
      <c r="BS489" s="110"/>
      <c r="BT489" s="110"/>
      <c r="BU489" s="110"/>
      <c r="BV489" s="110"/>
      <c r="BW489" s="110"/>
      <c r="BX489" s="110"/>
      <c r="BY489" s="110"/>
      <c r="BZ489" s="110"/>
      <c r="CA489" s="110"/>
      <c r="CB489" s="110"/>
      <c r="CC489" s="110"/>
      <c r="CD489" s="110"/>
      <c r="CE489" s="110"/>
      <c r="CF489" s="110"/>
      <c r="CG489" s="110"/>
      <c r="CH489" s="110"/>
      <c r="CI489" s="110"/>
      <c r="CJ489" s="110"/>
      <c r="CK489" s="110"/>
      <c r="CL489" s="110"/>
      <c r="CM489" s="110"/>
      <c r="CN489" s="110"/>
      <c r="CO489" s="110"/>
    </row>
    <row r="490" spans="1:93">
      <c r="A490" s="110"/>
      <c r="B490" s="110"/>
      <c r="C490" s="110"/>
      <c r="D490" s="110"/>
      <c r="E490" s="110"/>
      <c r="F490" s="110"/>
      <c r="G490" s="110"/>
      <c r="H490" s="110"/>
      <c r="I490" s="110"/>
      <c r="J490" s="110"/>
      <c r="K490" s="110"/>
      <c r="L490" s="110"/>
      <c r="M490" s="110"/>
      <c r="N490" s="110"/>
      <c r="O490" s="110"/>
      <c r="P490" s="110"/>
      <c r="Q490" s="110"/>
      <c r="R490" s="110"/>
      <c r="S490" s="110"/>
      <c r="T490" s="110"/>
      <c r="U490" s="111"/>
      <c r="V490" s="111"/>
      <c r="W490" s="111"/>
      <c r="X490" s="112"/>
      <c r="Y490" s="112"/>
      <c r="Z490" s="112"/>
      <c r="AA490" s="112"/>
      <c r="AB490" s="112"/>
      <c r="AC490" s="111"/>
      <c r="AD490" s="111"/>
      <c r="AE490" s="111"/>
      <c r="AF490" s="111"/>
      <c r="AG490" s="111"/>
      <c r="AH490" s="111"/>
      <c r="AI490" s="110"/>
      <c r="AJ490" s="110"/>
      <c r="AK490" s="110"/>
      <c r="AL490" s="110"/>
      <c r="AM490" s="110"/>
      <c r="AN490" s="110"/>
      <c r="AO490" s="110"/>
      <c r="AP490" s="110"/>
      <c r="AQ490" s="110"/>
      <c r="AR490" s="110"/>
      <c r="AS490" s="110"/>
      <c r="AT490" s="110"/>
      <c r="AU490" s="110"/>
      <c r="AV490" s="110"/>
      <c r="AW490" s="110"/>
      <c r="AX490" s="110"/>
      <c r="AY490" s="110"/>
      <c r="AZ490" s="110"/>
      <c r="BA490" s="110"/>
      <c r="BB490" s="110"/>
      <c r="BC490" s="110"/>
      <c r="BD490" s="110"/>
      <c r="BE490" s="110"/>
      <c r="BF490" s="110"/>
      <c r="BG490" s="110"/>
      <c r="BH490" s="110"/>
      <c r="BI490" s="110"/>
      <c r="BJ490" s="110"/>
      <c r="BK490" s="110"/>
      <c r="BL490" s="110"/>
      <c r="BM490" s="110"/>
      <c r="BN490" s="110"/>
      <c r="BO490" s="110"/>
      <c r="BP490" s="110"/>
      <c r="BQ490" s="110"/>
      <c r="BR490" s="110"/>
      <c r="BS490" s="110"/>
      <c r="BT490" s="110"/>
      <c r="BU490" s="110"/>
      <c r="BV490" s="110"/>
      <c r="BW490" s="110"/>
      <c r="BX490" s="110"/>
      <c r="BY490" s="110"/>
      <c r="BZ490" s="110"/>
      <c r="CA490" s="110"/>
      <c r="CB490" s="110"/>
      <c r="CC490" s="110"/>
      <c r="CD490" s="110"/>
      <c r="CE490" s="110"/>
      <c r="CF490" s="110"/>
      <c r="CG490" s="110"/>
      <c r="CH490" s="110"/>
      <c r="CI490" s="110"/>
      <c r="CJ490" s="110"/>
      <c r="CK490" s="110"/>
      <c r="CL490" s="110"/>
      <c r="CM490" s="110"/>
      <c r="CN490" s="110"/>
      <c r="CO490" s="110"/>
    </row>
    <row r="491" spans="1:93">
      <c r="A491" s="110"/>
      <c r="B491" s="110"/>
      <c r="C491" s="110"/>
      <c r="D491" s="110"/>
      <c r="E491" s="110"/>
      <c r="F491" s="110"/>
      <c r="G491" s="110"/>
      <c r="H491" s="110"/>
      <c r="I491" s="110"/>
      <c r="J491" s="110"/>
      <c r="K491" s="110"/>
      <c r="L491" s="110"/>
      <c r="M491" s="110"/>
      <c r="N491" s="110"/>
      <c r="O491" s="110"/>
      <c r="P491" s="110"/>
      <c r="Q491" s="110"/>
      <c r="R491" s="110"/>
      <c r="S491" s="110"/>
      <c r="T491" s="110"/>
      <c r="U491" s="111"/>
      <c r="V491" s="111"/>
      <c r="W491" s="111"/>
      <c r="X491" s="112"/>
      <c r="Y491" s="112"/>
      <c r="Z491" s="112"/>
      <c r="AA491" s="112"/>
      <c r="AB491" s="112"/>
      <c r="AC491" s="111"/>
      <c r="AD491" s="111"/>
      <c r="AE491" s="111"/>
      <c r="AF491" s="111"/>
      <c r="AG491" s="111"/>
      <c r="AH491" s="111"/>
      <c r="AI491" s="110"/>
      <c r="AJ491" s="110"/>
      <c r="AK491" s="110"/>
      <c r="AL491" s="110"/>
      <c r="AM491" s="110"/>
      <c r="AN491" s="110"/>
      <c r="AO491" s="110"/>
      <c r="AP491" s="110"/>
      <c r="AQ491" s="110"/>
      <c r="AR491" s="110"/>
      <c r="AS491" s="110"/>
      <c r="AT491" s="110"/>
      <c r="AU491" s="110"/>
      <c r="AV491" s="110"/>
      <c r="AW491" s="110"/>
      <c r="AX491" s="110"/>
      <c r="AY491" s="110"/>
      <c r="AZ491" s="110"/>
      <c r="BA491" s="110"/>
      <c r="BB491" s="110"/>
      <c r="BC491" s="110"/>
      <c r="BD491" s="110"/>
      <c r="BE491" s="110"/>
      <c r="BF491" s="110"/>
      <c r="BG491" s="110"/>
      <c r="BH491" s="110"/>
      <c r="BI491" s="110"/>
      <c r="BJ491" s="110"/>
      <c r="BK491" s="110"/>
      <c r="BL491" s="110"/>
      <c r="BM491" s="110"/>
      <c r="BN491" s="110"/>
      <c r="BO491" s="110"/>
      <c r="BP491" s="110"/>
      <c r="BQ491" s="110"/>
      <c r="BR491" s="110"/>
      <c r="BS491" s="110"/>
      <c r="BT491" s="110"/>
      <c r="BU491" s="110"/>
      <c r="BV491" s="110"/>
      <c r="BW491" s="110"/>
      <c r="BX491" s="110"/>
      <c r="BY491" s="110"/>
      <c r="BZ491" s="110"/>
      <c r="CA491" s="110"/>
      <c r="CB491" s="110"/>
      <c r="CC491" s="110"/>
      <c r="CD491" s="110"/>
      <c r="CE491" s="110"/>
      <c r="CF491" s="110"/>
      <c r="CG491" s="110"/>
      <c r="CH491" s="110"/>
      <c r="CI491" s="110"/>
      <c r="CJ491" s="110"/>
      <c r="CK491" s="110"/>
      <c r="CL491" s="110"/>
      <c r="CM491" s="110"/>
      <c r="CN491" s="110"/>
      <c r="CO491" s="110"/>
    </row>
    <row r="492" spans="1:93">
      <c r="A492" s="110"/>
      <c r="B492" s="110"/>
      <c r="C492" s="110"/>
      <c r="D492" s="110"/>
      <c r="E492" s="110"/>
      <c r="F492" s="110"/>
      <c r="G492" s="110"/>
      <c r="H492" s="110"/>
      <c r="I492" s="110"/>
      <c r="J492" s="110"/>
      <c r="K492" s="110"/>
      <c r="L492" s="110"/>
      <c r="M492" s="110"/>
      <c r="N492" s="110"/>
      <c r="O492" s="110"/>
      <c r="P492" s="110"/>
      <c r="Q492" s="110"/>
      <c r="R492" s="110"/>
      <c r="S492" s="110"/>
      <c r="T492" s="110"/>
      <c r="U492" s="111"/>
      <c r="V492" s="111"/>
      <c r="W492" s="111"/>
      <c r="X492" s="112"/>
      <c r="Y492" s="112"/>
      <c r="Z492" s="112"/>
      <c r="AA492" s="112"/>
      <c r="AB492" s="112"/>
      <c r="AC492" s="111"/>
      <c r="AD492" s="111"/>
      <c r="AE492" s="111"/>
      <c r="AF492" s="111"/>
      <c r="AG492" s="111"/>
      <c r="AH492" s="111"/>
      <c r="AI492" s="110"/>
      <c r="AJ492" s="110"/>
      <c r="AK492" s="110"/>
      <c r="AL492" s="110"/>
      <c r="AM492" s="110"/>
      <c r="AN492" s="110"/>
      <c r="AO492" s="110"/>
      <c r="AP492" s="110"/>
      <c r="AQ492" s="110"/>
      <c r="AR492" s="110"/>
      <c r="AS492" s="110"/>
      <c r="AT492" s="110"/>
      <c r="AU492" s="110"/>
      <c r="AV492" s="110"/>
      <c r="AW492" s="110"/>
      <c r="AX492" s="110"/>
      <c r="AY492" s="110"/>
      <c r="AZ492" s="110"/>
      <c r="BA492" s="110"/>
      <c r="BB492" s="110"/>
      <c r="BC492" s="110"/>
      <c r="BD492" s="110"/>
      <c r="BE492" s="110"/>
      <c r="BF492" s="110"/>
      <c r="BG492" s="110"/>
      <c r="BH492" s="110"/>
      <c r="BI492" s="110"/>
      <c r="BJ492" s="110"/>
      <c r="BK492" s="110"/>
      <c r="BL492" s="110"/>
      <c r="BM492" s="110"/>
      <c r="BN492" s="110"/>
      <c r="BO492" s="110"/>
      <c r="BP492" s="110"/>
      <c r="BQ492" s="110"/>
      <c r="BR492" s="110"/>
      <c r="BS492" s="110"/>
      <c r="BT492" s="110"/>
      <c r="BU492" s="110"/>
      <c r="BV492" s="110"/>
      <c r="BW492" s="110"/>
      <c r="BX492" s="110"/>
      <c r="BY492" s="110"/>
      <c r="BZ492" s="110"/>
      <c r="CA492" s="110"/>
      <c r="CB492" s="110"/>
      <c r="CC492" s="110"/>
      <c r="CD492" s="110"/>
      <c r="CE492" s="110"/>
      <c r="CF492" s="110"/>
      <c r="CG492" s="110"/>
      <c r="CH492" s="110"/>
      <c r="CI492" s="110"/>
      <c r="CJ492" s="110"/>
      <c r="CK492" s="110"/>
      <c r="CL492" s="110"/>
      <c r="CM492" s="110"/>
      <c r="CN492" s="110"/>
      <c r="CO492" s="110"/>
    </row>
    <row r="493" spans="1:93">
      <c r="A493" s="110"/>
      <c r="B493" s="110"/>
      <c r="C493" s="110"/>
      <c r="D493" s="110"/>
      <c r="E493" s="110"/>
      <c r="F493" s="110"/>
      <c r="G493" s="110"/>
      <c r="H493" s="110"/>
      <c r="I493" s="110"/>
      <c r="J493" s="110"/>
      <c r="K493" s="110"/>
      <c r="L493" s="110"/>
      <c r="M493" s="110"/>
      <c r="N493" s="110"/>
      <c r="O493" s="110"/>
      <c r="P493" s="110"/>
      <c r="Q493" s="110"/>
      <c r="R493" s="110"/>
      <c r="S493" s="110"/>
      <c r="T493" s="110"/>
      <c r="U493" s="111"/>
      <c r="V493" s="111"/>
      <c r="W493" s="111"/>
      <c r="X493" s="112"/>
      <c r="Y493" s="112"/>
      <c r="Z493" s="112"/>
      <c r="AA493" s="112"/>
      <c r="AB493" s="112"/>
      <c r="AC493" s="111"/>
      <c r="AD493" s="111"/>
      <c r="AE493" s="111"/>
      <c r="AF493" s="111"/>
      <c r="AG493" s="111"/>
      <c r="AH493" s="111"/>
      <c r="AI493" s="110"/>
      <c r="AJ493" s="110"/>
      <c r="AK493" s="110"/>
      <c r="AL493" s="110"/>
      <c r="AM493" s="110"/>
      <c r="AN493" s="110"/>
      <c r="AO493" s="110"/>
      <c r="AP493" s="110"/>
      <c r="AQ493" s="110"/>
      <c r="AR493" s="110"/>
      <c r="AS493" s="110"/>
      <c r="AT493" s="110"/>
      <c r="AU493" s="110"/>
      <c r="AV493" s="110"/>
      <c r="AW493" s="110"/>
      <c r="AX493" s="110"/>
      <c r="AY493" s="110"/>
      <c r="AZ493" s="110"/>
      <c r="BA493" s="110"/>
      <c r="BB493" s="110"/>
      <c r="BC493" s="110"/>
      <c r="BD493" s="110"/>
      <c r="BE493" s="110"/>
      <c r="BF493" s="110"/>
      <c r="BG493" s="110"/>
      <c r="BH493" s="110"/>
      <c r="BI493" s="110"/>
      <c r="BJ493" s="110"/>
      <c r="BK493" s="110"/>
      <c r="BL493" s="110"/>
      <c r="BM493" s="110"/>
      <c r="BN493" s="110"/>
      <c r="BO493" s="110"/>
      <c r="BP493" s="110"/>
      <c r="BQ493" s="110"/>
      <c r="BR493" s="110"/>
      <c r="BS493" s="110"/>
      <c r="BT493" s="110"/>
      <c r="BU493" s="110"/>
      <c r="BV493" s="110"/>
      <c r="BW493" s="110"/>
      <c r="BX493" s="110"/>
      <c r="BY493" s="110"/>
      <c r="BZ493" s="110"/>
      <c r="CA493" s="110"/>
      <c r="CB493" s="110"/>
      <c r="CC493" s="110"/>
      <c r="CD493" s="110"/>
      <c r="CE493" s="110"/>
      <c r="CF493" s="110"/>
      <c r="CG493" s="110"/>
      <c r="CH493" s="110"/>
      <c r="CI493" s="110"/>
      <c r="CJ493" s="110"/>
      <c r="CK493" s="110"/>
      <c r="CL493" s="110"/>
      <c r="CM493" s="110"/>
      <c r="CN493" s="110"/>
      <c r="CO493" s="110"/>
    </row>
    <row r="494" spans="1:93">
      <c r="A494" s="110"/>
      <c r="B494" s="110"/>
      <c r="C494" s="110"/>
      <c r="D494" s="110"/>
      <c r="E494" s="110"/>
      <c r="F494" s="110"/>
      <c r="G494" s="110"/>
      <c r="H494" s="110"/>
      <c r="I494" s="110"/>
      <c r="J494" s="110"/>
      <c r="K494" s="110"/>
      <c r="L494" s="110"/>
      <c r="M494" s="110"/>
      <c r="N494" s="110"/>
      <c r="O494" s="110"/>
      <c r="P494" s="110"/>
      <c r="Q494" s="110"/>
      <c r="R494" s="110"/>
      <c r="S494" s="110"/>
      <c r="T494" s="110"/>
      <c r="U494" s="111"/>
      <c r="V494" s="111"/>
      <c r="W494" s="111"/>
      <c r="X494" s="112"/>
      <c r="Y494" s="112"/>
      <c r="Z494" s="112"/>
      <c r="AA494" s="112"/>
      <c r="AB494" s="112"/>
      <c r="AC494" s="111"/>
      <c r="AD494" s="111"/>
      <c r="AE494" s="111"/>
      <c r="AF494" s="111"/>
      <c r="AG494" s="111"/>
      <c r="AH494" s="111"/>
      <c r="AI494" s="110"/>
      <c r="AJ494" s="110"/>
      <c r="AK494" s="110"/>
      <c r="AL494" s="110"/>
      <c r="AM494" s="110"/>
      <c r="AN494" s="110"/>
      <c r="AO494" s="110"/>
      <c r="AP494" s="110"/>
      <c r="AQ494" s="110"/>
      <c r="AR494" s="110"/>
      <c r="AS494" s="110"/>
      <c r="AT494" s="110"/>
      <c r="AU494" s="110"/>
      <c r="AV494" s="110"/>
      <c r="AW494" s="110"/>
      <c r="AX494" s="110"/>
      <c r="AY494" s="110"/>
      <c r="AZ494" s="110"/>
      <c r="BA494" s="110"/>
      <c r="BB494" s="110"/>
      <c r="BC494" s="110"/>
      <c r="BD494" s="110"/>
      <c r="BE494" s="110"/>
      <c r="BF494" s="110"/>
      <c r="BG494" s="110"/>
      <c r="BH494" s="110"/>
      <c r="BI494" s="110"/>
      <c r="BJ494" s="110"/>
      <c r="BK494" s="110"/>
      <c r="BL494" s="110"/>
      <c r="BM494" s="110"/>
      <c r="BN494" s="110"/>
      <c r="BO494" s="110"/>
      <c r="BP494" s="110"/>
      <c r="BQ494" s="110"/>
      <c r="BR494" s="110"/>
      <c r="BS494" s="110"/>
      <c r="BT494" s="110"/>
      <c r="BU494" s="110"/>
      <c r="BV494" s="110"/>
      <c r="BW494" s="110"/>
      <c r="BX494" s="110"/>
      <c r="BY494" s="110"/>
      <c r="BZ494" s="110"/>
      <c r="CA494" s="110"/>
      <c r="CB494" s="110"/>
      <c r="CC494" s="110"/>
      <c r="CD494" s="110"/>
      <c r="CE494" s="110"/>
      <c r="CF494" s="110"/>
      <c r="CG494" s="110"/>
      <c r="CH494" s="110"/>
      <c r="CI494" s="110"/>
      <c r="CJ494" s="110"/>
      <c r="CK494" s="110"/>
      <c r="CL494" s="110"/>
      <c r="CM494" s="110"/>
      <c r="CN494" s="110"/>
      <c r="CO494" s="110"/>
    </row>
    <row r="495" spans="1:93">
      <c r="A495" s="110"/>
      <c r="B495" s="110"/>
      <c r="C495" s="110"/>
      <c r="D495" s="110"/>
      <c r="E495" s="110"/>
      <c r="F495" s="110"/>
      <c r="G495" s="110"/>
      <c r="H495" s="110"/>
      <c r="I495" s="110"/>
      <c r="J495" s="110"/>
      <c r="K495" s="110"/>
      <c r="L495" s="110"/>
      <c r="M495" s="110"/>
      <c r="N495" s="110"/>
      <c r="O495" s="110"/>
      <c r="P495" s="110"/>
      <c r="Q495" s="110"/>
      <c r="R495" s="110"/>
      <c r="S495" s="110"/>
      <c r="T495" s="110"/>
      <c r="U495" s="111"/>
      <c r="V495" s="111"/>
      <c r="W495" s="111"/>
      <c r="X495" s="112"/>
      <c r="Y495" s="112"/>
      <c r="Z495" s="112"/>
      <c r="AA495" s="112"/>
      <c r="AB495" s="112"/>
      <c r="AC495" s="111"/>
      <c r="AD495" s="111"/>
      <c r="AE495" s="111"/>
      <c r="AF495" s="111"/>
      <c r="AG495" s="111"/>
      <c r="AH495" s="111"/>
      <c r="AI495" s="110"/>
      <c r="AJ495" s="110"/>
      <c r="AK495" s="110"/>
      <c r="AL495" s="110"/>
      <c r="AM495" s="110"/>
      <c r="AN495" s="110"/>
      <c r="AO495" s="110"/>
      <c r="AP495" s="110"/>
      <c r="AQ495" s="110"/>
      <c r="AR495" s="110"/>
      <c r="AS495" s="110"/>
      <c r="AT495" s="110"/>
      <c r="AU495" s="110"/>
      <c r="AV495" s="110"/>
      <c r="AW495" s="110"/>
      <c r="AX495" s="110"/>
      <c r="AY495" s="110"/>
      <c r="AZ495" s="110"/>
      <c r="BA495" s="110"/>
      <c r="BB495" s="110"/>
      <c r="BC495" s="110"/>
      <c r="BD495" s="110"/>
      <c r="BE495" s="110"/>
      <c r="BF495" s="110"/>
      <c r="BG495" s="110"/>
      <c r="BH495" s="110"/>
      <c r="BI495" s="110"/>
      <c r="BJ495" s="110"/>
      <c r="BK495" s="110"/>
      <c r="BL495" s="110"/>
      <c r="BM495" s="110"/>
      <c r="BN495" s="110"/>
      <c r="BO495" s="110"/>
      <c r="BP495" s="110"/>
      <c r="BQ495" s="110"/>
      <c r="BR495" s="110"/>
      <c r="BS495" s="110"/>
      <c r="BT495" s="110"/>
      <c r="BU495" s="110"/>
      <c r="BV495" s="110"/>
      <c r="BW495" s="110"/>
      <c r="BX495" s="110"/>
      <c r="BY495" s="110"/>
      <c r="BZ495" s="110"/>
      <c r="CA495" s="110"/>
      <c r="CB495" s="110"/>
      <c r="CC495" s="110"/>
      <c r="CD495" s="110"/>
      <c r="CE495" s="110"/>
      <c r="CF495" s="110"/>
      <c r="CG495" s="110"/>
      <c r="CH495" s="110"/>
      <c r="CI495" s="110"/>
      <c r="CJ495" s="110"/>
      <c r="CK495" s="110"/>
      <c r="CL495" s="110"/>
      <c r="CM495" s="110"/>
      <c r="CN495" s="110"/>
      <c r="CO495" s="110"/>
    </row>
    <row r="496" spans="1:93">
      <c r="A496" s="110"/>
      <c r="B496" s="110"/>
      <c r="C496" s="110"/>
      <c r="D496" s="110"/>
      <c r="E496" s="110"/>
      <c r="F496" s="110"/>
      <c r="G496" s="110"/>
      <c r="H496" s="110"/>
      <c r="I496" s="110"/>
      <c r="J496" s="110"/>
      <c r="K496" s="110"/>
      <c r="L496" s="110"/>
      <c r="M496" s="110"/>
      <c r="N496" s="110"/>
      <c r="O496" s="110"/>
      <c r="P496" s="110"/>
      <c r="Q496" s="110"/>
      <c r="R496" s="110"/>
      <c r="S496" s="110"/>
      <c r="T496" s="110"/>
      <c r="U496" s="111"/>
      <c r="V496" s="111"/>
      <c r="W496" s="111"/>
      <c r="X496" s="112"/>
      <c r="Y496" s="112"/>
      <c r="Z496" s="112"/>
      <c r="AA496" s="112"/>
      <c r="AB496" s="112"/>
      <c r="AC496" s="111"/>
      <c r="AD496" s="111"/>
      <c r="AE496" s="111"/>
      <c r="AF496" s="111"/>
      <c r="AG496" s="111"/>
      <c r="AH496" s="111"/>
      <c r="AI496" s="110"/>
      <c r="AJ496" s="110"/>
      <c r="AK496" s="110"/>
      <c r="AL496" s="110"/>
      <c r="AM496" s="110"/>
      <c r="AN496" s="110"/>
      <c r="AO496" s="110"/>
      <c r="AP496" s="110"/>
      <c r="AQ496" s="110"/>
      <c r="AR496" s="110"/>
      <c r="AS496" s="110"/>
      <c r="AT496" s="110"/>
      <c r="AU496" s="110"/>
      <c r="AV496" s="110"/>
      <c r="AW496" s="110"/>
      <c r="AX496" s="110"/>
      <c r="AY496" s="110"/>
      <c r="AZ496" s="110"/>
      <c r="BA496" s="110"/>
      <c r="BB496" s="110"/>
      <c r="BC496" s="110"/>
      <c r="BD496" s="110"/>
      <c r="BE496" s="110"/>
      <c r="BF496" s="110"/>
      <c r="BG496" s="110"/>
      <c r="BH496" s="110"/>
      <c r="BI496" s="110"/>
      <c r="BJ496" s="110"/>
      <c r="BK496" s="110"/>
      <c r="BL496" s="110"/>
      <c r="BM496" s="110"/>
      <c r="BN496" s="110"/>
      <c r="BO496" s="110"/>
      <c r="BP496" s="110"/>
      <c r="BQ496" s="110"/>
      <c r="BR496" s="110"/>
      <c r="BS496" s="110"/>
      <c r="BT496" s="110"/>
      <c r="BU496" s="110"/>
      <c r="BV496" s="110"/>
      <c r="BW496" s="110"/>
      <c r="BX496" s="110"/>
      <c r="BY496" s="110"/>
      <c r="BZ496" s="110"/>
      <c r="CA496" s="110"/>
      <c r="CB496" s="110"/>
      <c r="CC496" s="110"/>
      <c r="CD496" s="110"/>
      <c r="CE496" s="110"/>
      <c r="CF496" s="110"/>
      <c r="CG496" s="110"/>
      <c r="CH496" s="110"/>
      <c r="CI496" s="110"/>
      <c r="CJ496" s="110"/>
      <c r="CK496" s="110"/>
      <c r="CL496" s="110"/>
      <c r="CM496" s="110"/>
      <c r="CN496" s="110"/>
      <c r="CO496" s="110"/>
    </row>
    <row r="497" spans="1:93">
      <c r="A497" s="110"/>
      <c r="B497" s="110"/>
      <c r="C497" s="110"/>
      <c r="D497" s="110"/>
      <c r="E497" s="110"/>
      <c r="F497" s="110"/>
      <c r="G497" s="110"/>
      <c r="H497" s="110"/>
      <c r="I497" s="110"/>
      <c r="J497" s="110"/>
      <c r="K497" s="110"/>
      <c r="L497" s="110"/>
      <c r="M497" s="110"/>
      <c r="N497" s="110"/>
      <c r="O497" s="110"/>
      <c r="P497" s="110"/>
      <c r="Q497" s="110"/>
      <c r="R497" s="110"/>
      <c r="S497" s="110"/>
      <c r="T497" s="110"/>
      <c r="U497" s="111"/>
      <c r="V497" s="111"/>
      <c r="W497" s="111"/>
      <c r="X497" s="112"/>
      <c r="Y497" s="112"/>
      <c r="Z497" s="112"/>
      <c r="AA497" s="112"/>
      <c r="AB497" s="112"/>
      <c r="AC497" s="111"/>
      <c r="AD497" s="111"/>
      <c r="AE497" s="111"/>
      <c r="AF497" s="111"/>
      <c r="AG497" s="111"/>
      <c r="AH497" s="111"/>
      <c r="AI497" s="110"/>
      <c r="AJ497" s="110"/>
      <c r="AK497" s="110"/>
      <c r="AL497" s="110"/>
      <c r="AM497" s="110"/>
      <c r="AN497" s="110"/>
      <c r="AO497" s="110"/>
      <c r="AP497" s="110"/>
      <c r="AQ497" s="110"/>
      <c r="AR497" s="110"/>
      <c r="AS497" s="110"/>
      <c r="AT497" s="110"/>
      <c r="AU497" s="110"/>
      <c r="AV497" s="110"/>
      <c r="AW497" s="110"/>
      <c r="AX497" s="110"/>
      <c r="AY497" s="110"/>
      <c r="AZ497" s="110"/>
      <c r="BA497" s="110"/>
      <c r="BB497" s="110"/>
      <c r="BC497" s="110"/>
      <c r="BD497" s="110"/>
      <c r="BE497" s="110"/>
      <c r="BF497" s="110"/>
      <c r="BG497" s="110"/>
      <c r="BH497" s="110"/>
      <c r="BI497" s="110"/>
      <c r="BJ497" s="110"/>
      <c r="BK497" s="110"/>
      <c r="BL497" s="110"/>
      <c r="BM497" s="110"/>
      <c r="BN497" s="110"/>
      <c r="BO497" s="110"/>
      <c r="BP497" s="110"/>
      <c r="BQ497" s="110"/>
      <c r="BR497" s="110"/>
      <c r="BS497" s="110"/>
      <c r="BT497" s="110"/>
      <c r="BU497" s="110"/>
      <c r="BV497" s="110"/>
      <c r="BW497" s="110"/>
      <c r="BX497" s="110"/>
      <c r="BY497" s="110"/>
      <c r="BZ497" s="110"/>
      <c r="CA497" s="110"/>
      <c r="CB497" s="110"/>
      <c r="CC497" s="110"/>
      <c r="CD497" s="110"/>
      <c r="CE497" s="110"/>
      <c r="CF497" s="110"/>
      <c r="CG497" s="110"/>
      <c r="CH497" s="110"/>
      <c r="CI497" s="110"/>
      <c r="CJ497" s="110"/>
      <c r="CK497" s="110"/>
      <c r="CL497" s="110"/>
      <c r="CM497" s="110"/>
      <c r="CN497" s="110"/>
      <c r="CO497" s="110"/>
    </row>
    <row r="498" spans="1:93">
      <c r="A498" s="110"/>
      <c r="B498" s="110"/>
      <c r="C498" s="110"/>
      <c r="D498" s="110"/>
      <c r="E498" s="110"/>
      <c r="F498" s="110"/>
      <c r="G498" s="110"/>
      <c r="H498" s="110"/>
      <c r="I498" s="110"/>
      <c r="J498" s="110"/>
      <c r="K498" s="110"/>
      <c r="L498" s="110"/>
      <c r="M498" s="110"/>
      <c r="N498" s="110"/>
      <c r="O498" s="110"/>
      <c r="P498" s="110"/>
      <c r="Q498" s="110"/>
      <c r="R498" s="110"/>
      <c r="S498" s="110"/>
      <c r="T498" s="110"/>
      <c r="U498" s="111"/>
      <c r="V498" s="111"/>
      <c r="W498" s="111"/>
      <c r="X498" s="112"/>
      <c r="Y498" s="112"/>
      <c r="Z498" s="112"/>
      <c r="AA498" s="112"/>
      <c r="AB498" s="112"/>
      <c r="AC498" s="111"/>
      <c r="AD498" s="111"/>
      <c r="AE498" s="111"/>
      <c r="AF498" s="111"/>
      <c r="AG498" s="111"/>
      <c r="AH498" s="111"/>
      <c r="AI498" s="110"/>
      <c r="AJ498" s="110"/>
      <c r="AK498" s="110"/>
      <c r="AL498" s="110"/>
      <c r="AM498" s="110"/>
      <c r="AN498" s="110"/>
      <c r="AO498" s="110"/>
      <c r="AP498" s="110"/>
      <c r="AQ498" s="110"/>
      <c r="AR498" s="110"/>
      <c r="AS498" s="110"/>
      <c r="AT498" s="110"/>
      <c r="AU498" s="110"/>
      <c r="AV498" s="110"/>
      <c r="AW498" s="110"/>
      <c r="AX498" s="110"/>
      <c r="AY498" s="110"/>
      <c r="AZ498" s="110"/>
      <c r="BA498" s="110"/>
      <c r="BB498" s="110"/>
      <c r="BC498" s="110"/>
      <c r="BD498" s="110"/>
      <c r="BE498" s="110"/>
      <c r="BF498" s="110"/>
      <c r="BG498" s="110"/>
      <c r="BH498" s="110"/>
      <c r="BI498" s="110"/>
      <c r="BJ498" s="110"/>
      <c r="BK498" s="110"/>
      <c r="BL498" s="110"/>
      <c r="BM498" s="110"/>
      <c r="BN498" s="110"/>
      <c r="BO498" s="110"/>
      <c r="BP498" s="110"/>
      <c r="BQ498" s="110"/>
      <c r="BR498" s="110"/>
      <c r="BS498" s="110"/>
      <c r="BT498" s="110"/>
      <c r="BU498" s="110"/>
      <c r="BV498" s="110"/>
      <c r="BW498" s="110"/>
      <c r="BX498" s="110"/>
      <c r="BY498" s="110"/>
      <c r="BZ498" s="110"/>
      <c r="CA498" s="110"/>
      <c r="CB498" s="110"/>
      <c r="CC498" s="110"/>
      <c r="CD498" s="110"/>
      <c r="CE498" s="110"/>
      <c r="CF498" s="110"/>
      <c r="CG498" s="110"/>
      <c r="CH498" s="110"/>
      <c r="CI498" s="110"/>
      <c r="CJ498" s="110"/>
      <c r="CK498" s="110"/>
      <c r="CL498" s="110"/>
      <c r="CM498" s="110"/>
      <c r="CN498" s="110"/>
      <c r="CO498" s="110"/>
    </row>
    <row r="499" spans="1:93">
      <c r="A499" s="110"/>
      <c r="B499" s="110"/>
      <c r="C499" s="110"/>
      <c r="D499" s="110"/>
      <c r="E499" s="110"/>
      <c r="F499" s="110"/>
      <c r="G499" s="110"/>
      <c r="H499" s="110"/>
      <c r="I499" s="110"/>
      <c r="J499" s="110"/>
      <c r="K499" s="110"/>
      <c r="L499" s="110"/>
      <c r="M499" s="110"/>
      <c r="N499" s="110"/>
      <c r="O499" s="110"/>
      <c r="P499" s="110"/>
      <c r="Q499" s="110"/>
      <c r="R499" s="110"/>
      <c r="S499" s="110"/>
      <c r="T499" s="110"/>
      <c r="U499" s="111"/>
      <c r="V499" s="111"/>
      <c r="W499" s="111"/>
      <c r="X499" s="112"/>
      <c r="Y499" s="112"/>
      <c r="Z499" s="112"/>
      <c r="AA499" s="112"/>
      <c r="AB499" s="112"/>
      <c r="AC499" s="111"/>
      <c r="AD499" s="111"/>
      <c r="AE499" s="111"/>
      <c r="AF499" s="111"/>
      <c r="AG499" s="111"/>
      <c r="AH499" s="111"/>
      <c r="AI499" s="110"/>
      <c r="AJ499" s="110"/>
      <c r="AK499" s="110"/>
      <c r="AL499" s="110"/>
      <c r="AM499" s="110"/>
      <c r="AN499" s="110"/>
      <c r="AO499" s="110"/>
      <c r="AP499" s="110"/>
      <c r="AQ499" s="110"/>
      <c r="AR499" s="110"/>
      <c r="AS499" s="110"/>
      <c r="AT499" s="110"/>
      <c r="AU499" s="110"/>
      <c r="AV499" s="110"/>
      <c r="AW499" s="110"/>
      <c r="AX499" s="110"/>
      <c r="AY499" s="110"/>
      <c r="AZ499" s="110"/>
      <c r="BA499" s="110"/>
      <c r="BB499" s="110"/>
      <c r="BC499" s="110"/>
      <c r="BD499" s="110"/>
      <c r="BE499" s="110"/>
      <c r="BF499" s="110"/>
      <c r="BG499" s="110"/>
      <c r="BH499" s="110"/>
      <c r="BI499" s="110"/>
      <c r="BJ499" s="110"/>
      <c r="BK499" s="110"/>
      <c r="BL499" s="110"/>
      <c r="BM499" s="110"/>
      <c r="BN499" s="110"/>
      <c r="BO499" s="110"/>
      <c r="BP499" s="110"/>
      <c r="BQ499" s="110"/>
      <c r="BR499" s="110"/>
      <c r="BS499" s="110"/>
      <c r="BT499" s="110"/>
      <c r="BU499" s="110"/>
      <c r="BV499" s="110"/>
      <c r="BW499" s="110"/>
      <c r="BX499" s="110"/>
      <c r="BY499" s="110"/>
      <c r="BZ499" s="110"/>
      <c r="CA499" s="110"/>
      <c r="CB499" s="110"/>
      <c r="CC499" s="110"/>
      <c r="CD499" s="110"/>
      <c r="CE499" s="110"/>
      <c r="CF499" s="110"/>
      <c r="CG499" s="110"/>
      <c r="CH499" s="110"/>
      <c r="CI499" s="110"/>
      <c r="CJ499" s="110"/>
      <c r="CK499" s="110"/>
      <c r="CL499" s="110"/>
      <c r="CM499" s="110"/>
      <c r="CN499" s="110"/>
      <c r="CO499" s="110"/>
    </row>
    <row r="500" spans="1:93">
      <c r="A500" s="110"/>
      <c r="B500" s="110"/>
      <c r="C500" s="110"/>
      <c r="D500" s="110"/>
      <c r="E500" s="110"/>
      <c r="F500" s="110"/>
      <c r="G500" s="110"/>
      <c r="H500" s="110"/>
      <c r="I500" s="110"/>
      <c r="J500" s="110"/>
      <c r="K500" s="110"/>
      <c r="L500" s="110"/>
      <c r="M500" s="110"/>
      <c r="N500" s="110"/>
      <c r="O500" s="110"/>
      <c r="P500" s="110"/>
      <c r="Q500" s="110"/>
      <c r="R500" s="110"/>
      <c r="S500" s="110"/>
      <c r="T500" s="110"/>
      <c r="U500" s="111"/>
      <c r="V500" s="111"/>
      <c r="W500" s="111"/>
      <c r="X500" s="112"/>
      <c r="Y500" s="112"/>
      <c r="Z500" s="112"/>
      <c r="AA500" s="112"/>
      <c r="AB500" s="112"/>
      <c r="AC500" s="111"/>
      <c r="AD500" s="111"/>
      <c r="AE500" s="111"/>
      <c r="AF500" s="111"/>
      <c r="AG500" s="111"/>
      <c r="AH500" s="111"/>
      <c r="AI500" s="110"/>
      <c r="AJ500" s="110"/>
      <c r="AK500" s="110"/>
      <c r="AL500" s="110"/>
      <c r="AM500" s="110"/>
      <c r="AN500" s="110"/>
      <c r="AO500" s="110"/>
      <c r="AP500" s="110"/>
      <c r="AQ500" s="110"/>
      <c r="AR500" s="110"/>
      <c r="AS500" s="110"/>
      <c r="AT500" s="110"/>
      <c r="AU500" s="110"/>
      <c r="AV500" s="110"/>
      <c r="AW500" s="110"/>
      <c r="AX500" s="110"/>
      <c r="AY500" s="110"/>
      <c r="AZ500" s="110"/>
      <c r="BA500" s="110"/>
      <c r="BB500" s="110"/>
      <c r="BC500" s="110"/>
      <c r="BD500" s="110"/>
      <c r="BE500" s="110"/>
      <c r="BF500" s="110"/>
      <c r="BG500" s="110"/>
      <c r="BH500" s="110"/>
      <c r="BI500" s="110"/>
      <c r="BJ500" s="110"/>
      <c r="BK500" s="110"/>
      <c r="BL500" s="110"/>
      <c r="BM500" s="110"/>
      <c r="BN500" s="110"/>
      <c r="BO500" s="110"/>
      <c r="BP500" s="110"/>
      <c r="BQ500" s="110"/>
      <c r="BR500" s="110"/>
      <c r="BS500" s="110"/>
      <c r="BT500" s="110"/>
      <c r="BU500" s="110"/>
      <c r="BV500" s="110"/>
      <c r="BW500" s="110"/>
      <c r="BX500" s="110"/>
      <c r="BY500" s="110"/>
      <c r="BZ500" s="110"/>
      <c r="CA500" s="110"/>
      <c r="CB500" s="110"/>
      <c r="CC500" s="110"/>
      <c r="CD500" s="110"/>
      <c r="CE500" s="110"/>
      <c r="CF500" s="110"/>
      <c r="CG500" s="110"/>
      <c r="CH500" s="110"/>
      <c r="CI500" s="110"/>
      <c r="CJ500" s="110"/>
      <c r="CK500" s="110"/>
      <c r="CL500" s="110"/>
      <c r="CM500" s="110"/>
      <c r="CN500" s="110"/>
      <c r="CO500" s="110"/>
    </row>
    <row r="501" spans="1:93">
      <c r="A501" s="110"/>
      <c r="B501" s="110"/>
      <c r="C501" s="110"/>
      <c r="D501" s="110"/>
      <c r="E501" s="110"/>
      <c r="F501" s="110"/>
      <c r="G501" s="110"/>
      <c r="H501" s="110"/>
      <c r="I501" s="110"/>
      <c r="J501" s="110"/>
      <c r="K501" s="110"/>
      <c r="L501" s="110"/>
      <c r="M501" s="110"/>
      <c r="N501" s="110"/>
      <c r="O501" s="110"/>
      <c r="P501" s="110"/>
      <c r="Q501" s="110"/>
      <c r="R501" s="110"/>
      <c r="S501" s="110"/>
      <c r="T501" s="110"/>
      <c r="U501" s="111"/>
      <c r="V501" s="111"/>
      <c r="W501" s="111"/>
      <c r="X501" s="112"/>
      <c r="Y501" s="112"/>
      <c r="Z501" s="112"/>
      <c r="AA501" s="112"/>
      <c r="AB501" s="112"/>
      <c r="AC501" s="111"/>
      <c r="AD501" s="111"/>
      <c r="AE501" s="111"/>
      <c r="AF501" s="111"/>
      <c r="AG501" s="111"/>
      <c r="AH501" s="111"/>
      <c r="AI501" s="110"/>
      <c r="AJ501" s="110"/>
      <c r="AK501" s="110"/>
      <c r="AL501" s="110"/>
      <c r="AM501" s="110"/>
      <c r="AN501" s="110"/>
      <c r="AO501" s="110"/>
      <c r="AP501" s="110"/>
      <c r="AQ501" s="110"/>
      <c r="AR501" s="110"/>
      <c r="AS501" s="110"/>
      <c r="AT501" s="110"/>
      <c r="AU501" s="110"/>
      <c r="AV501" s="110"/>
      <c r="AW501" s="110"/>
      <c r="AX501" s="110"/>
      <c r="AY501" s="110"/>
      <c r="AZ501" s="110"/>
      <c r="BA501" s="110"/>
      <c r="BB501" s="110"/>
      <c r="BC501" s="110"/>
      <c r="BD501" s="110"/>
      <c r="BE501" s="110"/>
      <c r="BF501" s="110"/>
      <c r="BG501" s="110"/>
      <c r="BH501" s="110"/>
      <c r="BI501" s="110"/>
      <c r="BJ501" s="110"/>
      <c r="BK501" s="110"/>
      <c r="BL501" s="110"/>
      <c r="BM501" s="110"/>
      <c r="BN501" s="110"/>
      <c r="BO501" s="110"/>
      <c r="BP501" s="110"/>
      <c r="BQ501" s="110"/>
      <c r="BR501" s="110"/>
      <c r="BS501" s="110"/>
      <c r="BT501" s="110"/>
      <c r="BU501" s="110"/>
      <c r="BV501" s="110"/>
      <c r="BW501" s="110"/>
      <c r="BX501" s="110"/>
      <c r="BY501" s="110"/>
      <c r="BZ501" s="110"/>
      <c r="CA501" s="110"/>
      <c r="CB501" s="110"/>
      <c r="CC501" s="110"/>
      <c r="CD501" s="110"/>
      <c r="CE501" s="110"/>
      <c r="CF501" s="110"/>
      <c r="CG501" s="110"/>
      <c r="CH501" s="110"/>
      <c r="CI501" s="110"/>
      <c r="CJ501" s="110"/>
      <c r="CK501" s="110"/>
      <c r="CL501" s="110"/>
      <c r="CM501" s="110"/>
      <c r="CN501" s="110"/>
      <c r="CO501" s="110"/>
    </row>
    <row r="502" spans="1:93">
      <c r="A502" s="110"/>
      <c r="B502" s="110"/>
      <c r="C502" s="110"/>
      <c r="D502" s="110"/>
      <c r="E502" s="110"/>
      <c r="F502" s="110"/>
      <c r="G502" s="110"/>
      <c r="H502" s="110"/>
      <c r="I502" s="110"/>
      <c r="J502" s="110"/>
      <c r="K502" s="110"/>
      <c r="L502" s="110"/>
      <c r="M502" s="110"/>
      <c r="N502" s="110"/>
      <c r="O502" s="110"/>
      <c r="P502" s="110"/>
      <c r="Q502" s="110"/>
      <c r="R502" s="110"/>
      <c r="S502" s="110"/>
      <c r="T502" s="110"/>
      <c r="U502" s="111"/>
      <c r="V502" s="111"/>
      <c r="W502" s="111"/>
      <c r="X502" s="112"/>
      <c r="Y502" s="112"/>
      <c r="Z502" s="112"/>
      <c r="AA502" s="112"/>
      <c r="AB502" s="112"/>
      <c r="AC502" s="111"/>
      <c r="AD502" s="111"/>
      <c r="AE502" s="111"/>
      <c r="AF502" s="111"/>
      <c r="AG502" s="111"/>
      <c r="AH502" s="111"/>
      <c r="AI502" s="110"/>
      <c r="AJ502" s="110"/>
      <c r="AK502" s="110"/>
      <c r="AL502" s="110"/>
      <c r="AM502" s="110"/>
      <c r="AN502" s="110"/>
      <c r="AO502" s="110"/>
      <c r="AP502" s="110"/>
      <c r="AQ502" s="110"/>
      <c r="AR502" s="110"/>
      <c r="AS502" s="110"/>
      <c r="AT502" s="110"/>
      <c r="AU502" s="110"/>
      <c r="AV502" s="110"/>
      <c r="AW502" s="110"/>
      <c r="AX502" s="110"/>
      <c r="AY502" s="110"/>
      <c r="AZ502" s="110"/>
      <c r="BA502" s="110"/>
      <c r="BB502" s="110"/>
      <c r="BC502" s="110"/>
      <c r="BD502" s="110"/>
      <c r="BE502" s="110"/>
      <c r="BF502" s="110"/>
      <c r="BG502" s="110"/>
      <c r="BH502" s="110"/>
      <c r="BI502" s="110"/>
      <c r="BJ502" s="110"/>
      <c r="BK502" s="110"/>
      <c r="BL502" s="110"/>
      <c r="BM502" s="110"/>
      <c r="BN502" s="110"/>
      <c r="BO502" s="110"/>
      <c r="BP502" s="110"/>
      <c r="BQ502" s="110"/>
      <c r="BR502" s="110"/>
      <c r="BS502" s="110"/>
      <c r="BT502" s="110"/>
      <c r="BU502" s="110"/>
      <c r="BV502" s="110"/>
      <c r="BW502" s="110"/>
      <c r="BX502" s="110"/>
      <c r="BY502" s="110"/>
      <c r="BZ502" s="110"/>
      <c r="CA502" s="110"/>
      <c r="CB502" s="110"/>
      <c r="CC502" s="110"/>
      <c r="CD502" s="110"/>
      <c r="CE502" s="110"/>
      <c r="CF502" s="110"/>
      <c r="CG502" s="110"/>
      <c r="CH502" s="110"/>
      <c r="CI502" s="110"/>
      <c r="CJ502" s="110"/>
      <c r="CK502" s="110"/>
      <c r="CL502" s="110"/>
      <c r="CM502" s="110"/>
      <c r="CN502" s="110"/>
      <c r="CO502" s="110"/>
    </row>
    <row r="503" spans="1:93">
      <c r="A503" s="110"/>
      <c r="B503" s="110"/>
      <c r="C503" s="110"/>
      <c r="D503" s="110"/>
      <c r="E503" s="110"/>
      <c r="F503" s="110"/>
      <c r="G503" s="110"/>
      <c r="H503" s="110"/>
      <c r="I503" s="110"/>
      <c r="J503" s="110"/>
      <c r="K503" s="110"/>
      <c r="L503" s="110"/>
      <c r="M503" s="110"/>
      <c r="N503" s="110"/>
      <c r="O503" s="110"/>
      <c r="P503" s="110"/>
      <c r="Q503" s="110"/>
      <c r="R503" s="110"/>
      <c r="S503" s="110"/>
      <c r="T503" s="110"/>
      <c r="U503" s="111"/>
      <c r="V503" s="111"/>
      <c r="W503" s="111"/>
      <c r="X503" s="112"/>
      <c r="Y503" s="112"/>
      <c r="Z503" s="112"/>
      <c r="AA503" s="112"/>
      <c r="AB503" s="112"/>
      <c r="AC503" s="111"/>
      <c r="AD503" s="111"/>
      <c r="AE503" s="111"/>
      <c r="AF503" s="111"/>
      <c r="AG503" s="111"/>
      <c r="AH503" s="111"/>
      <c r="AI503" s="110"/>
      <c r="AJ503" s="110"/>
      <c r="AK503" s="110"/>
      <c r="AL503" s="110"/>
      <c r="AM503" s="110"/>
      <c r="AN503" s="110"/>
      <c r="AO503" s="110"/>
      <c r="AP503" s="110"/>
      <c r="AQ503" s="110"/>
      <c r="AR503" s="110"/>
      <c r="AS503" s="110"/>
      <c r="AT503" s="110"/>
      <c r="AU503" s="110"/>
      <c r="AV503" s="110"/>
      <c r="AW503" s="110"/>
      <c r="AX503" s="110"/>
      <c r="AY503" s="110"/>
      <c r="AZ503" s="110"/>
      <c r="BA503" s="110"/>
      <c r="BB503" s="110"/>
      <c r="BC503" s="110"/>
      <c r="BD503" s="110"/>
      <c r="BE503" s="110"/>
      <c r="BF503" s="110"/>
      <c r="BG503" s="110"/>
      <c r="BH503" s="110"/>
      <c r="BI503" s="110"/>
      <c r="BJ503" s="110"/>
      <c r="BK503" s="110"/>
      <c r="BL503" s="110"/>
      <c r="BM503" s="110"/>
      <c r="BN503" s="110"/>
      <c r="BO503" s="110"/>
      <c r="BP503" s="110"/>
      <c r="BQ503" s="110"/>
      <c r="BR503" s="110"/>
      <c r="BS503" s="110"/>
      <c r="BT503" s="110"/>
      <c r="BU503" s="110"/>
      <c r="BV503" s="110"/>
      <c r="BW503" s="110"/>
      <c r="BX503" s="110"/>
      <c r="BY503" s="110"/>
      <c r="BZ503" s="110"/>
      <c r="CA503" s="110"/>
      <c r="CB503" s="110"/>
      <c r="CC503" s="110"/>
      <c r="CD503" s="110"/>
      <c r="CE503" s="110"/>
      <c r="CF503" s="110"/>
      <c r="CG503" s="110"/>
      <c r="CH503" s="110"/>
      <c r="CI503" s="110"/>
      <c r="CJ503" s="110"/>
      <c r="CK503" s="110"/>
      <c r="CL503" s="110"/>
      <c r="CM503" s="110"/>
      <c r="CN503" s="110"/>
      <c r="CO503" s="110"/>
    </row>
  </sheetData>
  <sheetProtection sheet="1" objects="1" scenarios="1"/>
  <protectedRanges>
    <protectedRange sqref="AN31:AO31" name="Range1"/>
    <protectedRange sqref="Q14:R14" name="Range1_4"/>
    <protectedRange sqref="P47 T47:V47" name="Range20_2"/>
  </protectedRanges>
  <mergeCells count="194">
    <mergeCell ref="CC303:CD303"/>
    <mergeCell ref="C21:D21"/>
    <mergeCell ref="E13:H13"/>
    <mergeCell ref="J16:K16"/>
    <mergeCell ref="N26:O26"/>
    <mergeCell ref="Q26:R26"/>
    <mergeCell ref="AC60:AD60"/>
    <mergeCell ref="G35:H35"/>
    <mergeCell ref="AB54:AC54"/>
    <mergeCell ref="C43:L44"/>
    <mergeCell ref="K45:L45"/>
    <mergeCell ref="K46:L46"/>
    <mergeCell ref="Q50:R50"/>
    <mergeCell ref="O23:P23"/>
    <mergeCell ref="H46:J46"/>
    <mergeCell ref="Q22:R22"/>
    <mergeCell ref="F23:H23"/>
    <mergeCell ref="E20:H20"/>
    <mergeCell ref="C57:T57"/>
    <mergeCell ref="BS143:BT143"/>
    <mergeCell ref="BS135:BT135"/>
    <mergeCell ref="BJ247:BK247"/>
    <mergeCell ref="BL247:BM247"/>
    <mergeCell ref="N39:P39"/>
    <mergeCell ref="X4:Z4"/>
    <mergeCell ref="X5:Z5"/>
    <mergeCell ref="F47:G47"/>
    <mergeCell ref="C32:H32"/>
    <mergeCell ref="N38:P38"/>
    <mergeCell ref="G28:H28"/>
    <mergeCell ref="Q45:T45"/>
    <mergeCell ref="F48:G48"/>
    <mergeCell ref="Q29:R29"/>
    <mergeCell ref="E24:H24"/>
    <mergeCell ref="Q30:R30"/>
    <mergeCell ref="F46:G46"/>
    <mergeCell ref="N10:P10"/>
    <mergeCell ref="C24:D24"/>
    <mergeCell ref="N45:P45"/>
    <mergeCell ref="G33:H33"/>
    <mergeCell ref="Q48:T48"/>
    <mergeCell ref="F45:G45"/>
    <mergeCell ref="E18:H18"/>
    <mergeCell ref="X6:Z6"/>
    <mergeCell ref="Q32:R32"/>
    <mergeCell ref="J38:K39"/>
    <mergeCell ref="C25:H25"/>
    <mergeCell ref="G31:H31"/>
    <mergeCell ref="E11:H11"/>
    <mergeCell ref="J13:K13"/>
    <mergeCell ref="S14:T14"/>
    <mergeCell ref="U21:U23"/>
    <mergeCell ref="G36:H36"/>
    <mergeCell ref="N20:O20"/>
    <mergeCell ref="U30:U32"/>
    <mergeCell ref="N11:O11"/>
    <mergeCell ref="N12:O12"/>
    <mergeCell ref="Q21:R21"/>
    <mergeCell ref="E17:H17"/>
    <mergeCell ref="C36:F36"/>
    <mergeCell ref="E14:H14"/>
    <mergeCell ref="C20:D20"/>
    <mergeCell ref="N13:O13"/>
    <mergeCell ref="U24:U26"/>
    <mergeCell ref="G27:H27"/>
    <mergeCell ref="J14:K14"/>
    <mergeCell ref="U27:U29"/>
    <mergeCell ref="J18:K18"/>
    <mergeCell ref="E21:H21"/>
    <mergeCell ref="Q39:T39"/>
    <mergeCell ref="H48:J48"/>
    <mergeCell ref="G29:H29"/>
    <mergeCell ref="N40:P40"/>
    <mergeCell ref="N41:P41"/>
    <mergeCell ref="C40:J40"/>
    <mergeCell ref="S51:T52"/>
    <mergeCell ref="F49:G49"/>
    <mergeCell ref="CY176:CY178"/>
    <mergeCell ref="M37:M41"/>
    <mergeCell ref="CW176:CW178"/>
    <mergeCell ref="CX176:CX178"/>
    <mergeCell ref="AK7:AK8"/>
    <mergeCell ref="E16:H16"/>
    <mergeCell ref="C13:D13"/>
    <mergeCell ref="J17:K17"/>
    <mergeCell ref="AB56:AC56"/>
    <mergeCell ref="X46:Y46"/>
    <mergeCell ref="N47:P47"/>
    <mergeCell ref="N53:T53"/>
    <mergeCell ref="AB55:AC55"/>
    <mergeCell ref="Q24:R24"/>
    <mergeCell ref="H50:J50"/>
    <mergeCell ref="N43:T44"/>
    <mergeCell ref="C15:D15"/>
    <mergeCell ref="G34:H34"/>
    <mergeCell ref="G26:H26"/>
    <mergeCell ref="C22:D22"/>
    <mergeCell ref="E19:H19"/>
    <mergeCell ref="DJ256:DK256"/>
    <mergeCell ref="I18:I36"/>
    <mergeCell ref="N48:P48"/>
    <mergeCell ref="Q23:R23"/>
    <mergeCell ref="K48:L48"/>
    <mergeCell ref="K47:L47"/>
    <mergeCell ref="N22:O22"/>
    <mergeCell ref="S50:T50"/>
    <mergeCell ref="G41:J41"/>
    <mergeCell ref="Q41:T41"/>
    <mergeCell ref="Q40:T40"/>
    <mergeCell ref="BV149:BX149"/>
    <mergeCell ref="O50:P50"/>
    <mergeCell ref="AC59:AD59"/>
    <mergeCell ref="E22:H22"/>
    <mergeCell ref="Q20:R20"/>
    <mergeCell ref="Q25:S25"/>
    <mergeCell ref="N28:T28"/>
    <mergeCell ref="BA204:BC204"/>
    <mergeCell ref="CO173:CP173"/>
    <mergeCell ref="BH247:BI247"/>
    <mergeCell ref="CL173:CM173"/>
    <mergeCell ref="H49:J49"/>
    <mergeCell ref="N37:S37"/>
    <mergeCell ref="X2:AC2"/>
    <mergeCell ref="CC304:CD304"/>
    <mergeCell ref="J11:K11"/>
    <mergeCell ref="Q38:T38"/>
    <mergeCell ref="N25:O25"/>
    <mergeCell ref="N24:O24"/>
    <mergeCell ref="N21:O21"/>
    <mergeCell ref="J25:L26"/>
    <mergeCell ref="C31:F31"/>
    <mergeCell ref="E15:H15"/>
    <mergeCell ref="C14:D14"/>
    <mergeCell ref="H45:J45"/>
    <mergeCell ref="G39:H39"/>
    <mergeCell ref="C41:F41"/>
    <mergeCell ref="K49:L49"/>
    <mergeCell ref="AM180:AN180"/>
    <mergeCell ref="C11:D11"/>
    <mergeCell ref="J15:K15"/>
    <mergeCell ref="C17:D17"/>
    <mergeCell ref="N17:P17"/>
    <mergeCell ref="N14:O14"/>
    <mergeCell ref="N19:T19"/>
    <mergeCell ref="AM7:AM8"/>
    <mergeCell ref="AL7:AL8"/>
    <mergeCell ref="DL256:DM256"/>
    <mergeCell ref="B4:F5"/>
    <mergeCell ref="N9:Q9"/>
    <mergeCell ref="Q4:U5"/>
    <mergeCell ref="J10:L10"/>
    <mergeCell ref="Y7:Z7"/>
    <mergeCell ref="C10:D10"/>
    <mergeCell ref="T60:Z60"/>
    <mergeCell ref="N46:P46"/>
    <mergeCell ref="H47:J47"/>
    <mergeCell ref="G30:H30"/>
    <mergeCell ref="F50:G50"/>
    <mergeCell ref="N51:Q52"/>
    <mergeCell ref="R9:R15"/>
    <mergeCell ref="H4:K5"/>
    <mergeCell ref="C9:H9"/>
    <mergeCell ref="B7:U7"/>
    <mergeCell ref="N15:P15"/>
    <mergeCell ref="S9:T10"/>
    <mergeCell ref="M4:O5"/>
    <mergeCell ref="J9:K9"/>
    <mergeCell ref="AB7:AC7"/>
    <mergeCell ref="S11:T11"/>
    <mergeCell ref="S13:T13"/>
    <mergeCell ref="BF277:BH277"/>
    <mergeCell ref="Q49:T49"/>
    <mergeCell ref="E10:H10"/>
    <mergeCell ref="C26:F26"/>
    <mergeCell ref="K50:L50"/>
    <mergeCell ref="Q46:T46"/>
    <mergeCell ref="Q47:T47"/>
    <mergeCell ref="BZ151:CB151"/>
    <mergeCell ref="E12:H12"/>
    <mergeCell ref="AB57:AC57"/>
    <mergeCell ref="S23:T23"/>
    <mergeCell ref="C37:F37"/>
    <mergeCell ref="C58:T58"/>
    <mergeCell ref="S12:T12"/>
    <mergeCell ref="N49:P49"/>
    <mergeCell ref="S15:T15"/>
    <mergeCell ref="C16:D16"/>
    <mergeCell ref="C59:T59"/>
    <mergeCell ref="C12:D12"/>
    <mergeCell ref="G38:H38"/>
    <mergeCell ref="C19:D19"/>
    <mergeCell ref="Y53:AE53"/>
    <mergeCell ref="G37:H37"/>
    <mergeCell ref="Q31:R31"/>
  </mergeCells>
  <conditionalFormatting sqref="O35">
    <cfRule type="expression" dxfId="5" priority="1">
      <formula>CL$274=2</formula>
    </cfRule>
  </conditionalFormatting>
  <conditionalFormatting sqref="K35:O35">
    <cfRule type="expression" dxfId="4" priority="2" stopIfTrue="1">
      <formula>CL$274=2</formula>
    </cfRule>
  </conditionalFormatting>
  <dataValidations count="3">
    <dataValidation type="list" allowBlank="1" showInputMessage="1" showErrorMessage="1" sqref="C34:C35">
      <formula1>$BI$192:$BI$205</formula1>
      <formula2>0</formula2>
    </dataValidation>
    <dataValidation type="list" allowBlank="1" showInputMessage="1" showErrorMessage="1" sqref="C27:C30">
      <formula1>$BI$166:$BI$188</formula1>
      <formula2>0</formula2>
    </dataValidation>
    <dataValidation type="list" allowBlank="1" showInputMessage="1" showErrorMessage="1" sqref="K6">
      <formula1>$AC$20:$AC$21</formula1>
    </dataValidation>
  </dataValidations>
  <hyperlinks>
    <hyperlink ref="H4:K5" r:id="rId1" display="Jul 2018 DA Arrears Online Calculator"/>
    <hyperlink ref="M4:O5" r:id="rId2" display="Jul 2018 DA Arrears Calculator"/>
  </hyperlinks>
  <pageMargins left="0.3298611111111111" right="4.027777777777778E-2" top="0.15972222222222221" bottom="2.013888888888889E-2" header="0.51180555555555551" footer="0.51180555555555551"/>
  <pageSetup paperSize="9" scale="90" orientation="landscape"/>
  <headerFooter alignWithMargins="0"/>
  <drawing r:id="rId3"/>
  <legacyDrawing r:id="rId4"/>
</worksheet>
</file>

<file path=xl/worksheets/sheet3.xml><?xml version="1.0" encoding="utf-8"?>
<worksheet xmlns="http://schemas.openxmlformats.org/spreadsheetml/2006/main" xmlns:r="http://schemas.openxmlformats.org/officeDocument/2006/relationships">
  <sheetPr>
    <tabColor rgb="FF1F4A7E"/>
    <pageSetUpPr fitToPage="1"/>
  </sheetPr>
  <dimension ref="A1:CL129"/>
  <sheetViews>
    <sheetView showGridLines="0" showRowColHeaders="0" zoomScale="90" workbookViewId="0">
      <pane ySplit="6" topLeftCell="A16" activePane="bottomLeft" state="frozen"/>
      <selection pane="bottomLeft" activeCell="AH23" sqref="AH23"/>
    </sheetView>
  </sheetViews>
  <sheetFormatPr defaultColWidth="9.42578125" defaultRowHeight="15"/>
  <cols>
    <col min="1" max="1" width="4" style="766" customWidth="1"/>
    <col min="2" max="2" width="5.42578125" style="766" hidden="1" customWidth="1"/>
    <col min="3" max="3" width="13.140625" style="766" customWidth="1"/>
    <col min="4" max="4" width="9.42578125" style="766" customWidth="1"/>
    <col min="5" max="5" width="9.28515625" style="766" customWidth="1"/>
    <col min="6" max="6" width="8" style="766" hidden="1" customWidth="1"/>
    <col min="7" max="7" width="9.28515625" style="766" customWidth="1"/>
    <col min="8" max="8" width="7.7109375" style="766" hidden="1" customWidth="1"/>
    <col min="9" max="9" width="9.28515625" style="766" customWidth="1"/>
    <col min="10" max="10" width="5.7109375" style="766" hidden="1" customWidth="1"/>
    <col min="11" max="11" width="6.28515625" style="766" customWidth="1"/>
    <col min="12" max="12" width="6.28515625" style="767" hidden="1" customWidth="1"/>
    <col min="13" max="13" width="6.28515625" style="767" customWidth="1"/>
    <col min="14" max="14" width="6.5703125" style="767" hidden="1" customWidth="1"/>
    <col min="15" max="15" width="6.7109375" style="767" customWidth="1"/>
    <col min="16" max="16" width="6.7109375" style="767" hidden="1" customWidth="1"/>
    <col min="17" max="17" width="7.28515625" style="767" hidden="1" customWidth="1"/>
    <col min="18" max="18" width="6.28515625" style="767" hidden="1" customWidth="1"/>
    <col min="19" max="19" width="6.7109375" style="767" customWidth="1"/>
    <col min="20" max="20" width="6.28515625" style="767" hidden="1" customWidth="1"/>
    <col min="21" max="21" width="6.7109375" style="767" customWidth="1"/>
    <col min="22" max="22" width="6.28515625" style="767" hidden="1" customWidth="1"/>
    <col min="23" max="23" width="6.7109375" style="767" customWidth="1"/>
    <col min="24" max="24" width="10.42578125" style="766" customWidth="1"/>
    <col min="25" max="25" width="8.28515625" style="766" hidden="1" customWidth="1"/>
    <col min="26" max="26" width="8.7109375" style="766" customWidth="1"/>
    <col min="27" max="27" width="9.28515625" style="766" hidden="1" customWidth="1"/>
    <col min="28" max="28" width="8.7109375" style="766" customWidth="1"/>
    <col min="29" max="29" width="5.85546875" style="766" customWidth="1"/>
    <col min="30" max="30" width="5.85546875" style="766" hidden="1" customWidth="1"/>
    <col min="31" max="31" width="5.85546875" style="766" customWidth="1"/>
    <col min="32" max="32" width="6" style="766" customWidth="1"/>
    <col min="33" max="33" width="5.7109375" style="766" customWidth="1"/>
    <col min="34" max="34" width="7.7109375" style="766" customWidth="1"/>
    <col min="35" max="36" width="9.42578125" style="766" customWidth="1"/>
    <col min="37" max="37" width="10.5703125" style="766" customWidth="1"/>
    <col min="38" max="38" width="11.5703125" style="766" customWidth="1"/>
    <col min="39" max="39" width="9.42578125" style="766"/>
    <col min="40" max="40" width="9.42578125" style="766" hidden="1" customWidth="1"/>
    <col min="41" max="41" width="9.42578125" style="768" hidden="1" customWidth="1"/>
    <col min="42" max="42" width="10.42578125" style="769" hidden="1" customWidth="1"/>
    <col min="43" max="43" width="9.42578125" style="766" hidden="1" customWidth="1"/>
    <col min="44" max="44" width="9.42578125" style="766" customWidth="1"/>
    <col min="45" max="45" width="9.42578125" style="766"/>
    <col min="46" max="46" width="9.42578125" style="770"/>
    <col min="47" max="51" width="9.42578125" style="766"/>
    <col min="52" max="52" width="0" style="766" hidden="1" customWidth="1"/>
    <col min="53" max="16384" width="9.42578125" style="766"/>
  </cols>
  <sheetData>
    <row r="1" spans="1:90" ht="6.6" customHeight="1">
      <c r="A1" s="770"/>
      <c r="B1" s="770"/>
      <c r="C1" s="770"/>
      <c r="D1" s="770"/>
      <c r="E1" s="770"/>
      <c r="F1" s="770"/>
      <c r="G1" s="770"/>
      <c r="H1" s="770"/>
      <c r="I1" s="770"/>
      <c r="J1" s="770"/>
      <c r="K1" s="770"/>
      <c r="L1" s="771"/>
      <c r="M1" s="771"/>
      <c r="N1" s="771"/>
      <c r="O1" s="771"/>
      <c r="P1" s="771"/>
      <c r="Q1" s="771"/>
      <c r="R1" s="771"/>
      <c r="S1" s="771"/>
      <c r="T1" s="771"/>
      <c r="U1" s="771"/>
      <c r="V1" s="771"/>
      <c r="W1" s="771"/>
      <c r="X1" s="770"/>
      <c r="Y1" s="770"/>
      <c r="Z1" s="770"/>
      <c r="AA1" s="770"/>
      <c r="AB1" s="770"/>
      <c r="AC1" s="770"/>
      <c r="AD1" s="770"/>
      <c r="AE1" s="770"/>
      <c r="AF1" s="770"/>
      <c r="AG1" s="770"/>
      <c r="AH1" s="770"/>
      <c r="AI1" s="770"/>
      <c r="AJ1" s="770"/>
      <c r="AK1" s="770"/>
      <c r="AL1" s="770"/>
      <c r="AM1" s="770"/>
      <c r="AN1" s="770"/>
      <c r="AO1" s="772"/>
      <c r="AP1" s="773"/>
      <c r="AQ1" s="770"/>
      <c r="AR1" s="770"/>
      <c r="AS1" s="770"/>
      <c r="AU1" s="770"/>
      <c r="AV1" s="770"/>
      <c r="AW1" s="770"/>
      <c r="AX1" s="770"/>
      <c r="AY1" s="770"/>
      <c r="AZ1" s="770"/>
      <c r="BA1" s="770"/>
      <c r="BB1" s="770"/>
      <c r="BC1" s="770"/>
      <c r="BD1" s="770"/>
      <c r="BE1" s="770"/>
      <c r="BF1" s="770"/>
      <c r="BG1" s="770"/>
      <c r="BH1" s="770"/>
      <c r="BI1" s="770"/>
      <c r="BJ1" s="770"/>
      <c r="BK1" s="770"/>
      <c r="BL1" s="770"/>
      <c r="BM1" s="770"/>
      <c r="BN1" s="770"/>
      <c r="BO1" s="770"/>
      <c r="BP1" s="770"/>
      <c r="BQ1" s="770"/>
      <c r="BR1" s="770"/>
      <c r="BS1" s="770"/>
      <c r="BT1" s="770"/>
      <c r="BU1" s="770"/>
      <c r="BV1" s="770"/>
      <c r="BW1" s="770"/>
      <c r="BX1" s="770"/>
      <c r="BY1" s="770"/>
      <c r="BZ1" s="770"/>
      <c r="CA1" s="770"/>
      <c r="CB1" s="770"/>
      <c r="CC1" s="770"/>
      <c r="CD1" s="770"/>
      <c r="CE1" s="770"/>
      <c r="CF1" s="770"/>
      <c r="CG1" s="770"/>
      <c r="CH1" s="770"/>
      <c r="CI1" s="770"/>
      <c r="CJ1" s="770"/>
      <c r="CK1" s="770"/>
      <c r="CL1" s="770"/>
    </row>
    <row r="2" spans="1:90" ht="24.6" customHeight="1">
      <c r="A2" s="774"/>
      <c r="B2" s="774"/>
      <c r="C2" s="774"/>
      <c r="D2" s="774"/>
      <c r="E2" s="774"/>
      <c r="F2" s="774"/>
      <c r="G2" s="770"/>
      <c r="H2" s="770"/>
      <c r="I2" s="770"/>
      <c r="J2" s="770"/>
      <c r="K2" s="770"/>
      <c r="L2" s="771"/>
      <c r="M2" s="771"/>
      <c r="N2" s="771"/>
      <c r="O2" s="771"/>
      <c r="P2" s="771"/>
      <c r="Q2" s="771"/>
      <c r="R2" s="771"/>
      <c r="S2" s="771"/>
      <c r="T2" s="771"/>
      <c r="U2" s="771"/>
      <c r="V2" s="771"/>
      <c r="W2" s="771"/>
      <c r="X2" s="775" t="str">
        <f>IF(DATA!CL274=1,"Select","")</f>
        <v>Select</v>
      </c>
      <c r="Y2" s="2040" t="str">
        <f>IF(DATA!CL274=1,"If You want to One or Two DA Arrears","")</f>
        <v>If You want to One or Two DA Arrears</v>
      </c>
      <c r="Z2" s="2040"/>
      <c r="AA2" s="2040"/>
      <c r="AB2" s="2040"/>
      <c r="AC2" s="2040"/>
      <c r="AD2" s="2040"/>
      <c r="AE2" s="2040"/>
      <c r="AF2" s="2040"/>
      <c r="AG2" s="2040"/>
      <c r="AH2" s="776" t="s">
        <v>946</v>
      </c>
      <c r="AI2" s="774"/>
      <c r="AJ2" s="774"/>
      <c r="AK2" s="770"/>
      <c r="AL2" s="770"/>
      <c r="AM2" s="770"/>
      <c r="AN2" s="770"/>
      <c r="AO2" s="772"/>
      <c r="AP2" s="773"/>
      <c r="AQ2" s="770"/>
      <c r="AR2" s="770"/>
      <c r="AS2" s="770"/>
      <c r="AU2" s="770"/>
      <c r="AV2" s="770"/>
      <c r="AW2" s="770"/>
      <c r="AX2" s="770"/>
      <c r="AY2" s="770"/>
      <c r="AZ2" s="770"/>
      <c r="BA2" s="770"/>
      <c r="BB2" s="770"/>
      <c r="BC2" s="770"/>
      <c r="BD2" s="770"/>
      <c r="BE2" s="770"/>
      <c r="BF2" s="770"/>
      <c r="BG2" s="770"/>
      <c r="BH2" s="770"/>
      <c r="BI2" s="770"/>
      <c r="BJ2" s="770"/>
      <c r="BK2" s="770"/>
      <c r="BL2" s="770"/>
      <c r="BM2" s="770"/>
      <c r="BN2" s="770"/>
      <c r="BO2" s="770"/>
      <c r="BP2" s="770"/>
      <c r="BQ2" s="770"/>
      <c r="BR2" s="770"/>
      <c r="BS2" s="770"/>
      <c r="BT2" s="770"/>
      <c r="BU2" s="770"/>
      <c r="BV2" s="770"/>
      <c r="BW2" s="770"/>
      <c r="BX2" s="770"/>
      <c r="BY2" s="770"/>
      <c r="BZ2" s="770"/>
      <c r="CA2" s="770"/>
      <c r="CB2" s="770"/>
      <c r="CC2" s="770"/>
      <c r="CD2" s="770"/>
      <c r="CE2" s="770"/>
      <c r="CF2" s="770"/>
      <c r="CG2" s="770"/>
      <c r="CH2" s="770"/>
      <c r="CI2" s="770"/>
      <c r="CJ2" s="770"/>
      <c r="CK2" s="770"/>
      <c r="CL2" s="770"/>
    </row>
    <row r="3" spans="1:90" ht="8.4499999999999993" customHeight="1">
      <c r="A3" s="774"/>
      <c r="B3" s="774"/>
      <c r="C3" s="774"/>
      <c r="D3" s="774"/>
      <c r="E3" s="774"/>
      <c r="F3" s="774"/>
      <c r="G3" s="770"/>
      <c r="H3" s="770"/>
      <c r="I3" s="770"/>
      <c r="J3" s="770"/>
      <c r="K3" s="770"/>
      <c r="L3" s="771"/>
      <c r="M3" s="771"/>
      <c r="N3" s="771"/>
      <c r="O3" s="771"/>
      <c r="P3" s="771"/>
      <c r="Q3" s="771"/>
      <c r="R3" s="771"/>
      <c r="S3" s="771"/>
      <c r="T3" s="771"/>
      <c r="U3" s="771"/>
      <c r="V3" s="771"/>
      <c r="W3" s="771"/>
      <c r="X3" s="777"/>
      <c r="Y3" s="778"/>
      <c r="Z3" s="778"/>
      <c r="AA3" s="778"/>
      <c r="AB3" s="778"/>
      <c r="AC3" s="779"/>
      <c r="AD3" s="779"/>
      <c r="AE3" s="779"/>
      <c r="AF3" s="780"/>
      <c r="AG3" s="780"/>
      <c r="AH3" s="774"/>
      <c r="AI3" s="774"/>
      <c r="AJ3" s="774"/>
      <c r="AK3" s="770" t="s">
        <v>229</v>
      </c>
      <c r="AL3" s="770"/>
      <c r="AM3" s="770"/>
      <c r="AN3" s="770"/>
      <c r="AO3" s="772"/>
      <c r="AP3" s="773"/>
      <c r="AQ3" s="770"/>
      <c r="AR3" s="770"/>
      <c r="AS3" s="770"/>
      <c r="AU3" s="770"/>
      <c r="AV3" s="770"/>
      <c r="AW3" s="770"/>
      <c r="AX3" s="770"/>
      <c r="AY3" s="770"/>
      <c r="AZ3" s="770"/>
      <c r="BA3" s="770"/>
      <c r="BB3" s="770"/>
      <c r="BC3" s="770"/>
      <c r="BD3" s="770"/>
      <c r="BE3" s="770"/>
      <c r="BF3" s="770"/>
      <c r="BG3" s="770"/>
      <c r="BH3" s="770"/>
      <c r="BI3" s="770"/>
      <c r="BJ3" s="770"/>
      <c r="BK3" s="770"/>
      <c r="BL3" s="770"/>
      <c r="BM3" s="770"/>
      <c r="BN3" s="770"/>
      <c r="BO3" s="770"/>
      <c r="BP3" s="770"/>
      <c r="BQ3" s="770"/>
      <c r="BR3" s="770"/>
      <c r="BS3" s="770"/>
      <c r="BT3" s="770"/>
      <c r="BU3" s="770"/>
      <c r="BV3" s="770"/>
      <c r="BW3" s="770"/>
      <c r="BX3" s="770"/>
      <c r="BY3" s="770"/>
      <c r="BZ3" s="770"/>
      <c r="CA3" s="770"/>
      <c r="CB3" s="770"/>
      <c r="CC3" s="770"/>
      <c r="CD3" s="770"/>
      <c r="CE3" s="770"/>
      <c r="CF3" s="770"/>
      <c r="CG3" s="770"/>
      <c r="CH3" s="770"/>
      <c r="CI3" s="770"/>
      <c r="CJ3" s="770"/>
      <c r="CK3" s="770"/>
      <c r="CL3" s="770"/>
    </row>
    <row r="4" spans="1:90" ht="19.5" customHeight="1">
      <c r="A4" s="770"/>
      <c r="B4" s="2038" t="str">
        <f>CONCATENATE("    Month wise Income of ",DATA!BN172," ",DATA!E10,", ",DATA!CD169,", ",DATA!E13," , ",DATA!E14,", ",DATA!E15," (","Mandal",")","  for the year of 2021-22")</f>
        <v xml:space="preserve">    Month wise Income of Sri. A.Nagesh, Deputy Executive Engineer, Executive Engineer,TGP Division No.1 , Velgode, Velgode (Mandal)  for the year of 2021-22</v>
      </c>
      <c r="C4" s="2038"/>
      <c r="D4" s="2038"/>
      <c r="E4" s="2038"/>
      <c r="F4" s="2038"/>
      <c r="G4" s="2038"/>
      <c r="H4" s="2038"/>
      <c r="I4" s="2038"/>
      <c r="J4" s="2038"/>
      <c r="K4" s="2038"/>
      <c r="L4" s="2038"/>
      <c r="M4" s="2038"/>
      <c r="N4" s="2038"/>
      <c r="O4" s="2038"/>
      <c r="P4" s="2038"/>
      <c r="Q4" s="2038"/>
      <c r="R4" s="2038"/>
      <c r="S4" s="2038"/>
      <c r="T4" s="2038"/>
      <c r="U4" s="2038"/>
      <c r="V4" s="2038"/>
      <c r="W4" s="2038"/>
      <c r="X4" s="2038"/>
      <c r="Y4" s="2038"/>
      <c r="Z4" s="2038"/>
      <c r="AA4" s="2038"/>
      <c r="AB4" s="2038"/>
      <c r="AC4" s="2038"/>
      <c r="AD4" s="2038"/>
      <c r="AE4" s="2038"/>
      <c r="AF4" s="2038"/>
      <c r="AG4" s="2038"/>
      <c r="AH4" s="2038"/>
      <c r="AI4" s="2038"/>
      <c r="AJ4" s="2038"/>
      <c r="AK4" s="2038"/>
      <c r="AL4" s="781"/>
      <c r="AM4" s="782"/>
      <c r="AN4" s="783"/>
      <c r="AO4" s="784"/>
      <c r="AP4" s="785"/>
      <c r="AQ4" s="783"/>
      <c r="AR4" s="783"/>
      <c r="AS4" s="783"/>
      <c r="AU4" s="770"/>
      <c r="AV4" s="770"/>
      <c r="AW4" s="770"/>
      <c r="AX4" s="770"/>
      <c r="AY4" s="770"/>
      <c r="AZ4" s="770"/>
      <c r="BA4" s="770"/>
      <c r="BB4" s="770"/>
      <c r="BC4" s="770"/>
      <c r="BD4" s="770"/>
      <c r="BE4" s="770"/>
      <c r="BF4" s="770"/>
      <c r="BG4" s="770"/>
      <c r="BH4" s="770"/>
      <c r="BI4" s="770"/>
      <c r="BJ4" s="770"/>
      <c r="BK4" s="770"/>
      <c r="BL4" s="770"/>
      <c r="BM4" s="770"/>
      <c r="BN4" s="770"/>
      <c r="BO4" s="770"/>
      <c r="BP4" s="770"/>
      <c r="BQ4" s="770"/>
      <c r="BR4" s="770"/>
      <c r="BS4" s="770"/>
      <c r="BT4" s="770"/>
      <c r="BU4" s="770"/>
      <c r="BV4" s="770"/>
      <c r="BW4" s="770"/>
      <c r="BX4" s="770"/>
      <c r="BY4" s="770"/>
      <c r="BZ4" s="770"/>
      <c r="CA4" s="770"/>
      <c r="CB4" s="770"/>
      <c r="CC4" s="770"/>
      <c r="CD4" s="770"/>
      <c r="CE4" s="770"/>
      <c r="CF4" s="770"/>
      <c r="CG4" s="770"/>
      <c r="CH4" s="770"/>
      <c r="CI4" s="770"/>
      <c r="CJ4" s="770"/>
      <c r="CK4" s="770"/>
      <c r="CL4" s="770"/>
    </row>
    <row r="5" spans="1:90" ht="14.45" customHeight="1">
      <c r="A5" s="770"/>
      <c r="B5" s="2039"/>
      <c r="C5" s="2038"/>
      <c r="D5" s="2038"/>
      <c r="E5" s="2038"/>
      <c r="F5" s="2038"/>
      <c r="G5" s="2038"/>
      <c r="H5" s="2038"/>
      <c r="I5" s="2038"/>
      <c r="J5" s="2038"/>
      <c r="K5" s="2038"/>
      <c r="L5" s="2038"/>
      <c r="M5" s="2038"/>
      <c r="N5" s="2038"/>
      <c r="O5" s="2038"/>
      <c r="P5" s="2038"/>
      <c r="Q5" s="2038"/>
      <c r="R5" s="2038"/>
      <c r="S5" s="2038"/>
      <c r="T5" s="2038"/>
      <c r="U5" s="2038"/>
      <c r="V5" s="2038"/>
      <c r="W5" s="2038"/>
      <c r="X5" s="2038"/>
      <c r="Y5" s="2038"/>
      <c r="Z5" s="2038"/>
      <c r="AA5" s="2038"/>
      <c r="AB5" s="2038"/>
      <c r="AC5" s="2038"/>
      <c r="AD5" s="2038"/>
      <c r="AE5" s="2038"/>
      <c r="AF5" s="2038"/>
      <c r="AG5" s="2038"/>
      <c r="AH5" s="2038"/>
      <c r="AI5" s="2038"/>
      <c r="AJ5" s="2038"/>
      <c r="AK5" s="2038"/>
      <c r="AL5" s="781"/>
      <c r="AM5" s="770"/>
      <c r="AN5" s="783"/>
      <c r="AO5" s="784"/>
      <c r="AP5" s="785"/>
      <c r="AQ5" s="783"/>
      <c r="AR5" s="783"/>
      <c r="AS5" s="783"/>
      <c r="AU5" s="770"/>
      <c r="AV5" s="770"/>
      <c r="AW5" s="770"/>
      <c r="AX5" s="770"/>
      <c r="AY5" s="770"/>
      <c r="AZ5" s="770"/>
      <c r="BA5" s="770"/>
      <c r="BB5" s="770"/>
      <c r="BC5" s="770"/>
      <c r="BD5" s="770"/>
      <c r="BE5" s="770"/>
      <c r="BF5" s="770"/>
      <c r="BG5" s="770"/>
      <c r="BH5" s="770"/>
      <c r="BI5" s="770"/>
      <c r="BJ5" s="770"/>
      <c r="BK5" s="770"/>
      <c r="BL5" s="770"/>
      <c r="BM5" s="770"/>
      <c r="BN5" s="770"/>
      <c r="BO5" s="770"/>
      <c r="BP5" s="770"/>
      <c r="BQ5" s="770"/>
      <c r="BR5" s="770"/>
      <c r="BS5" s="770"/>
      <c r="BT5" s="770"/>
      <c r="BU5" s="770"/>
      <c r="BV5" s="770"/>
      <c r="BW5" s="770"/>
      <c r="BX5" s="770"/>
      <c r="BY5" s="770"/>
      <c r="BZ5" s="770"/>
      <c r="CA5" s="770"/>
      <c r="CB5" s="770"/>
      <c r="CC5" s="770"/>
      <c r="CD5" s="770"/>
      <c r="CE5" s="770"/>
      <c r="CF5" s="770"/>
      <c r="CG5" s="770"/>
      <c r="CH5" s="770"/>
      <c r="CI5" s="770"/>
      <c r="CJ5" s="770"/>
      <c r="CK5" s="770"/>
      <c r="CL5" s="770"/>
    </row>
    <row r="6" spans="1:90" s="786" customFormat="1" ht="37.5" customHeight="1">
      <c r="A6" s="787"/>
      <c r="B6" s="788" t="s">
        <v>257</v>
      </c>
      <c r="C6" s="789" t="s">
        <v>258</v>
      </c>
      <c r="D6" s="790" t="s">
        <v>11</v>
      </c>
      <c r="E6" s="790" t="s">
        <v>12</v>
      </c>
      <c r="F6" s="790" t="s">
        <v>374</v>
      </c>
      <c r="G6" s="790" t="s">
        <v>13</v>
      </c>
      <c r="H6" s="790" t="str">
        <f>IF(DATA!CL274=2,"TS. Inc.","IR")</f>
        <v>IR</v>
      </c>
      <c r="I6" s="790" t="str">
        <f>H6</f>
        <v>IR</v>
      </c>
      <c r="J6" s="791" t="s">
        <v>922</v>
      </c>
      <c r="K6" s="791" t="str">
        <f>J6</f>
        <v>HM Allowance</v>
      </c>
      <c r="L6" s="792" t="s">
        <v>578</v>
      </c>
      <c r="M6" s="792" t="str">
        <f>L6</f>
        <v>SP/PP/Add.   Inc.</v>
      </c>
      <c r="N6" s="791" t="s">
        <v>377</v>
      </c>
      <c r="O6" s="790" t="str">
        <f>N6</f>
        <v>A HRA</v>
      </c>
      <c r="P6" s="790" t="s">
        <v>783</v>
      </c>
      <c r="Q6" s="790" t="str">
        <f>P6</f>
        <v>DA Arrears</v>
      </c>
      <c r="R6" s="790" t="s">
        <v>14</v>
      </c>
      <c r="S6" s="790" t="str">
        <f>R6</f>
        <v>PHA</v>
      </c>
      <c r="T6" s="790" t="s">
        <v>373</v>
      </c>
      <c r="U6" s="790" t="str">
        <f>T6</f>
        <v>CCA</v>
      </c>
      <c r="V6" s="790" t="s">
        <v>387</v>
      </c>
      <c r="W6" s="790" t="str">
        <f>V6</f>
        <v>SCA</v>
      </c>
      <c r="X6" s="793" t="s">
        <v>259</v>
      </c>
      <c r="Y6" s="791" t="str">
        <f>DATA!CE184</f>
        <v>PF</v>
      </c>
      <c r="Z6" s="790" t="str">
        <f>Y6</f>
        <v>PF</v>
      </c>
      <c r="AA6" s="790" t="s">
        <v>247</v>
      </c>
      <c r="AB6" s="790" t="str">
        <f>AA6</f>
        <v>APGLI</v>
      </c>
      <c r="AC6" s="790" t="s">
        <v>15</v>
      </c>
      <c r="AD6" s="790" t="s">
        <v>106</v>
      </c>
      <c r="AE6" s="790" t="str">
        <f>AD6</f>
        <v>GIS</v>
      </c>
      <c r="AF6" s="794" t="s">
        <v>398</v>
      </c>
      <c r="AG6" s="794" t="s">
        <v>538</v>
      </c>
      <c r="AH6" s="795" t="s">
        <v>852</v>
      </c>
      <c r="AI6" s="790" t="s">
        <v>1013</v>
      </c>
      <c r="AJ6" s="795" t="s">
        <v>253</v>
      </c>
      <c r="AK6" s="796" t="s">
        <v>943</v>
      </c>
      <c r="AL6" s="797" t="s">
        <v>722</v>
      </c>
      <c r="AM6" s="798"/>
      <c r="AN6" s="799"/>
      <c r="AO6" s="800"/>
      <c r="AP6" s="801"/>
      <c r="AQ6" s="799"/>
      <c r="AR6" s="799"/>
      <c r="AS6" s="799"/>
      <c r="AT6" s="787"/>
      <c r="AU6" s="787"/>
      <c r="AV6" s="787"/>
      <c r="AW6" s="787"/>
      <c r="AX6" s="787"/>
      <c r="AY6" s="787"/>
      <c r="AZ6" s="787"/>
      <c r="BA6" s="787"/>
      <c r="BB6" s="787"/>
      <c r="BC6" s="787"/>
      <c r="BD6" s="787"/>
      <c r="BE6" s="787"/>
      <c r="BF6" s="787"/>
      <c r="BG6" s="787"/>
      <c r="BH6" s="787"/>
      <c r="BI6" s="787"/>
      <c r="BJ6" s="787"/>
      <c r="BK6" s="787"/>
      <c r="BL6" s="787"/>
      <c r="BM6" s="787"/>
      <c r="BN6" s="787"/>
      <c r="BO6" s="787"/>
      <c r="BP6" s="787"/>
      <c r="BQ6" s="787"/>
      <c r="BR6" s="787"/>
      <c r="BS6" s="787"/>
      <c r="BT6" s="787"/>
      <c r="BU6" s="787"/>
      <c r="BV6" s="787"/>
      <c r="BW6" s="787"/>
      <c r="BX6" s="787"/>
      <c r="BY6" s="787"/>
      <c r="BZ6" s="787"/>
      <c r="CA6" s="787"/>
      <c r="CB6" s="787"/>
      <c r="CC6" s="787"/>
      <c r="CD6" s="787"/>
      <c r="CE6" s="787"/>
      <c r="CF6" s="787"/>
      <c r="CG6" s="787"/>
      <c r="CH6" s="787"/>
      <c r="CI6" s="787"/>
      <c r="CJ6" s="787"/>
      <c r="CK6" s="787"/>
      <c r="CL6" s="787"/>
    </row>
    <row r="7" spans="1:90" ht="24" customHeight="1">
      <c r="A7" s="770"/>
      <c r="B7" s="802">
        <v>1</v>
      </c>
      <c r="C7" s="803">
        <v>44256</v>
      </c>
      <c r="D7" s="804">
        <v>55410</v>
      </c>
      <c r="E7" s="804">
        <v>16840</v>
      </c>
      <c r="F7" s="804"/>
      <c r="G7" s="804">
        <v>6649</v>
      </c>
      <c r="H7" s="804">
        <f>IF(DATA!CR$273=2,IF(DATA!CL$274=2,DATA!L$24,DATA!CL283),ROUND(IF(DATA!CL$274=2,DATA!L$24,DATA!CL283)/2,0))</f>
        <v>5732</v>
      </c>
      <c r="I7" s="804">
        <v>14961</v>
      </c>
      <c r="J7" s="804">
        <f>IF(DATA!CR$273=2,DATA!L$13,ROUND(DATA!L$13/2,0))</f>
        <v>0</v>
      </c>
      <c r="K7" s="804" t="str">
        <f>IF(J7=0,"",J7)</f>
        <v/>
      </c>
      <c r="L7" s="804">
        <f>IF(DATA!CR$273=2,DATA!CH283,ROUND(DATA!CH283/2,0))</f>
        <v>0</v>
      </c>
      <c r="M7" s="804" t="str">
        <f>IF(L7=0,"",L7)</f>
        <v/>
      </c>
      <c r="N7" s="804">
        <f>IF(DATA!CR$273=2,DATA!CZ283,ROUND(DATA!CZ283/2,0))</f>
        <v>0</v>
      </c>
      <c r="O7" s="804" t="str">
        <f>IF(N7=0,"",N7)</f>
        <v/>
      </c>
      <c r="P7" s="804"/>
      <c r="Q7" s="804"/>
      <c r="R7" s="804">
        <f>IF(DATA!CR$273=2,DATA!CJ283,ROUND(DATA!CJ283/2,0))</f>
        <v>0</v>
      </c>
      <c r="S7" s="804" t="str">
        <f>IF(R7=0,"",R7)</f>
        <v/>
      </c>
      <c r="T7" s="804">
        <f>IF(DATA!CR$273=2,IF(DATA!DK178=0,0,DATA!DK178),ROUND(IF(DATA!DK178=0,0,DATA!DK178)/2,0))</f>
        <v>0</v>
      </c>
      <c r="U7" s="804" t="str">
        <f>IF(T7=0,"",T7)</f>
        <v/>
      </c>
      <c r="V7" s="804">
        <f>IF(DATA!CR$273=2,DATA!DF162,ROUND(DATA!DF162/2,0))</f>
        <v>0</v>
      </c>
      <c r="W7" s="804" t="str">
        <f>IF(V7=0,"",V7)</f>
        <v/>
      </c>
      <c r="X7" s="805">
        <f t="shared" ref="X7:X12" si="0">SUM(D7,E7,G7,I7,K7,M7,O7,Q7,S7,U7,W7)</f>
        <v>93860</v>
      </c>
      <c r="Y7" s="804">
        <f>IF(DATA!CR$273=2,IF(X7=0,0,DATA!CP283)+AP7,"")</f>
        <v>7000</v>
      </c>
      <c r="Z7" s="804">
        <f>IF(Y7=0,"",Y7)</f>
        <v>7000</v>
      </c>
      <c r="AA7" s="804">
        <f>IF(DATA!CR$273=2,IF(X7=0,0,DATA!CQ283),"")</f>
        <v>2000</v>
      </c>
      <c r="AB7" s="804">
        <f>IF(AA7=0,"",AA7)</f>
        <v>2000</v>
      </c>
      <c r="AC7" s="804">
        <f>IF(DATA!CJ$175=1,IF(X7=0,0,DATA!CR283),"")</f>
        <v>200</v>
      </c>
      <c r="AD7" s="804">
        <f>IF(DATA!CR$273=2,IF(X7=0,0,DATA!CS283),"")</f>
        <v>120</v>
      </c>
      <c r="AE7" s="804">
        <f>IF(AD7=0,"",AD7)</f>
        <v>120</v>
      </c>
      <c r="AF7" s="804">
        <f>IF(DATA!CR273=2,IF(X7=0,0,DATA!CT283),"")</f>
        <v>50</v>
      </c>
      <c r="AG7" s="804">
        <v>300</v>
      </c>
      <c r="AH7" s="804" t="str">
        <f>IF(DATA!CR$273=2,DATA!CV283,"")</f>
        <v/>
      </c>
      <c r="AI7" s="804">
        <f>IF(DATA!O29="","",DATA!O29)</f>
        <v>8000</v>
      </c>
      <c r="AJ7" s="804">
        <f>SUM(Z7,AB7,AC7,AE7,AF7,AG7,AH7,AI7)</f>
        <v>17670</v>
      </c>
      <c r="AK7" s="806">
        <f t="shared" ref="AK7:AK18" si="1">X7-AJ7</f>
        <v>76190</v>
      </c>
      <c r="AL7" s="807">
        <f>DATA!BS267</f>
        <v>0.30392000000000002</v>
      </c>
      <c r="AM7" s="808"/>
      <c r="AN7" s="783"/>
      <c r="AO7" s="784" t="str">
        <f>IF(DATA!CL274=2,ROUND(D7/31,0),"")</f>
        <v/>
      </c>
      <c r="AP7" s="809">
        <f>IF(DATA!CL$274=2,DATA!U$53,0)</f>
        <v>0</v>
      </c>
      <c r="AQ7" s="783"/>
      <c r="AR7" s="783"/>
      <c r="AS7" s="783"/>
      <c r="AU7" s="770"/>
      <c r="AV7" s="770"/>
      <c r="AW7" s="810">
        <f>IF(DATA!CL$274=2,DATA!Q$53,DATA!L$19)</f>
        <v>0</v>
      </c>
      <c r="AX7" s="770"/>
      <c r="AY7" s="770"/>
      <c r="AZ7" s="770"/>
      <c r="BA7" s="770"/>
      <c r="BB7" s="770"/>
      <c r="BC7" s="770"/>
      <c r="BD7" s="770"/>
      <c r="BE7" s="770"/>
      <c r="BF7" s="770"/>
      <c r="BG7" s="770"/>
      <c r="BH7" s="770"/>
      <c r="BI7" s="770"/>
      <c r="BJ7" s="770"/>
      <c r="BK7" s="770"/>
      <c r="BL7" s="770"/>
      <c r="BM7" s="770"/>
      <c r="BN7" s="770"/>
      <c r="BO7" s="770"/>
      <c r="BP7" s="770"/>
      <c r="BQ7" s="770"/>
      <c r="BR7" s="770"/>
      <c r="BS7" s="770"/>
      <c r="BT7" s="770"/>
      <c r="BU7" s="770"/>
      <c r="BV7" s="770"/>
      <c r="BW7" s="770"/>
      <c r="BX7" s="770"/>
      <c r="BY7" s="770"/>
      <c r="BZ7" s="770"/>
      <c r="CA7" s="770"/>
      <c r="CB7" s="770"/>
      <c r="CC7" s="770"/>
      <c r="CD7" s="770"/>
      <c r="CE7" s="770"/>
      <c r="CF7" s="770"/>
      <c r="CG7" s="770"/>
      <c r="CH7" s="770"/>
      <c r="CI7" s="770"/>
      <c r="CJ7" s="770"/>
      <c r="CK7" s="770"/>
      <c r="CL7" s="770"/>
    </row>
    <row r="8" spans="1:90" ht="24" customHeight="1">
      <c r="A8" s="770"/>
      <c r="B8" s="802">
        <v>2</v>
      </c>
      <c r="C8" s="803">
        <v>44287</v>
      </c>
      <c r="D8" s="804">
        <v>55410</v>
      </c>
      <c r="E8" s="804">
        <v>16840</v>
      </c>
      <c r="F8" s="804"/>
      <c r="G8" s="804">
        <v>6649</v>
      </c>
      <c r="H8" s="804">
        <v>5732</v>
      </c>
      <c r="I8" s="804">
        <v>14961</v>
      </c>
      <c r="J8" s="804">
        <v>0</v>
      </c>
      <c r="K8" s="804" t="s">
        <v>1018</v>
      </c>
      <c r="L8" s="804">
        <v>0</v>
      </c>
      <c r="M8" s="804" t="s">
        <v>1018</v>
      </c>
      <c r="N8" s="804">
        <v>0</v>
      </c>
      <c r="O8" s="804" t="s">
        <v>1018</v>
      </c>
      <c r="P8" s="804"/>
      <c r="Q8" s="804"/>
      <c r="R8" s="804">
        <v>0</v>
      </c>
      <c r="S8" s="804" t="s">
        <v>1018</v>
      </c>
      <c r="T8" s="804">
        <v>0</v>
      </c>
      <c r="U8" s="804" t="s">
        <v>1018</v>
      </c>
      <c r="V8" s="804">
        <v>0</v>
      </c>
      <c r="W8" s="804" t="s">
        <v>1018</v>
      </c>
      <c r="X8" s="805">
        <v>93860</v>
      </c>
      <c r="Y8" s="804">
        <f>IF(DATA!CR$273=2,IF(X8=0,0,DATA!CP284)+AP8,"")</f>
        <v>7000</v>
      </c>
      <c r="Z8" s="804">
        <f>IF(Y8=0,"",Y8)</f>
        <v>7000</v>
      </c>
      <c r="AA8" s="804">
        <f>IF(DATA!CR$273=2,IF(X8=0,0,DATA!CQ284),"")</f>
        <v>2000</v>
      </c>
      <c r="AB8" s="804">
        <f>IF(AA8=0,"",AA8)</f>
        <v>2000</v>
      </c>
      <c r="AC8" s="804">
        <f>IF(DATA!CJ$175=1,IF(X8=0,0,DATA!CR284),"")</f>
        <v>200</v>
      </c>
      <c r="AD8" s="804">
        <f>IF(DATA!CR$273=2,IF(X8=0,0,DATA!CS284),"")</f>
        <v>120</v>
      </c>
      <c r="AE8" s="804">
        <f>IF(AD8=0,"",AD8)</f>
        <v>120</v>
      </c>
      <c r="AF8" s="811"/>
      <c r="AG8" s="804">
        <v>300</v>
      </c>
      <c r="AH8" s="804" t="str">
        <f>IF(DATA!CR$273=2,DATA!CV283,"")</f>
        <v/>
      </c>
      <c r="AI8" s="804">
        <f>IF(DATA!O30="","",DATA!O30)</f>
        <v>8000</v>
      </c>
      <c r="AJ8" s="804">
        <f>SUM(Z8,AB8,AC8,AE8,AF8,AG8,AH8,AI8)</f>
        <v>17620</v>
      </c>
      <c r="AK8" s="812">
        <f t="shared" si="1"/>
        <v>76240</v>
      </c>
      <c r="AL8" s="813">
        <f>DATA!BS268</f>
        <v>0.30392000000000002</v>
      </c>
      <c r="AM8" s="814">
        <f>IF(AK8="",0,1)</f>
        <v>1</v>
      </c>
      <c r="AN8" s="815"/>
      <c r="AO8" s="784"/>
      <c r="AP8" s="809">
        <f>IF(DATA!CL$274=2,DATA!U$53,0)</f>
        <v>0</v>
      </c>
      <c r="AQ8" s="783"/>
      <c r="AR8" s="783"/>
      <c r="AS8" s="783"/>
      <c r="AT8" s="772"/>
      <c r="AU8" s="770"/>
      <c r="AV8" s="770"/>
      <c r="AW8" s="810">
        <f>IF(DATA!CL$274=2,DATA!Q$53,DATA!L$19)</f>
        <v>0</v>
      </c>
      <c r="AX8" s="770"/>
      <c r="AY8" s="770"/>
      <c r="AZ8" s="770"/>
      <c r="BA8" s="770"/>
      <c r="BB8" s="770"/>
      <c r="BC8" s="770"/>
      <c r="BD8" s="770"/>
      <c r="BE8" s="770"/>
      <c r="BF8" s="770"/>
      <c r="BG8" s="770"/>
      <c r="BH8" s="770"/>
      <c r="BI8" s="770"/>
      <c r="BJ8" s="770"/>
      <c r="BK8" s="770"/>
      <c r="BL8" s="770"/>
      <c r="BM8" s="770"/>
      <c r="BN8" s="770"/>
      <c r="BO8" s="770"/>
      <c r="BP8" s="770"/>
      <c r="BQ8" s="770"/>
      <c r="BR8" s="770"/>
      <c r="BS8" s="770"/>
      <c r="BT8" s="770"/>
      <c r="BU8" s="770"/>
      <c r="BV8" s="770"/>
      <c r="BW8" s="770"/>
      <c r="BX8" s="770"/>
      <c r="BY8" s="770"/>
      <c r="BZ8" s="770"/>
      <c r="CA8" s="770"/>
      <c r="CB8" s="770"/>
      <c r="CC8" s="770"/>
      <c r="CD8" s="770"/>
      <c r="CE8" s="770"/>
      <c r="CF8" s="770"/>
      <c r="CG8" s="770"/>
      <c r="CH8" s="770"/>
      <c r="CI8" s="770"/>
      <c r="CJ8" s="770"/>
      <c r="CK8" s="770"/>
      <c r="CL8" s="770"/>
    </row>
    <row r="9" spans="1:90" ht="24" customHeight="1">
      <c r="A9" s="770"/>
      <c r="B9" s="802">
        <v>3</v>
      </c>
      <c r="C9" s="803">
        <v>44317</v>
      </c>
      <c r="D9" s="804">
        <v>55410</v>
      </c>
      <c r="E9" s="804">
        <v>16840</v>
      </c>
      <c r="F9" s="804"/>
      <c r="G9" s="804">
        <v>6649</v>
      </c>
      <c r="H9" s="804">
        <v>5732</v>
      </c>
      <c r="I9" s="804">
        <v>14961</v>
      </c>
      <c r="J9" s="804">
        <v>0</v>
      </c>
      <c r="K9" s="804" t="s">
        <v>1018</v>
      </c>
      <c r="L9" s="804">
        <v>0</v>
      </c>
      <c r="M9" s="804" t="s">
        <v>1018</v>
      </c>
      <c r="N9" s="804">
        <v>0</v>
      </c>
      <c r="O9" s="804" t="s">
        <v>1018</v>
      </c>
      <c r="P9" s="804"/>
      <c r="Q9" s="804"/>
      <c r="R9" s="804">
        <v>0</v>
      </c>
      <c r="S9" s="804" t="s">
        <v>1018</v>
      </c>
      <c r="T9" s="804">
        <v>0</v>
      </c>
      <c r="U9" s="804" t="s">
        <v>1018</v>
      </c>
      <c r="V9" s="804">
        <v>0</v>
      </c>
      <c r="W9" s="804" t="s">
        <v>1018</v>
      </c>
      <c r="X9" s="805">
        <v>93860</v>
      </c>
      <c r="Y9" s="811">
        <f>DATA!CV319</f>
        <v>7000</v>
      </c>
      <c r="Z9" s="811">
        <f>IF(Y9=0,"",Y9)</f>
        <v>7000</v>
      </c>
      <c r="AA9" s="811">
        <f>DATA!CW319</f>
        <v>2000</v>
      </c>
      <c r="AB9" s="811">
        <f>IF(AA9=0,"",AA9)</f>
        <v>2000</v>
      </c>
      <c r="AC9" s="804">
        <f>IF(DATA!CJ$175=1,IF(X9=0,0,DATA!CR285),"")</f>
        <v>200</v>
      </c>
      <c r="AD9" s="811">
        <f>DATA!CY319</f>
        <v>120</v>
      </c>
      <c r="AE9" s="811">
        <f>IF(AD9=0,"",AD9)</f>
        <v>120</v>
      </c>
      <c r="AF9" s="811"/>
      <c r="AG9" s="804">
        <v>300</v>
      </c>
      <c r="AH9" s="811" t="str">
        <f>IF(DATA!DA319=0,"",DATA!DA319)</f>
        <v/>
      </c>
      <c r="AI9" s="804">
        <f>IF(DATA!O31="","",DATA!O31)</f>
        <v>8000</v>
      </c>
      <c r="AJ9" s="804">
        <f>SUM(Z9,AB9,AC9,AE9,AF9,AG9,AH9,AI9)</f>
        <v>17620</v>
      </c>
      <c r="AK9" s="812">
        <f t="shared" si="1"/>
        <v>76240</v>
      </c>
      <c r="AL9" s="813">
        <f>DATA!BS269</f>
        <v>0.30392000000000002</v>
      </c>
      <c r="AM9" s="814">
        <f>IF(AK9="",0,1)</f>
        <v>1</v>
      </c>
      <c r="AN9" s="815"/>
      <c r="AO9" s="784"/>
      <c r="AP9" s="809">
        <f>IF(DATA!CL$274=2,DATA!U$53,0)</f>
        <v>0</v>
      </c>
      <c r="AQ9" s="816"/>
      <c r="AR9" s="783"/>
      <c r="AS9" s="816"/>
      <c r="AT9" s="772"/>
      <c r="AU9" s="770"/>
      <c r="AV9" s="770"/>
      <c r="AW9" s="810">
        <f>IF(DATA!CL$274=2,DATA!Q$53,DATA!L$19)</f>
        <v>0</v>
      </c>
      <c r="AX9" s="770"/>
      <c r="AY9" s="770"/>
      <c r="AZ9" s="770"/>
      <c r="BA9" s="770"/>
      <c r="BB9" s="770"/>
      <c r="BC9" s="770"/>
      <c r="BD9" s="770"/>
      <c r="BE9" s="770"/>
      <c r="BF9" s="770"/>
      <c r="BG9" s="770"/>
      <c r="BH9" s="770"/>
      <c r="BI9" s="770"/>
      <c r="BJ9" s="770"/>
      <c r="BK9" s="770"/>
      <c r="BL9" s="770"/>
      <c r="BM9" s="770"/>
      <c r="BN9" s="770"/>
      <c r="BO9" s="770"/>
      <c r="BP9" s="770"/>
      <c r="BQ9" s="770"/>
      <c r="BR9" s="770"/>
      <c r="BS9" s="770"/>
      <c r="BT9" s="770"/>
      <c r="BU9" s="770"/>
      <c r="BV9" s="770"/>
      <c r="BW9" s="770"/>
      <c r="BX9" s="770"/>
      <c r="BY9" s="770"/>
      <c r="BZ9" s="770"/>
      <c r="CA9" s="770"/>
      <c r="CB9" s="770"/>
      <c r="CC9" s="770"/>
      <c r="CD9" s="770"/>
      <c r="CE9" s="770"/>
      <c r="CF9" s="770"/>
      <c r="CG9" s="770"/>
      <c r="CH9" s="770"/>
      <c r="CI9" s="770"/>
      <c r="CJ9" s="770"/>
      <c r="CK9" s="770"/>
      <c r="CL9" s="770"/>
    </row>
    <row r="10" spans="1:90" ht="24" customHeight="1">
      <c r="A10" s="770"/>
      <c r="B10" s="802">
        <v>4</v>
      </c>
      <c r="C10" s="803">
        <v>44348</v>
      </c>
      <c r="D10" s="804">
        <v>55410</v>
      </c>
      <c r="E10" s="804">
        <v>16840</v>
      </c>
      <c r="F10" s="804"/>
      <c r="G10" s="804">
        <v>6649</v>
      </c>
      <c r="H10" s="804">
        <v>5732</v>
      </c>
      <c r="I10" s="804">
        <v>14961</v>
      </c>
      <c r="J10" s="804">
        <v>0</v>
      </c>
      <c r="K10" s="804" t="s">
        <v>1018</v>
      </c>
      <c r="L10" s="804">
        <v>0</v>
      </c>
      <c r="M10" s="804" t="s">
        <v>1018</v>
      </c>
      <c r="N10" s="804">
        <v>0</v>
      </c>
      <c r="O10" s="804" t="s">
        <v>1018</v>
      </c>
      <c r="P10" s="804"/>
      <c r="Q10" s="804"/>
      <c r="R10" s="804">
        <v>0</v>
      </c>
      <c r="S10" s="804" t="s">
        <v>1018</v>
      </c>
      <c r="T10" s="804">
        <v>0</v>
      </c>
      <c r="U10" s="804" t="s">
        <v>1018</v>
      </c>
      <c r="V10" s="804">
        <v>0</v>
      </c>
      <c r="W10" s="804" t="s">
        <v>1018</v>
      </c>
      <c r="X10" s="805">
        <v>93860</v>
      </c>
      <c r="Y10" s="811">
        <f>IF(X10=0,0,DATA!CP286)+AP7</f>
        <v>7000</v>
      </c>
      <c r="Z10" s="811">
        <f t="shared" ref="Z10:Z18" si="2">IF(Y10=0,"",Y10)</f>
        <v>7000</v>
      </c>
      <c r="AA10" s="811">
        <f>IF(X10=0,0,DATA!CQ286)</f>
        <v>2000</v>
      </c>
      <c r="AB10" s="811">
        <f t="shared" ref="AB10:AB18" si="3">IF(AA10=0,"",AA10)</f>
        <v>2000</v>
      </c>
      <c r="AC10" s="811">
        <f>IF(DATA!CJ$175=1,IF(X10=0,0,DATA!CR286),"")</f>
        <v>200</v>
      </c>
      <c r="AD10" s="811">
        <f>IF(X10=0,0,DATA!CS286)</f>
        <v>120</v>
      </c>
      <c r="AE10" s="811">
        <f t="shared" ref="AE10:AE18" si="4">IF(AD10=0,"",AD10)</f>
        <v>120</v>
      </c>
      <c r="AF10" s="811"/>
      <c r="AG10" s="804">
        <v>300</v>
      </c>
      <c r="AH10" s="811" t="str">
        <f>DATA!CV286</f>
        <v/>
      </c>
      <c r="AI10" s="804">
        <f>IF(DATA!O32="","",DATA!O32)</f>
        <v>8000</v>
      </c>
      <c r="AJ10" s="804">
        <f>SUM(Z10,AB10,AC10,AE10,AF10,AG10,AH10,AI10)</f>
        <v>17620</v>
      </c>
      <c r="AK10" s="812">
        <f t="shared" si="1"/>
        <v>76240</v>
      </c>
      <c r="AL10" s="813">
        <f>DATA!BS270</f>
        <v>0.30392000000000002</v>
      </c>
      <c r="AM10" s="814">
        <f t="shared" ref="AM10:AM24" si="5">IF(AK10="",0,1)</f>
        <v>1</v>
      </c>
      <c r="AN10" s="817"/>
      <c r="AO10" s="818"/>
      <c r="AP10" s="819">
        <f>ROUND(DATA!AQ182*10/100,0)</f>
        <v>0</v>
      </c>
      <c r="AQ10" s="820"/>
      <c r="AR10" s="820"/>
      <c r="AS10" s="816"/>
      <c r="AT10" s="821"/>
      <c r="AU10" s="810"/>
      <c r="AV10" s="810"/>
      <c r="AW10" s="810">
        <f>IF(DATA!CL$274=2,DATA!Q$53,DATA!L$19)</f>
        <v>0</v>
      </c>
      <c r="AX10" s="810"/>
      <c r="AY10" s="770"/>
      <c r="AZ10" s="770"/>
      <c r="BA10" s="770"/>
      <c r="BB10" s="770"/>
      <c r="BC10" s="770"/>
      <c r="BD10" s="770"/>
      <c r="BE10" s="770"/>
      <c r="BF10" s="770"/>
      <c r="BG10" s="770"/>
      <c r="BH10" s="770"/>
      <c r="BI10" s="770"/>
      <c r="BJ10" s="770"/>
      <c r="BK10" s="770"/>
      <c r="BL10" s="770"/>
      <c r="BM10" s="770"/>
      <c r="BN10" s="770"/>
      <c r="BO10" s="770"/>
      <c r="BP10" s="770"/>
      <c r="BQ10" s="770"/>
      <c r="BR10" s="770"/>
      <c r="BS10" s="770"/>
      <c r="BT10" s="770"/>
      <c r="BU10" s="770"/>
      <c r="BV10" s="770"/>
      <c r="BW10" s="770"/>
      <c r="BX10" s="770"/>
      <c r="BY10" s="770"/>
      <c r="BZ10" s="770"/>
      <c r="CA10" s="770"/>
      <c r="CB10" s="770"/>
      <c r="CC10" s="770"/>
      <c r="CD10" s="770"/>
      <c r="CE10" s="770"/>
      <c r="CF10" s="770"/>
      <c r="CG10" s="770"/>
      <c r="CH10" s="770"/>
      <c r="CI10" s="770"/>
      <c r="CJ10" s="770"/>
      <c r="CK10" s="770"/>
      <c r="CL10" s="770"/>
    </row>
    <row r="11" spans="1:90" ht="24" customHeight="1">
      <c r="A11" s="770"/>
      <c r="B11" s="802">
        <v>5</v>
      </c>
      <c r="C11" s="803">
        <v>44378</v>
      </c>
      <c r="D11" s="804">
        <v>55410</v>
      </c>
      <c r="E11" s="804">
        <v>16840</v>
      </c>
      <c r="F11" s="804"/>
      <c r="G11" s="804">
        <v>6649</v>
      </c>
      <c r="H11" s="804">
        <v>5732</v>
      </c>
      <c r="I11" s="804">
        <v>14961</v>
      </c>
      <c r="J11" s="804">
        <v>0</v>
      </c>
      <c r="K11" s="804" t="s">
        <v>1018</v>
      </c>
      <c r="L11" s="804">
        <v>0</v>
      </c>
      <c r="M11" s="804" t="s">
        <v>1018</v>
      </c>
      <c r="N11" s="804">
        <v>0</v>
      </c>
      <c r="O11" s="804" t="s">
        <v>1018</v>
      </c>
      <c r="P11" s="804"/>
      <c r="Q11" s="804"/>
      <c r="R11" s="804">
        <v>0</v>
      </c>
      <c r="S11" s="804" t="s">
        <v>1018</v>
      </c>
      <c r="T11" s="804">
        <v>0</v>
      </c>
      <c r="U11" s="804" t="s">
        <v>1018</v>
      </c>
      <c r="V11" s="804">
        <v>0</v>
      </c>
      <c r="W11" s="804" t="s">
        <v>1018</v>
      </c>
      <c r="X11" s="805">
        <v>93860</v>
      </c>
      <c r="Y11" s="811">
        <f>IF(X11=0,0,DATA!CP287)+AP7</f>
        <v>7000</v>
      </c>
      <c r="Z11" s="811">
        <f t="shared" si="2"/>
        <v>7000</v>
      </c>
      <c r="AA11" s="811">
        <f>IF(X11=0,0,DATA!CQ287)</f>
        <v>2000</v>
      </c>
      <c r="AB11" s="811">
        <f t="shared" si="3"/>
        <v>2000</v>
      </c>
      <c r="AC11" s="811">
        <f>IF(DATA!CJ$175=1,IF(X11=0,0,DATA!CR287),"")</f>
        <v>200</v>
      </c>
      <c r="AD11" s="811">
        <f>IF(X11=0,0,DATA!CS287)</f>
        <v>120</v>
      </c>
      <c r="AE11" s="811">
        <f t="shared" si="4"/>
        <v>120</v>
      </c>
      <c r="AF11" s="811"/>
      <c r="AG11" s="804">
        <v>300</v>
      </c>
      <c r="AH11" s="811" t="str">
        <f>DATA!CV287</f>
        <v/>
      </c>
      <c r="AI11" s="804">
        <f>IF(DATA!Q29="","",DATA!Q29)</f>
        <v>8000</v>
      </c>
      <c r="AJ11" s="804">
        <f t="shared" ref="AJ11:AJ15" si="6">SUM(Z11,AB11,AC11,AE11,AF11,AG11,AH11,AI11)</f>
        <v>17620</v>
      </c>
      <c r="AK11" s="812">
        <f t="shared" si="1"/>
        <v>76240</v>
      </c>
      <c r="AL11" s="813">
        <f>DATA!BS271</f>
        <v>0.33535999999999999</v>
      </c>
      <c r="AM11" s="814">
        <f t="shared" si="5"/>
        <v>1</v>
      </c>
      <c r="AN11" s="817"/>
      <c r="AO11" s="818">
        <f>IF(DATA!CF$182=2,AP10,AP12)</f>
        <v>0</v>
      </c>
      <c r="AP11" s="822">
        <f>ROUND(DATA!AQ182*90/100,0)</f>
        <v>0</v>
      </c>
      <c r="AQ11" s="820"/>
      <c r="AR11" s="820"/>
      <c r="AS11" s="816"/>
      <c r="AT11" s="821"/>
      <c r="AU11" s="810"/>
      <c r="AV11" s="810"/>
      <c r="AW11" s="810">
        <f>IF(DATA!CL$274=2,DATA!Q$53,DATA!L$19)</f>
        <v>0</v>
      </c>
      <c r="AX11" s="810"/>
      <c r="AY11" s="770"/>
      <c r="AZ11" s="770"/>
      <c r="BA11" s="770"/>
      <c r="BB11" s="770"/>
      <c r="BC11" s="770"/>
      <c r="BD11" s="770"/>
      <c r="BE11" s="770"/>
      <c r="BF11" s="770"/>
      <c r="BG11" s="770"/>
      <c r="BH11" s="770"/>
      <c r="BI11" s="770"/>
      <c r="BJ11" s="770"/>
      <c r="BK11" s="770"/>
      <c r="BL11" s="770"/>
      <c r="BM11" s="770"/>
      <c r="BN11" s="770"/>
      <c r="BO11" s="770"/>
      <c r="BP11" s="770"/>
      <c r="BQ11" s="770"/>
      <c r="BR11" s="770"/>
      <c r="BS11" s="770"/>
      <c r="BT11" s="770"/>
      <c r="BU11" s="770"/>
      <c r="BV11" s="770"/>
      <c r="BW11" s="770"/>
      <c r="BX11" s="770"/>
      <c r="BY11" s="770"/>
      <c r="BZ11" s="770"/>
      <c r="CA11" s="770"/>
      <c r="CB11" s="770"/>
      <c r="CC11" s="770"/>
      <c r="CD11" s="770"/>
      <c r="CE11" s="770"/>
      <c r="CF11" s="770"/>
      <c r="CG11" s="770"/>
      <c r="CH11" s="770"/>
      <c r="CI11" s="770"/>
      <c r="CJ11" s="770"/>
      <c r="CK11" s="770"/>
      <c r="CL11" s="770"/>
    </row>
    <row r="12" spans="1:90" ht="24" customHeight="1">
      <c r="A12" s="770"/>
      <c r="B12" s="802">
        <v>6</v>
      </c>
      <c r="C12" s="803">
        <v>44409</v>
      </c>
      <c r="D12" s="804">
        <v>55410</v>
      </c>
      <c r="E12" s="811">
        <v>18582</v>
      </c>
      <c r="F12" s="811"/>
      <c r="G12" s="811">
        <v>6649</v>
      </c>
      <c r="H12" s="811">
        <f>IF(DATA!CL$274=2,DATA!L$24,DATA!CL288)</f>
        <v>5891</v>
      </c>
      <c r="I12" s="804">
        <v>14961</v>
      </c>
      <c r="J12" s="804">
        <f>DATA!L$13</f>
        <v>0</v>
      </c>
      <c r="K12" s="804" t="str">
        <f t="shared" ref="K12" si="7">IF(J12=0,"",J12)</f>
        <v/>
      </c>
      <c r="L12" s="811">
        <f>DATA!CH288</f>
        <v>0</v>
      </c>
      <c r="M12" s="804" t="str">
        <f t="shared" ref="M12" si="8">IF(L12=0,"",L12)</f>
        <v/>
      </c>
      <c r="N12" s="811">
        <f>DATA!CZ288</f>
        <v>0</v>
      </c>
      <c r="O12" s="804" t="str">
        <f t="shared" ref="O12" si="9">IF(N12=0,"",N12)</f>
        <v/>
      </c>
      <c r="P12" s="804"/>
      <c r="Q12" s="811"/>
      <c r="R12" s="811">
        <f>DATA!CJ288</f>
        <v>0</v>
      </c>
      <c r="S12" s="804" t="str">
        <f t="shared" ref="S12" si="10">IF(R12=0,"",R12)</f>
        <v/>
      </c>
      <c r="T12" s="811" t="str">
        <f>IF(DATA!DK183=0,"",DATA!DK183)</f>
        <v/>
      </c>
      <c r="U12" s="811" t="str">
        <f t="shared" ref="U12" si="11">T12</f>
        <v/>
      </c>
      <c r="V12" s="811">
        <f>DATA!DF167</f>
        <v>0</v>
      </c>
      <c r="W12" s="804" t="str">
        <f t="shared" ref="W12" si="12">IF(V12=0,"",V12)</f>
        <v/>
      </c>
      <c r="X12" s="805">
        <f t="shared" si="0"/>
        <v>95602</v>
      </c>
      <c r="Y12" s="811">
        <f>IF(X12=0,0,DATA!CP288)+AP7</f>
        <v>7000</v>
      </c>
      <c r="Z12" s="811">
        <f t="shared" si="2"/>
        <v>7000</v>
      </c>
      <c r="AA12" s="811">
        <f>IF(X12=0,0,DATA!CQ288)</f>
        <v>2000</v>
      </c>
      <c r="AB12" s="811">
        <f t="shared" si="3"/>
        <v>2000</v>
      </c>
      <c r="AC12" s="811">
        <f>IF(DATA!CJ$175=1,IF(X12=0,0,DATA!CR288),"")</f>
        <v>200</v>
      </c>
      <c r="AD12" s="811">
        <f>IF(X12=0,0,DATA!CS288)</f>
        <v>120</v>
      </c>
      <c r="AE12" s="811">
        <f t="shared" si="4"/>
        <v>120</v>
      </c>
      <c r="AF12" s="811" t="str">
        <f>IF(DATA!CN196=1,Bill!#REF!,"")</f>
        <v/>
      </c>
      <c r="AG12" s="804">
        <v>300</v>
      </c>
      <c r="AH12" s="811" t="str">
        <f>DATA!CV288</f>
        <v/>
      </c>
      <c r="AI12" s="804">
        <f>IF(DATA!Q30="","",DATA!Q30)</f>
        <v>8000</v>
      </c>
      <c r="AJ12" s="804">
        <f t="shared" si="6"/>
        <v>17620</v>
      </c>
      <c r="AK12" s="812">
        <f t="shared" si="1"/>
        <v>77982</v>
      </c>
      <c r="AL12" s="813">
        <f>DATA!BS272</f>
        <v>0.33535999999999999</v>
      </c>
      <c r="AM12" s="814">
        <f t="shared" si="5"/>
        <v>1</v>
      </c>
      <c r="AN12" s="817"/>
      <c r="AO12" s="818"/>
      <c r="AP12" s="823">
        <f>SUM(AP10:AP11)</f>
        <v>0</v>
      </c>
      <c r="AQ12" s="820"/>
      <c r="AR12" s="820"/>
      <c r="AS12" s="816"/>
      <c r="AT12" s="821"/>
      <c r="AU12" s="810"/>
      <c r="AV12" s="810"/>
      <c r="AW12" s="810">
        <f>IF(DATA!CL$274=2,DATA!Q$53,DATA!L$19)</f>
        <v>0</v>
      </c>
      <c r="AX12" s="810"/>
      <c r="AY12" s="770"/>
      <c r="AZ12" s="770"/>
      <c r="BA12" s="770"/>
      <c r="BB12" s="770"/>
      <c r="BC12" s="770"/>
      <c r="BD12" s="770"/>
      <c r="BE12" s="770"/>
      <c r="BF12" s="770"/>
      <c r="BG12" s="770"/>
      <c r="BH12" s="770"/>
      <c r="BI12" s="770"/>
      <c r="BJ12" s="770"/>
      <c r="BK12" s="770"/>
      <c r="BL12" s="770"/>
      <c r="BM12" s="770"/>
      <c r="BN12" s="770"/>
      <c r="BO12" s="770"/>
      <c r="BP12" s="770"/>
      <c r="BQ12" s="770"/>
      <c r="BR12" s="770"/>
      <c r="BS12" s="770"/>
      <c r="BT12" s="770"/>
      <c r="BU12" s="770"/>
      <c r="BV12" s="770"/>
      <c r="BW12" s="770"/>
      <c r="BX12" s="770"/>
      <c r="BY12" s="770"/>
      <c r="BZ12" s="770"/>
      <c r="CA12" s="770"/>
      <c r="CB12" s="770"/>
      <c r="CC12" s="770"/>
      <c r="CD12" s="770"/>
      <c r="CE12" s="770"/>
      <c r="CF12" s="770"/>
      <c r="CG12" s="770"/>
      <c r="CH12" s="770"/>
      <c r="CI12" s="770"/>
      <c r="CJ12" s="770"/>
      <c r="CK12" s="770"/>
      <c r="CL12" s="770"/>
    </row>
    <row r="13" spans="1:90" ht="24" customHeight="1">
      <c r="A13" s="770"/>
      <c r="B13" s="802">
        <v>7</v>
      </c>
      <c r="C13" s="803">
        <v>44440</v>
      </c>
      <c r="D13" s="804">
        <v>55410</v>
      </c>
      <c r="E13" s="811">
        <v>18582</v>
      </c>
      <c r="F13" s="811"/>
      <c r="G13" s="811">
        <v>6649</v>
      </c>
      <c r="H13" s="811">
        <v>5891</v>
      </c>
      <c r="I13" s="804">
        <v>14961</v>
      </c>
      <c r="J13" s="804">
        <v>0</v>
      </c>
      <c r="K13" s="804" t="s">
        <v>1018</v>
      </c>
      <c r="L13" s="811">
        <v>0</v>
      </c>
      <c r="M13" s="804" t="s">
        <v>1018</v>
      </c>
      <c r="N13" s="811">
        <v>0</v>
      </c>
      <c r="O13" s="804" t="s">
        <v>1018</v>
      </c>
      <c r="P13" s="804"/>
      <c r="Q13" s="811"/>
      <c r="R13" s="811">
        <v>0</v>
      </c>
      <c r="S13" s="804" t="s">
        <v>1018</v>
      </c>
      <c r="T13" s="811" t="s">
        <v>1018</v>
      </c>
      <c r="U13" s="811" t="s">
        <v>1018</v>
      </c>
      <c r="V13" s="811">
        <v>0</v>
      </c>
      <c r="W13" s="804" t="s">
        <v>1018</v>
      </c>
      <c r="X13" s="805">
        <v>95602</v>
      </c>
      <c r="Y13" s="811">
        <f>IF(X13=0,0,DATA!CP289)+AP7</f>
        <v>7000</v>
      </c>
      <c r="Z13" s="811">
        <f t="shared" si="2"/>
        <v>7000</v>
      </c>
      <c r="AA13" s="811">
        <f>IF(X13=0,0,DATA!CQ289)</f>
        <v>2000</v>
      </c>
      <c r="AB13" s="811">
        <f t="shared" si="3"/>
        <v>2000</v>
      </c>
      <c r="AC13" s="811">
        <f>IF(DATA!CJ$175=1,IF(X13=0,0,DATA!CR289),"")</f>
        <v>200</v>
      </c>
      <c r="AD13" s="811">
        <f>IF(X13=0,0,DATA!CS289)</f>
        <v>120</v>
      </c>
      <c r="AE13" s="811">
        <f t="shared" si="4"/>
        <v>120</v>
      </c>
      <c r="AF13" s="811"/>
      <c r="AG13" s="804">
        <v>300</v>
      </c>
      <c r="AH13" s="811" t="str">
        <f>DATA!CV289</f>
        <v/>
      </c>
      <c r="AI13" s="804">
        <f>IF(DATA!Q31="","",DATA!Q31)</f>
        <v>8000</v>
      </c>
      <c r="AJ13" s="804">
        <f t="shared" si="6"/>
        <v>17620</v>
      </c>
      <c r="AK13" s="812">
        <f t="shared" si="1"/>
        <v>77982</v>
      </c>
      <c r="AL13" s="813">
        <f>DATA!BS273</f>
        <v>0.33535999999999999</v>
      </c>
      <c r="AM13" s="814">
        <f t="shared" si="5"/>
        <v>1</v>
      </c>
      <c r="AN13" s="820"/>
      <c r="AO13" s="784"/>
      <c r="AP13" s="784"/>
      <c r="AQ13" s="784"/>
      <c r="AR13" s="784"/>
      <c r="AS13" s="816"/>
      <c r="AT13" s="821"/>
      <c r="AU13" s="810"/>
      <c r="AV13" s="810"/>
      <c r="AW13" s="810">
        <f>IF(DATA!CL$274=2,DATA!Q$53,DATA!L$19)</f>
        <v>0</v>
      </c>
      <c r="AX13" s="810"/>
      <c r="AY13" s="770"/>
      <c r="AZ13" s="770"/>
      <c r="BA13" s="770"/>
      <c r="BB13" s="770"/>
      <c r="BC13" s="770"/>
      <c r="BD13" s="770"/>
      <c r="BE13" s="770"/>
      <c r="BF13" s="770"/>
      <c r="BG13" s="770"/>
      <c r="BH13" s="770"/>
      <c r="BI13" s="770"/>
      <c r="BJ13" s="770"/>
      <c r="BK13" s="770"/>
      <c r="BL13" s="770"/>
      <c r="BM13" s="770"/>
      <c r="BN13" s="770"/>
      <c r="BO13" s="770"/>
      <c r="BP13" s="770"/>
      <c r="BQ13" s="770"/>
      <c r="BR13" s="770"/>
      <c r="BS13" s="770"/>
      <c r="BT13" s="770"/>
      <c r="BU13" s="770"/>
      <c r="BV13" s="770"/>
      <c r="BW13" s="770"/>
      <c r="BX13" s="770"/>
      <c r="BY13" s="770"/>
      <c r="BZ13" s="770"/>
      <c r="CA13" s="770"/>
      <c r="CB13" s="770"/>
      <c r="CC13" s="770"/>
      <c r="CD13" s="770"/>
      <c r="CE13" s="770"/>
      <c r="CF13" s="770"/>
      <c r="CG13" s="770"/>
      <c r="CH13" s="770"/>
      <c r="CI13" s="770"/>
      <c r="CJ13" s="770"/>
      <c r="CK13" s="770"/>
      <c r="CL13" s="770"/>
    </row>
    <row r="14" spans="1:90" ht="24" customHeight="1">
      <c r="A14" s="770"/>
      <c r="B14" s="802">
        <v>8</v>
      </c>
      <c r="C14" s="803">
        <v>44470</v>
      </c>
      <c r="D14" s="804">
        <v>56870</v>
      </c>
      <c r="E14" s="811">
        <v>19072</v>
      </c>
      <c r="F14" s="811"/>
      <c r="G14" s="811">
        <v>6824</v>
      </c>
      <c r="H14" s="811">
        <v>5891</v>
      </c>
      <c r="I14" s="804">
        <v>15355</v>
      </c>
      <c r="J14" s="804">
        <v>0</v>
      </c>
      <c r="K14" s="804" t="s">
        <v>1018</v>
      </c>
      <c r="L14" s="811">
        <v>0</v>
      </c>
      <c r="M14" s="804" t="s">
        <v>1018</v>
      </c>
      <c r="N14" s="811">
        <v>0</v>
      </c>
      <c r="O14" s="804" t="s">
        <v>1018</v>
      </c>
      <c r="P14" s="804"/>
      <c r="Q14" s="811"/>
      <c r="R14" s="811">
        <v>0</v>
      </c>
      <c r="S14" s="804" t="s">
        <v>1018</v>
      </c>
      <c r="T14" s="811" t="s">
        <v>1018</v>
      </c>
      <c r="U14" s="811" t="s">
        <v>1018</v>
      </c>
      <c r="V14" s="811">
        <v>0</v>
      </c>
      <c r="W14" s="804" t="s">
        <v>1018</v>
      </c>
      <c r="X14" s="805">
        <v>98121</v>
      </c>
      <c r="Y14" s="811">
        <f>IF(X14=0,0,DATA!CP290)+AP7</f>
        <v>7000</v>
      </c>
      <c r="Z14" s="811">
        <f t="shared" si="2"/>
        <v>7000</v>
      </c>
      <c r="AA14" s="811">
        <f>IF(X14=0,0,DATA!CQ290)</f>
        <v>2000</v>
      </c>
      <c r="AB14" s="811">
        <f t="shared" si="3"/>
        <v>2000</v>
      </c>
      <c r="AC14" s="811">
        <f>IF(DATA!CJ$175=1,IF(X14=0,0,DATA!CR290),"")</f>
        <v>200</v>
      </c>
      <c r="AD14" s="811">
        <f>IF(X14=0,0,DATA!CS290)</f>
        <v>120</v>
      </c>
      <c r="AE14" s="811">
        <f t="shared" si="4"/>
        <v>120</v>
      </c>
      <c r="AF14" s="811"/>
      <c r="AG14" s="804">
        <v>300</v>
      </c>
      <c r="AH14" s="811" t="str">
        <f>DATA!CV290</f>
        <v/>
      </c>
      <c r="AI14" s="804">
        <f>IF(DATA!Q32="","",DATA!Q32)</f>
        <v>8000</v>
      </c>
      <c r="AJ14" s="804">
        <f t="shared" si="6"/>
        <v>17620</v>
      </c>
      <c r="AK14" s="812">
        <f t="shared" si="1"/>
        <v>80501</v>
      </c>
      <c r="AL14" s="813">
        <f>DATA!BS274</f>
        <v>0.33535999999999999</v>
      </c>
      <c r="AM14" s="814">
        <f t="shared" si="5"/>
        <v>1</v>
      </c>
      <c r="AN14" s="820"/>
      <c r="AO14" s="784"/>
      <c r="AP14" s="824" t="s">
        <v>536</v>
      </c>
      <c r="AQ14" s="824" t="s">
        <v>532</v>
      </c>
      <c r="AR14" s="784"/>
      <c r="AS14" s="816"/>
      <c r="AT14" s="821"/>
      <c r="AU14" s="810"/>
      <c r="AV14" s="810"/>
      <c r="AW14" s="810">
        <f>IF(DATA!CL$274=2,DATA!Q$53,DATA!L$19)</f>
        <v>0</v>
      </c>
      <c r="AX14" s="810"/>
      <c r="AY14" s="770"/>
      <c r="AZ14" s="770"/>
      <c r="BA14" s="770"/>
      <c r="BB14" s="770"/>
      <c r="BC14" s="770"/>
      <c r="BD14" s="770"/>
      <c r="BE14" s="770"/>
      <c r="BF14" s="770"/>
      <c r="BG14" s="770"/>
      <c r="BH14" s="770"/>
      <c r="BI14" s="770"/>
      <c r="BJ14" s="770"/>
      <c r="BK14" s="770"/>
      <c r="BL14" s="770"/>
      <c r="BM14" s="770"/>
      <c r="BN14" s="770"/>
      <c r="BO14" s="770"/>
      <c r="BP14" s="770"/>
      <c r="BQ14" s="770"/>
      <c r="BR14" s="770"/>
      <c r="BS14" s="770"/>
      <c r="BT14" s="770"/>
      <c r="BU14" s="770"/>
      <c r="BV14" s="770"/>
      <c r="BW14" s="770"/>
      <c r="BX14" s="770"/>
      <c r="BY14" s="770"/>
      <c r="BZ14" s="770"/>
      <c r="CA14" s="770"/>
      <c r="CB14" s="770"/>
      <c r="CC14" s="770"/>
      <c r="CD14" s="770"/>
      <c r="CE14" s="770"/>
      <c r="CF14" s="770"/>
      <c r="CG14" s="770"/>
      <c r="CH14" s="770"/>
      <c r="CI14" s="770"/>
      <c r="CJ14" s="770"/>
      <c r="CK14" s="770"/>
      <c r="CL14" s="770"/>
    </row>
    <row r="15" spans="1:90" ht="24" customHeight="1">
      <c r="A15" s="770"/>
      <c r="B15" s="802">
        <v>9</v>
      </c>
      <c r="C15" s="803">
        <v>44501</v>
      </c>
      <c r="D15" s="804">
        <v>56870</v>
      </c>
      <c r="E15" s="811">
        <v>19072</v>
      </c>
      <c r="F15" s="811"/>
      <c r="G15" s="811">
        <v>6824</v>
      </c>
      <c r="H15" s="811">
        <v>5891</v>
      </c>
      <c r="I15" s="804">
        <v>15355</v>
      </c>
      <c r="J15" s="804">
        <v>0</v>
      </c>
      <c r="K15" s="804" t="s">
        <v>1018</v>
      </c>
      <c r="L15" s="811">
        <v>0</v>
      </c>
      <c r="M15" s="804" t="s">
        <v>1018</v>
      </c>
      <c r="N15" s="811">
        <v>0</v>
      </c>
      <c r="O15" s="804" t="s">
        <v>1018</v>
      </c>
      <c r="P15" s="804"/>
      <c r="Q15" s="811"/>
      <c r="R15" s="811">
        <v>0</v>
      </c>
      <c r="S15" s="804" t="s">
        <v>1018</v>
      </c>
      <c r="T15" s="811" t="s">
        <v>1018</v>
      </c>
      <c r="U15" s="811" t="s">
        <v>1018</v>
      </c>
      <c r="V15" s="811">
        <v>0</v>
      </c>
      <c r="W15" s="804" t="s">
        <v>1018</v>
      </c>
      <c r="X15" s="805">
        <v>98121</v>
      </c>
      <c r="Y15" s="811">
        <f>IF(X15=0,0,DATA!CP291)+AP7</f>
        <v>7000</v>
      </c>
      <c r="Z15" s="811">
        <f t="shared" si="2"/>
        <v>7000</v>
      </c>
      <c r="AA15" s="811">
        <f>IF(X15=0,0,DATA!CQ291)</f>
        <v>2000</v>
      </c>
      <c r="AB15" s="811">
        <f t="shared" si="3"/>
        <v>2000</v>
      </c>
      <c r="AC15" s="811">
        <f>IF(DATA!CJ$175=1,IF(X15=0,0,DATA!CR291),"")</f>
        <v>200</v>
      </c>
      <c r="AD15" s="811">
        <f>IF(X15=0,0,DATA!CS291)</f>
        <v>120</v>
      </c>
      <c r="AE15" s="811">
        <f t="shared" si="4"/>
        <v>120</v>
      </c>
      <c r="AF15" s="811"/>
      <c r="AG15" s="804">
        <v>300</v>
      </c>
      <c r="AH15" s="811" t="str">
        <f>DATA!CV291</f>
        <v/>
      </c>
      <c r="AI15" s="804">
        <f>IF(DATA!T29="","",DATA!T29)</f>
        <v>8000</v>
      </c>
      <c r="AJ15" s="804">
        <f t="shared" si="6"/>
        <v>17620</v>
      </c>
      <c r="AK15" s="812">
        <f t="shared" si="1"/>
        <v>80501</v>
      </c>
      <c r="AL15" s="813">
        <f>DATA!BR275</f>
        <v>0.30392000000000002</v>
      </c>
      <c r="AM15" s="814">
        <f>IF(AK15="",0,1)</f>
        <v>1</v>
      </c>
      <c r="AN15" s="817"/>
      <c r="AO15" s="784">
        <f>IF(DATA!CF$182=2,AQ15,0)</f>
        <v>0</v>
      </c>
      <c r="AP15" s="825">
        <f>ROUND(DATA!AQ181*10/100,0)</f>
        <v>0</v>
      </c>
      <c r="AQ15" s="784">
        <f>ROUND(DATA!AT183*10/100,0)</f>
        <v>3</v>
      </c>
      <c r="AR15" s="784"/>
      <c r="AS15" s="816"/>
      <c r="AT15" s="821"/>
      <c r="AU15" s="809"/>
      <c r="AV15" s="810"/>
      <c r="AW15" s="810">
        <f>IF(DATA!CL$274=2,DATA!Q$53,DATA!L$19)</f>
        <v>0</v>
      </c>
      <c r="AX15" s="810"/>
      <c r="AY15" s="770"/>
      <c r="AZ15" s="770"/>
      <c r="BA15" s="770"/>
      <c r="BB15" s="770"/>
      <c r="BC15" s="770"/>
      <c r="BD15" s="770"/>
      <c r="BE15" s="770"/>
      <c r="BF15" s="770"/>
      <c r="BG15" s="770"/>
      <c r="BH15" s="770"/>
      <c r="BI15" s="770"/>
      <c r="BJ15" s="770"/>
      <c r="BK15" s="770"/>
      <c r="BL15" s="770"/>
      <c r="BM15" s="770"/>
      <c r="BN15" s="770"/>
      <c r="BO15" s="770"/>
      <c r="BP15" s="770"/>
      <c r="BQ15" s="770"/>
      <c r="BR15" s="770"/>
      <c r="BS15" s="770"/>
      <c r="BT15" s="770"/>
      <c r="BU15" s="770"/>
      <c r="BV15" s="770"/>
      <c r="BW15" s="770"/>
      <c r="BX15" s="770"/>
      <c r="BY15" s="770"/>
      <c r="BZ15" s="770"/>
      <c r="CA15" s="770"/>
      <c r="CB15" s="770"/>
      <c r="CC15" s="770"/>
      <c r="CD15" s="770"/>
      <c r="CE15" s="770"/>
      <c r="CF15" s="770"/>
      <c r="CG15" s="770"/>
      <c r="CH15" s="770"/>
      <c r="CI15" s="770"/>
      <c r="CJ15" s="770"/>
      <c r="CK15" s="770"/>
      <c r="CL15" s="770"/>
    </row>
    <row r="16" spans="1:90" ht="24" customHeight="1">
      <c r="A16" s="770"/>
      <c r="B16" s="802">
        <v>10</v>
      </c>
      <c r="C16" s="803">
        <v>44531</v>
      </c>
      <c r="D16" s="804">
        <v>56870</v>
      </c>
      <c r="E16" s="811">
        <v>19072</v>
      </c>
      <c r="F16" s="811"/>
      <c r="G16" s="811">
        <v>6824</v>
      </c>
      <c r="H16" s="811">
        <v>5891</v>
      </c>
      <c r="I16" s="804">
        <v>15355</v>
      </c>
      <c r="J16" s="804">
        <v>0</v>
      </c>
      <c r="K16" s="804" t="s">
        <v>1018</v>
      </c>
      <c r="L16" s="811">
        <v>0</v>
      </c>
      <c r="M16" s="804" t="s">
        <v>1018</v>
      </c>
      <c r="N16" s="811">
        <v>0</v>
      </c>
      <c r="O16" s="804" t="s">
        <v>1018</v>
      </c>
      <c r="P16" s="804"/>
      <c r="Q16" s="811"/>
      <c r="R16" s="811">
        <v>0</v>
      </c>
      <c r="S16" s="804" t="s">
        <v>1018</v>
      </c>
      <c r="T16" s="811" t="s">
        <v>1018</v>
      </c>
      <c r="U16" s="811" t="s">
        <v>1018</v>
      </c>
      <c r="V16" s="811">
        <v>0</v>
      </c>
      <c r="W16" s="804" t="s">
        <v>1018</v>
      </c>
      <c r="X16" s="805">
        <v>98121</v>
      </c>
      <c r="Y16" s="811">
        <f>IF(X16=0,0,DATA!CP292)</f>
        <v>7000</v>
      </c>
      <c r="Z16" s="811">
        <f t="shared" si="2"/>
        <v>7000</v>
      </c>
      <c r="AA16" s="811">
        <f>IF(X16=0,0,DATA!CQ292)</f>
        <v>2000</v>
      </c>
      <c r="AB16" s="811">
        <f t="shared" si="3"/>
        <v>2000</v>
      </c>
      <c r="AC16" s="811">
        <f>IF(DATA!CJ$175=1,IF(X16=0,0,DATA!CR292),"")</f>
        <v>200</v>
      </c>
      <c r="AD16" s="811">
        <f>IF(X16=0,0,DATA!CS292)</f>
        <v>120</v>
      </c>
      <c r="AE16" s="811">
        <f t="shared" si="4"/>
        <v>120</v>
      </c>
      <c r="AF16" s="811">
        <v>100</v>
      </c>
      <c r="AG16" s="804">
        <v>300</v>
      </c>
      <c r="AH16" s="811"/>
      <c r="AI16" s="804">
        <f>IF(DATA!T30="","",DATA!T30)</f>
        <v>20000</v>
      </c>
      <c r="AJ16" s="804">
        <f>SUM(Z16,AB16,AC16,AE16,AF16,AG16,AH16,AI16)</f>
        <v>29720</v>
      </c>
      <c r="AK16" s="812">
        <f t="shared" si="1"/>
        <v>68401</v>
      </c>
      <c r="AL16" s="813">
        <f>DATA!BR276</f>
        <v>0.30392000000000002</v>
      </c>
      <c r="AM16" s="814">
        <f t="shared" si="5"/>
        <v>1</v>
      </c>
      <c r="AN16" s="820"/>
      <c r="AO16" s="825">
        <f>IF(DATA!CF$182=2,AP15,AP17)</f>
        <v>0</v>
      </c>
      <c r="AP16" s="784">
        <f>ROUND(DATA!AQ181*90/100,0)</f>
        <v>0</v>
      </c>
      <c r="AQ16" s="784">
        <f>ROUND(DATA!AT183*90/100,0)</f>
        <v>28</v>
      </c>
      <c r="AR16" s="784"/>
      <c r="AS16" s="816"/>
      <c r="AT16" s="821"/>
      <c r="AU16" s="810"/>
      <c r="AV16" s="810"/>
      <c r="AW16" s="810">
        <f>IF(DATA!CL$274=2,"",DATA!L$19)</f>
        <v>0</v>
      </c>
      <c r="AX16" s="810"/>
      <c r="AY16" s="770"/>
      <c r="AZ16" s="770"/>
      <c r="BA16" s="770"/>
      <c r="BB16" s="770"/>
      <c r="BC16" s="770"/>
      <c r="BD16" s="770"/>
      <c r="BE16" s="770"/>
      <c r="BF16" s="770"/>
      <c r="BG16" s="770"/>
      <c r="BH16" s="770"/>
      <c r="BI16" s="770"/>
      <c r="BJ16" s="770"/>
      <c r="BK16" s="770"/>
      <c r="BL16" s="770"/>
      <c r="BM16" s="770"/>
      <c r="BN16" s="770"/>
      <c r="BO16" s="770"/>
      <c r="BP16" s="770"/>
      <c r="BQ16" s="770"/>
      <c r="BR16" s="770"/>
      <c r="BS16" s="770"/>
      <c r="BT16" s="770"/>
      <c r="BU16" s="770"/>
      <c r="BV16" s="770"/>
      <c r="BW16" s="770"/>
      <c r="BX16" s="770"/>
      <c r="BY16" s="770"/>
      <c r="BZ16" s="770"/>
      <c r="CA16" s="770"/>
      <c r="CB16" s="770"/>
      <c r="CC16" s="770"/>
      <c r="CD16" s="770"/>
      <c r="CE16" s="770"/>
      <c r="CF16" s="770"/>
      <c r="CG16" s="770"/>
      <c r="CH16" s="770"/>
      <c r="CI16" s="770"/>
      <c r="CJ16" s="770"/>
      <c r="CK16" s="770"/>
      <c r="CL16" s="770"/>
    </row>
    <row r="17" spans="1:90" ht="24" customHeight="1">
      <c r="A17" s="770"/>
      <c r="B17" s="802">
        <v>11</v>
      </c>
      <c r="C17" s="803">
        <v>44562</v>
      </c>
      <c r="D17" s="804">
        <v>56870</v>
      </c>
      <c r="E17" s="811">
        <v>22052</v>
      </c>
      <c r="F17" s="811"/>
      <c r="G17" s="811">
        <v>6824</v>
      </c>
      <c r="H17" s="811">
        <v>5891</v>
      </c>
      <c r="I17" s="804">
        <v>15355</v>
      </c>
      <c r="J17" s="804">
        <v>0</v>
      </c>
      <c r="K17" s="804" t="s">
        <v>1018</v>
      </c>
      <c r="L17" s="811">
        <v>0</v>
      </c>
      <c r="M17" s="804" t="s">
        <v>1018</v>
      </c>
      <c r="N17" s="811">
        <v>0</v>
      </c>
      <c r="O17" s="804" t="s">
        <v>1018</v>
      </c>
      <c r="P17" s="804"/>
      <c r="Q17" s="811"/>
      <c r="R17" s="811">
        <v>0</v>
      </c>
      <c r="S17" s="804" t="s">
        <v>1018</v>
      </c>
      <c r="T17" s="811" t="s">
        <v>1018</v>
      </c>
      <c r="U17" s="811" t="s">
        <v>1018</v>
      </c>
      <c r="V17" s="811">
        <v>0</v>
      </c>
      <c r="W17" s="804" t="s">
        <v>1018</v>
      </c>
      <c r="X17" s="805">
        <v>101101</v>
      </c>
      <c r="Y17" s="811">
        <f>IF(X17=0,0,DATA!CP293)</f>
        <v>7000</v>
      </c>
      <c r="Z17" s="811">
        <f t="shared" si="2"/>
        <v>7000</v>
      </c>
      <c r="AA17" s="811">
        <f>IF(X17=0,0,DATA!CQ293)</f>
        <v>2000</v>
      </c>
      <c r="AB17" s="811">
        <f t="shared" si="3"/>
        <v>2000</v>
      </c>
      <c r="AC17" s="811">
        <f>IF(DATA!CJ$175=1,IF(X17=0,0,DATA!CR293),"")</f>
        <v>200</v>
      </c>
      <c r="AD17" s="811">
        <f>IF(X17=0,0,DATA!CS293)</f>
        <v>120</v>
      </c>
      <c r="AE17" s="811">
        <f t="shared" si="4"/>
        <v>120</v>
      </c>
      <c r="AF17" s="811"/>
      <c r="AG17" s="804">
        <v>300</v>
      </c>
      <c r="AH17" s="811" t="str">
        <f>DATA!CV293</f>
        <v/>
      </c>
      <c r="AI17" s="804" t="str">
        <f>IF(DATA!T31="","",DATA!T31)</f>
        <v/>
      </c>
      <c r="AJ17" s="804">
        <f>SUM(Z17,AB17,AC17,AE17,AF17,AG17,AH17,AI17)</f>
        <v>9620</v>
      </c>
      <c r="AK17" s="812">
        <f t="shared" si="1"/>
        <v>91481</v>
      </c>
      <c r="AL17" s="813">
        <f>DATA!BR277</f>
        <v>0.33535999999999999</v>
      </c>
      <c r="AM17" s="814">
        <f t="shared" si="5"/>
        <v>1</v>
      </c>
      <c r="AN17" s="826"/>
      <c r="AO17" s="827">
        <f>IF(DATA!CF$182=2,AQ15,AQ17)</f>
        <v>31</v>
      </c>
      <c r="AP17" s="827">
        <f>SUM(AP15:AP16)</f>
        <v>0</v>
      </c>
      <c r="AQ17" s="827">
        <f>SUM(AQ15:AQ16)</f>
        <v>31</v>
      </c>
      <c r="AR17" s="827"/>
      <c r="AS17" s="816"/>
      <c r="AT17" s="821"/>
      <c r="AU17" s="828"/>
      <c r="AV17" s="828"/>
      <c r="AW17" s="810">
        <f>IF(DATA!CL$274=2,"",DATA!L$19)</f>
        <v>0</v>
      </c>
      <c r="AX17" s="828"/>
      <c r="AY17" s="829"/>
      <c r="AZ17" s="829"/>
      <c r="BA17" s="770"/>
      <c r="BB17" s="770"/>
      <c r="BC17" s="770"/>
      <c r="BD17" s="770"/>
      <c r="BE17" s="770"/>
      <c r="BF17" s="770"/>
      <c r="BG17" s="770"/>
      <c r="BH17" s="770"/>
      <c r="BI17" s="770"/>
      <c r="BJ17" s="770"/>
      <c r="BK17" s="770"/>
      <c r="BL17" s="770"/>
      <c r="BM17" s="770"/>
      <c r="BN17" s="770"/>
      <c r="BO17" s="770"/>
      <c r="BP17" s="770"/>
      <c r="BQ17" s="770"/>
      <c r="BR17" s="770"/>
      <c r="BS17" s="770"/>
      <c r="BT17" s="770"/>
      <c r="BU17" s="770"/>
      <c r="BV17" s="770"/>
      <c r="BW17" s="770"/>
      <c r="BX17" s="770"/>
      <c r="BY17" s="770"/>
      <c r="BZ17" s="770"/>
      <c r="CA17" s="770"/>
      <c r="CB17" s="770"/>
      <c r="CC17" s="770"/>
      <c r="CD17" s="770"/>
      <c r="CE17" s="770"/>
      <c r="CF17" s="770"/>
      <c r="CG17" s="770"/>
      <c r="CH17" s="770"/>
      <c r="CI17" s="770"/>
      <c r="CJ17" s="770"/>
      <c r="CK17" s="770"/>
      <c r="CL17" s="770"/>
    </row>
    <row r="18" spans="1:90" ht="24" customHeight="1">
      <c r="A18" s="770"/>
      <c r="B18" s="802">
        <v>12</v>
      </c>
      <c r="C18" s="803">
        <v>44593</v>
      </c>
      <c r="D18" s="804">
        <v>56870</v>
      </c>
      <c r="E18" s="811">
        <v>22052</v>
      </c>
      <c r="F18" s="811"/>
      <c r="G18" s="811">
        <v>6824</v>
      </c>
      <c r="H18" s="811">
        <v>5891</v>
      </c>
      <c r="I18" s="804">
        <v>15355</v>
      </c>
      <c r="J18" s="804">
        <v>0</v>
      </c>
      <c r="K18" s="804" t="s">
        <v>1018</v>
      </c>
      <c r="L18" s="811">
        <v>0</v>
      </c>
      <c r="M18" s="804" t="s">
        <v>1018</v>
      </c>
      <c r="N18" s="811">
        <v>0</v>
      </c>
      <c r="O18" s="804" t="s">
        <v>1018</v>
      </c>
      <c r="P18" s="804"/>
      <c r="Q18" s="811"/>
      <c r="R18" s="811">
        <v>0</v>
      </c>
      <c r="S18" s="804" t="s">
        <v>1018</v>
      </c>
      <c r="T18" s="811" t="s">
        <v>1018</v>
      </c>
      <c r="U18" s="811" t="s">
        <v>1018</v>
      </c>
      <c r="V18" s="811">
        <v>0</v>
      </c>
      <c r="W18" s="804" t="s">
        <v>1018</v>
      </c>
      <c r="X18" s="805">
        <v>101101</v>
      </c>
      <c r="Y18" s="811">
        <f>IF(X18=0,0,DATA!CP294)</f>
        <v>7000</v>
      </c>
      <c r="Z18" s="811">
        <f t="shared" si="2"/>
        <v>7000</v>
      </c>
      <c r="AA18" s="811">
        <f>IF(X18=0,0,DATA!CQ294)</f>
        <v>2000</v>
      </c>
      <c r="AB18" s="811">
        <f t="shared" si="3"/>
        <v>2000</v>
      </c>
      <c r="AC18" s="811">
        <f>IF(DATA!CJ$175=1,IF(X18=0,0,DATA!CR294),"")</f>
        <v>200</v>
      </c>
      <c r="AD18" s="811">
        <f>IF(X18=0,0,DATA!CS294)</f>
        <v>120</v>
      </c>
      <c r="AE18" s="811">
        <f t="shared" si="4"/>
        <v>120</v>
      </c>
      <c r="AF18" s="811"/>
      <c r="AG18" s="804">
        <v>300</v>
      </c>
      <c r="AH18" s="811" t="str">
        <f>DATA!CV294</f>
        <v/>
      </c>
      <c r="AI18" s="804" t="str">
        <f>IF(DATA!T32="","",DATA!T32)</f>
        <v/>
      </c>
      <c r="AJ18" s="804">
        <f>SUM(Z18,AB18,AC18,AE18,AF18,AG18,AH18,AI18)</f>
        <v>9620</v>
      </c>
      <c r="AK18" s="812">
        <f t="shared" si="1"/>
        <v>91481</v>
      </c>
      <c r="AL18" s="830">
        <f>DATA!BR278</f>
        <v>0.33535999999999999</v>
      </c>
      <c r="AM18" s="814">
        <f t="shared" si="5"/>
        <v>1</v>
      </c>
      <c r="AN18" s="829"/>
      <c r="AO18" s="831"/>
      <c r="AP18" s="831"/>
      <c r="AQ18" s="831"/>
      <c r="AR18" s="831"/>
      <c r="AS18" s="816"/>
      <c r="AT18" s="810">
        <f>IF(DATA!CL$274=2,DATA!#REF!,0)</f>
        <v>0</v>
      </c>
      <c r="AU18" s="828"/>
      <c r="AV18" s="828"/>
      <c r="AW18" s="810">
        <f>IF(DATA!CL$274=2,"",DATA!L$19)</f>
        <v>0</v>
      </c>
      <c r="AX18" s="828"/>
      <c r="AY18" s="829"/>
      <c r="AZ18" s="829"/>
      <c r="BA18" s="770"/>
      <c r="BB18" s="770"/>
      <c r="BC18" s="770"/>
      <c r="BD18" s="770"/>
      <c r="BE18" s="770"/>
      <c r="BF18" s="770"/>
      <c r="BG18" s="770"/>
      <c r="BH18" s="770"/>
      <c r="BI18" s="770"/>
      <c r="BJ18" s="770"/>
      <c r="BK18" s="770"/>
      <c r="BL18" s="770"/>
      <c r="BM18" s="770"/>
      <c r="BN18" s="770"/>
      <c r="BO18" s="770"/>
      <c r="BP18" s="770"/>
      <c r="BQ18" s="770"/>
      <c r="BR18" s="770"/>
      <c r="BS18" s="770"/>
      <c r="BT18" s="770"/>
      <c r="BU18" s="770"/>
      <c r="BV18" s="770"/>
      <c r="BW18" s="770"/>
      <c r="BX18" s="770"/>
      <c r="BY18" s="770"/>
      <c r="BZ18" s="770"/>
      <c r="CA18" s="770"/>
      <c r="CB18" s="770"/>
      <c r="CC18" s="770"/>
      <c r="CD18" s="770"/>
      <c r="CE18" s="770"/>
      <c r="CF18" s="770"/>
      <c r="CG18" s="770"/>
      <c r="CH18" s="770"/>
      <c r="CI18" s="770"/>
      <c r="CJ18" s="770"/>
      <c r="CK18" s="770"/>
      <c r="CL18" s="770"/>
    </row>
    <row r="19" spans="1:90" ht="28.15" customHeight="1">
      <c r="A19" s="770"/>
      <c r="B19" s="802">
        <v>13</v>
      </c>
      <c r="C19" s="832" t="s">
        <v>1019</v>
      </c>
      <c r="D19" s="811">
        <v>27705</v>
      </c>
      <c r="E19" s="811">
        <v>8420</v>
      </c>
      <c r="F19" s="811"/>
      <c r="G19" s="811">
        <v>3325</v>
      </c>
      <c r="H19" s="811"/>
      <c r="I19" s="811"/>
      <c r="J19" s="811"/>
      <c r="K19" s="811"/>
      <c r="L19" s="811"/>
      <c r="M19" s="811"/>
      <c r="N19" s="811"/>
      <c r="O19" s="811"/>
      <c r="P19" s="811"/>
      <c r="Q19" s="811"/>
      <c r="R19" s="811"/>
      <c r="S19" s="811"/>
      <c r="T19" s="811"/>
      <c r="U19" s="811"/>
      <c r="V19" s="811"/>
      <c r="W19" s="811"/>
      <c r="X19" s="833">
        <v>39450</v>
      </c>
      <c r="Y19" s="811">
        <f>IF(DATA!CL$274=1,AO16,AO17)</f>
        <v>0</v>
      </c>
      <c r="Z19" s="811">
        <f>Y19</f>
        <v>0</v>
      </c>
      <c r="AA19" s="811"/>
      <c r="AB19" s="811"/>
      <c r="AC19" s="811"/>
      <c r="AD19" s="811"/>
      <c r="AE19" s="811"/>
      <c r="AF19" s="811"/>
      <c r="AG19" s="811"/>
      <c r="AH19" s="811"/>
      <c r="AI19" s="811"/>
      <c r="AJ19" s="804">
        <f>Z19</f>
        <v>0</v>
      </c>
      <c r="AK19" s="812">
        <f>X19-AJ19</f>
        <v>39450</v>
      </c>
      <c r="AL19" s="834"/>
      <c r="AM19" s="814">
        <f t="shared" ref="AM19:AM23" si="13">IF(AK19="",0,1)</f>
        <v>1</v>
      </c>
      <c r="AN19" s="783"/>
      <c r="AO19" s="772"/>
      <c r="AP19" s="773"/>
      <c r="AQ19" s="783"/>
      <c r="AR19" s="784"/>
      <c r="AS19" s="816"/>
      <c r="AT19" s="809"/>
      <c r="AU19" s="810"/>
      <c r="AV19" s="810"/>
      <c r="AW19" s="810"/>
      <c r="AX19" s="810"/>
      <c r="AY19" s="770"/>
      <c r="AZ19" s="770"/>
      <c r="BA19" s="770"/>
      <c r="BB19" s="770"/>
      <c r="BC19" s="770"/>
      <c r="BD19" s="770"/>
      <c r="BE19" s="770"/>
      <c r="BF19" s="770"/>
      <c r="BG19" s="770"/>
      <c r="BH19" s="770"/>
      <c r="BI19" s="770"/>
      <c r="BJ19" s="770"/>
      <c r="BK19" s="770"/>
      <c r="BL19" s="770"/>
      <c r="BM19" s="770"/>
      <c r="BN19" s="770"/>
      <c r="BO19" s="770"/>
      <c r="BP19" s="770"/>
      <c r="BQ19" s="770"/>
      <c r="BR19" s="770"/>
      <c r="BS19" s="770"/>
      <c r="BT19" s="770"/>
      <c r="BU19" s="770"/>
      <c r="BV19" s="770"/>
      <c r="BW19" s="770"/>
      <c r="BX19" s="770"/>
      <c r="BY19" s="770"/>
      <c r="BZ19" s="770"/>
      <c r="CA19" s="770"/>
      <c r="CB19" s="770"/>
      <c r="CC19" s="770"/>
      <c r="CD19" s="770"/>
      <c r="CE19" s="770"/>
      <c r="CF19" s="770"/>
      <c r="CG19" s="770"/>
      <c r="CH19" s="770"/>
      <c r="CI19" s="770"/>
      <c r="CJ19" s="770"/>
      <c r="CK19" s="770"/>
      <c r="CL19" s="770"/>
    </row>
    <row r="20" spans="1:90" ht="28.15" customHeight="1">
      <c r="A20" s="770"/>
      <c r="B20" s="802"/>
      <c r="C20" s="832" t="s">
        <v>1020</v>
      </c>
      <c r="D20" s="811"/>
      <c r="E20" s="811"/>
      <c r="F20" s="811"/>
      <c r="G20" s="811"/>
      <c r="H20" s="811"/>
      <c r="I20" s="811"/>
      <c r="J20" s="811"/>
      <c r="K20" s="811"/>
      <c r="L20" s="811"/>
      <c r="M20" s="811"/>
      <c r="N20" s="811"/>
      <c r="O20" s="811"/>
      <c r="P20" s="811"/>
      <c r="Q20" s="811"/>
      <c r="R20" s="811"/>
      <c r="S20" s="811"/>
      <c r="T20" s="811"/>
      <c r="U20" s="811"/>
      <c r="V20" s="811"/>
      <c r="W20" s="811"/>
      <c r="X20" s="833"/>
      <c r="Y20" s="811">
        <f>IF(DATA!CL$274=1,AO11,0)</f>
        <v>0</v>
      </c>
      <c r="Z20" s="811"/>
      <c r="AA20" s="811"/>
      <c r="AB20" s="811"/>
      <c r="AC20" s="811"/>
      <c r="AD20" s="811"/>
      <c r="AE20" s="811"/>
      <c r="AF20" s="811"/>
      <c r="AG20" s="811"/>
      <c r="AH20" s="811"/>
      <c r="AI20" s="811"/>
      <c r="AJ20" s="804"/>
      <c r="AK20" s="812"/>
      <c r="AL20" s="835">
        <f>IF(DATA!CL274=1,AP12,0)</f>
        <v>0</v>
      </c>
      <c r="AM20" s="814">
        <f t="shared" si="13"/>
        <v>0</v>
      </c>
      <c r="AN20" s="783"/>
      <c r="AO20" s="772"/>
      <c r="AP20" s="773"/>
      <c r="AQ20" s="783"/>
      <c r="AR20" s="784"/>
      <c r="AS20" s="836"/>
      <c r="AT20" s="836"/>
      <c r="AU20" s="837"/>
      <c r="AV20" s="837"/>
      <c r="AW20" s="837"/>
      <c r="AX20" s="837"/>
      <c r="AY20" s="837"/>
      <c r="AZ20" s="837"/>
      <c r="BA20" s="837"/>
      <c r="BB20" s="837"/>
      <c r="BC20" s="770"/>
      <c r="BD20" s="770"/>
      <c r="BE20" s="770"/>
      <c r="BF20" s="770"/>
      <c r="BG20" s="770"/>
      <c r="BH20" s="770"/>
      <c r="BI20" s="770"/>
      <c r="BJ20" s="770"/>
      <c r="BK20" s="770"/>
      <c r="BL20" s="770"/>
      <c r="BM20" s="770"/>
      <c r="BN20" s="770"/>
      <c r="BO20" s="770"/>
      <c r="BP20" s="770"/>
      <c r="BQ20" s="770"/>
      <c r="BR20" s="770"/>
      <c r="BS20" s="770"/>
      <c r="BT20" s="770"/>
      <c r="BU20" s="770"/>
      <c r="BV20" s="770"/>
      <c r="BW20" s="770"/>
      <c r="BX20" s="770"/>
      <c r="BY20" s="770"/>
      <c r="BZ20" s="770"/>
      <c r="CA20" s="770"/>
      <c r="CB20" s="770"/>
      <c r="CC20" s="770"/>
      <c r="CD20" s="770"/>
      <c r="CE20" s="770"/>
      <c r="CF20" s="770"/>
      <c r="CG20" s="770"/>
      <c r="CH20" s="770"/>
      <c r="CI20" s="770"/>
      <c r="CJ20" s="770"/>
      <c r="CK20" s="770"/>
      <c r="CL20" s="770"/>
    </row>
    <row r="21" spans="1:90" ht="27.95" customHeight="1">
      <c r="A21" s="770"/>
      <c r="B21" s="802">
        <v>15</v>
      </c>
      <c r="C21" s="838" t="s">
        <v>1021</v>
      </c>
      <c r="D21" s="811" t="str">
        <f>AT21</f>
        <v/>
      </c>
      <c r="E21" s="811">
        <v>1742</v>
      </c>
      <c r="F21" s="811"/>
      <c r="G21" s="811" t="str">
        <f>AV21</f>
        <v/>
      </c>
      <c r="H21" s="811"/>
      <c r="I21" s="811"/>
      <c r="J21" s="811"/>
      <c r="K21" s="811"/>
      <c r="L21" s="811" t="str">
        <f>AX21</f>
        <v/>
      </c>
      <c r="M21" s="811"/>
      <c r="N21" s="811"/>
      <c r="O21" s="811"/>
      <c r="P21" s="811"/>
      <c r="Q21" s="811"/>
      <c r="R21" s="811">
        <f>AW21</f>
        <v>0</v>
      </c>
      <c r="S21" s="811"/>
      <c r="T21" s="811" t="str">
        <f>AY21</f>
        <v/>
      </c>
      <c r="U21" s="811"/>
      <c r="V21" s="811"/>
      <c r="W21" s="811"/>
      <c r="X21" s="833">
        <v>1742</v>
      </c>
      <c r="Y21" s="811"/>
      <c r="Z21" s="811"/>
      <c r="AA21" s="811"/>
      <c r="AB21" s="811"/>
      <c r="AC21" s="811"/>
      <c r="AD21" s="811"/>
      <c r="AE21" s="811"/>
      <c r="AF21" s="811"/>
      <c r="AG21" s="811"/>
      <c r="AH21" s="811"/>
      <c r="AI21" s="811"/>
      <c r="AJ21" s="811"/>
      <c r="AK21" s="812">
        <f>IF(X21="","",(X21-AJ21))</f>
        <v>1742</v>
      </c>
      <c r="AL21" s="834"/>
      <c r="AM21" s="814">
        <f t="shared" si="13"/>
        <v>1</v>
      </c>
      <c r="AN21" s="783"/>
      <c r="AO21" s="772"/>
      <c r="AP21" s="773"/>
      <c r="AQ21" s="784"/>
      <c r="AR21" s="784"/>
      <c r="AS21" s="836" t="e">
        <f>IF(C21="","",DATA!BH280+DATA!BI282+DATA!BJ282+DATA!BL285+DATA!BO295+DATA!BL293)</f>
        <v>#VALUE!</v>
      </c>
      <c r="AT21" s="836" t="str">
        <f>IF(DATA!BK289=1,DATA!BH280,"")</f>
        <v/>
      </c>
      <c r="AU21" s="837" t="str">
        <f>IF(DATA!BK289=1,DATA!BI282,"")</f>
        <v/>
      </c>
      <c r="AV21" s="837" t="str">
        <f>IF(DATA!BK289=1,DATA!BJ282,"")</f>
        <v/>
      </c>
      <c r="AW21" s="837"/>
      <c r="AX21" s="837" t="str">
        <f>IF(DATA!BK289=1,DATA!BO295,"")</f>
        <v/>
      </c>
      <c r="AY21" s="837" t="str">
        <f>IF(DATA!BK289=1,DATA!BL293,"")</f>
        <v/>
      </c>
      <c r="AZ21" s="837"/>
      <c r="BA21" s="837"/>
      <c r="BB21" s="837"/>
      <c r="BC21" s="772"/>
      <c r="BD21" s="770"/>
      <c r="BE21" s="770"/>
      <c r="BF21" s="770"/>
      <c r="BG21" s="770"/>
      <c r="BH21" s="770"/>
      <c r="BI21" s="770"/>
      <c r="BJ21" s="770"/>
      <c r="BK21" s="770"/>
      <c r="BL21" s="770"/>
      <c r="BM21" s="770"/>
      <c r="BN21" s="770"/>
      <c r="BO21" s="770"/>
      <c r="BP21" s="770"/>
      <c r="BQ21" s="770"/>
      <c r="BR21" s="770"/>
      <c r="BS21" s="770"/>
      <c r="BT21" s="770"/>
      <c r="BU21" s="770"/>
      <c r="BV21" s="770"/>
      <c r="BW21" s="770"/>
      <c r="BX21" s="770"/>
      <c r="BY21" s="770"/>
      <c r="BZ21" s="770"/>
      <c r="CA21" s="770"/>
      <c r="CB21" s="770"/>
      <c r="CC21" s="770"/>
      <c r="CD21" s="770"/>
      <c r="CE21" s="770"/>
      <c r="CF21" s="770"/>
      <c r="CG21" s="770"/>
      <c r="CH21" s="770"/>
      <c r="CI21" s="770"/>
      <c r="CJ21" s="770"/>
      <c r="CK21" s="770"/>
      <c r="CL21" s="770"/>
    </row>
    <row r="22" spans="1:90" ht="30" customHeight="1">
      <c r="A22" s="770"/>
      <c r="B22" s="802">
        <v>18</v>
      </c>
      <c r="C22" s="839" t="s">
        <v>1024</v>
      </c>
      <c r="D22" s="811" t="str">
        <f>DATA!CE304</f>
        <v/>
      </c>
      <c r="E22" s="811">
        <v>52244</v>
      </c>
      <c r="F22" s="811"/>
      <c r="G22" s="811" t="str">
        <f>IF(DATA!CG304=0,"",DATA!CG304)</f>
        <v/>
      </c>
      <c r="H22" s="811" t="str">
        <f>AZ22</f>
        <v/>
      </c>
      <c r="I22" s="811" t="str">
        <f>IF(DATA!CK304=0,"",DATA!CK304)</f>
        <v/>
      </c>
      <c r="J22" s="811"/>
      <c r="K22" s="811"/>
      <c r="L22" s="811">
        <f>IF(C22="","",DATA!CH304)</f>
        <v>0</v>
      </c>
      <c r="M22" s="811"/>
      <c r="N22" s="811"/>
      <c r="O22" s="811"/>
      <c r="P22" s="811"/>
      <c r="Q22" s="811"/>
      <c r="R22" s="811" t="str">
        <f>DATA!CJ304</f>
        <v/>
      </c>
      <c r="S22" s="811"/>
      <c r="T22" s="811">
        <f>IF(C22="","",DATA!CI304)</f>
        <v>0</v>
      </c>
      <c r="U22" s="811"/>
      <c r="V22" s="811"/>
      <c r="W22" s="811"/>
      <c r="X22" s="833">
        <v>52244</v>
      </c>
      <c r="Y22" s="811" t="str">
        <f>DATA!CO304</f>
        <v/>
      </c>
      <c r="Z22" s="811">
        <v>52244</v>
      </c>
      <c r="AA22" s="811"/>
      <c r="AB22" s="811"/>
      <c r="AC22" s="811"/>
      <c r="AD22" s="811"/>
      <c r="AE22" s="811"/>
      <c r="AF22" s="811"/>
      <c r="AG22" s="811"/>
      <c r="AH22" s="811"/>
      <c r="AI22" s="811"/>
      <c r="AJ22" s="811" t="str">
        <f>IF(D22="","",SUM(Z22,AB22,AC22,AE22,AF22,AG22,AH22,AI22))</f>
        <v/>
      </c>
      <c r="AK22" s="812">
        <v>0</v>
      </c>
      <c r="AL22" s="840"/>
      <c r="AM22" s="814">
        <f t="shared" si="13"/>
        <v>1</v>
      </c>
      <c r="AN22" s="772"/>
      <c r="AO22" s="784"/>
      <c r="AP22" s="772"/>
      <c r="AQ22" s="772"/>
      <c r="AR22" s="772"/>
      <c r="AS22" s="772"/>
      <c r="AT22" s="772"/>
      <c r="AU22" s="772"/>
      <c r="AV22" s="772"/>
      <c r="AW22" s="772"/>
      <c r="AX22" s="772"/>
      <c r="AY22" s="772"/>
      <c r="AZ22" s="772" t="str">
        <f>IF(DATA!CL$274=1,DATA!CK304,"")</f>
        <v/>
      </c>
      <c r="BA22" s="772"/>
      <c r="BB22" s="772"/>
      <c r="BC22" s="772"/>
      <c r="BD22" s="772"/>
      <c r="BE22" s="772"/>
      <c r="BF22" s="772"/>
      <c r="BG22" s="772"/>
      <c r="BH22" s="772"/>
      <c r="BI22" s="772"/>
      <c r="BJ22" s="772"/>
      <c r="BK22" s="772"/>
      <c r="BL22" s="772"/>
      <c r="BM22" s="772"/>
      <c r="BN22" s="772"/>
      <c r="BO22" s="772"/>
      <c r="BP22" s="772"/>
      <c r="BQ22" s="772"/>
      <c r="BR22" s="772"/>
      <c r="BS22" s="772"/>
      <c r="BT22" s="772"/>
      <c r="BU22" s="772"/>
      <c r="BV22" s="772"/>
      <c r="BW22" s="770"/>
      <c r="BX22" s="770"/>
      <c r="BY22" s="770"/>
      <c r="BZ22" s="770"/>
      <c r="CA22" s="770"/>
      <c r="CB22" s="770"/>
      <c r="CC22" s="770"/>
      <c r="CD22" s="770"/>
      <c r="CE22" s="770"/>
      <c r="CF22" s="770"/>
      <c r="CG22" s="770"/>
      <c r="CH22" s="770"/>
      <c r="CI22" s="770"/>
      <c r="CJ22" s="770"/>
      <c r="CK22" s="770"/>
      <c r="CL22" s="770"/>
    </row>
    <row r="23" spans="1:90" ht="30" customHeight="1">
      <c r="A23" s="770"/>
      <c r="B23" s="802">
        <v>19</v>
      </c>
      <c r="C23" s="839" t="s">
        <v>1025</v>
      </c>
      <c r="D23" s="811" t="str">
        <f>DATA!CE305</f>
        <v/>
      </c>
      <c r="E23" s="811">
        <v>53473</v>
      </c>
      <c r="F23" s="811"/>
      <c r="G23" s="811" t="str">
        <f>IF(DATA!CG305=0,"",DATA!CG305)</f>
        <v/>
      </c>
      <c r="H23" s="811" t="str">
        <f>AZ23</f>
        <v/>
      </c>
      <c r="I23" s="811"/>
      <c r="J23" s="811"/>
      <c r="K23" s="811"/>
      <c r="L23" s="811">
        <f>IF(C23="","",DATA!CH305)</f>
        <v>0</v>
      </c>
      <c r="M23" s="811"/>
      <c r="N23" s="811"/>
      <c r="O23" s="811"/>
      <c r="P23" s="811"/>
      <c r="Q23" s="811"/>
      <c r="R23" s="811" t="str">
        <f>DATA!CJ305</f>
        <v/>
      </c>
      <c r="S23" s="811"/>
      <c r="T23" s="811">
        <f>IF(C23="","",DATA!CI305)</f>
        <v>0</v>
      </c>
      <c r="U23" s="811"/>
      <c r="V23" s="811"/>
      <c r="W23" s="811"/>
      <c r="X23" s="833">
        <v>53473</v>
      </c>
      <c r="Y23" s="811" t="str">
        <f>DATA!CO305</f>
        <v/>
      </c>
      <c r="Z23" s="811">
        <v>53473</v>
      </c>
      <c r="AA23" s="811"/>
      <c r="AB23" s="811"/>
      <c r="AC23" s="811"/>
      <c r="AD23" s="811"/>
      <c r="AE23" s="811"/>
      <c r="AF23" s="811"/>
      <c r="AG23" s="811"/>
      <c r="AH23" s="811"/>
      <c r="AI23" s="811"/>
      <c r="AJ23" s="811" t="str">
        <f>IF(D23="","",SUM(Z23,AB23,AC23,AE23,AF23,AG23,AH23,AI23))</f>
        <v/>
      </c>
      <c r="AK23" s="812">
        <v>0</v>
      </c>
      <c r="AL23" s="840"/>
      <c r="AM23" s="814">
        <f t="shared" si="13"/>
        <v>1</v>
      </c>
      <c r="AN23" s="772"/>
      <c r="AO23" s="784"/>
      <c r="AP23" s="772"/>
      <c r="AQ23" s="772"/>
      <c r="AR23" s="772"/>
      <c r="AS23" s="772"/>
      <c r="AT23" s="772"/>
      <c r="AU23" s="772"/>
      <c r="AV23" s="772"/>
      <c r="AW23" s="772"/>
      <c r="AX23" s="772"/>
      <c r="AY23" s="772"/>
      <c r="AZ23" s="772" t="str">
        <f>IF(DATA!CL$274=1,DATA!CK305,"")</f>
        <v/>
      </c>
      <c r="BA23" s="772"/>
      <c r="BB23" s="772"/>
      <c r="BC23" s="772"/>
      <c r="BD23" s="772"/>
      <c r="BE23" s="772"/>
      <c r="BF23" s="772"/>
      <c r="BG23" s="772"/>
      <c r="BH23" s="772"/>
      <c r="BI23" s="772"/>
      <c r="BJ23" s="772"/>
      <c r="BK23" s="772"/>
      <c r="BL23" s="772"/>
      <c r="BM23" s="772"/>
      <c r="BN23" s="772"/>
      <c r="BO23" s="772"/>
      <c r="BP23" s="772"/>
      <c r="BQ23" s="772"/>
      <c r="BR23" s="772"/>
      <c r="BS23" s="772"/>
      <c r="BT23" s="772"/>
      <c r="BU23" s="772"/>
      <c r="BV23" s="772"/>
      <c r="BW23" s="770"/>
      <c r="BX23" s="770"/>
      <c r="BY23" s="770"/>
      <c r="BZ23" s="770"/>
      <c r="CA23" s="770"/>
      <c r="CB23" s="770"/>
      <c r="CC23" s="770"/>
      <c r="CD23" s="770"/>
      <c r="CE23" s="770"/>
      <c r="CF23" s="770"/>
      <c r="CG23" s="770"/>
      <c r="CH23" s="770"/>
      <c r="CI23" s="770"/>
      <c r="CJ23" s="770"/>
      <c r="CK23" s="770"/>
      <c r="CL23" s="770"/>
    </row>
    <row r="24" spans="1:90" ht="25.5" customHeight="1">
      <c r="A24" s="770"/>
      <c r="B24" s="802">
        <v>21</v>
      </c>
      <c r="C24" s="838" t="str">
        <f>IF(DATA!L15="","","Child Fee Conces")</f>
        <v/>
      </c>
      <c r="D24" s="811"/>
      <c r="E24" s="811"/>
      <c r="F24" s="811"/>
      <c r="G24" s="811"/>
      <c r="H24" s="811"/>
      <c r="I24" s="811"/>
      <c r="J24" s="811"/>
      <c r="K24" s="811"/>
      <c r="L24" s="811"/>
      <c r="M24" s="811"/>
      <c r="N24" s="811"/>
      <c r="O24" s="811"/>
      <c r="P24" s="811"/>
      <c r="Q24" s="811"/>
      <c r="R24" s="811"/>
      <c r="S24" s="811"/>
      <c r="T24" s="811"/>
      <c r="U24" s="811"/>
      <c r="V24" s="811"/>
      <c r="W24" s="811"/>
      <c r="X24" s="833" t="str">
        <f>IF(DATA!L15="","",DATA!L15)</f>
        <v/>
      </c>
      <c r="Y24" s="811"/>
      <c r="Z24" s="811"/>
      <c r="AA24" s="811"/>
      <c r="AB24" s="811"/>
      <c r="AC24" s="811"/>
      <c r="AD24" s="811"/>
      <c r="AE24" s="811"/>
      <c r="AF24" s="811"/>
      <c r="AG24" s="811"/>
      <c r="AH24" s="811"/>
      <c r="AI24" s="811"/>
      <c r="AJ24" s="811"/>
      <c r="AK24" s="812" t="str">
        <f>IF(X24="","",X24-AJ24)</f>
        <v/>
      </c>
      <c r="AL24" s="834"/>
      <c r="AM24" s="814">
        <f t="shared" si="5"/>
        <v>0</v>
      </c>
      <c r="AN24" s="770"/>
      <c r="AO24" s="772"/>
      <c r="AP24" s="773"/>
      <c r="AQ24" s="770"/>
      <c r="AR24" s="770"/>
      <c r="AS24" s="837"/>
      <c r="AT24" s="837"/>
      <c r="AU24" s="837"/>
      <c r="AV24" s="837"/>
      <c r="AW24" s="837"/>
      <c r="AX24" s="837"/>
      <c r="AY24" s="837"/>
      <c r="AZ24" s="837"/>
      <c r="BA24" s="837"/>
      <c r="BB24" s="837"/>
      <c r="BC24" s="770"/>
      <c r="BD24" s="770"/>
      <c r="BE24" s="770"/>
      <c r="BF24" s="770"/>
      <c r="BG24" s="770"/>
      <c r="BH24" s="770"/>
      <c r="BI24" s="770"/>
      <c r="BJ24" s="770"/>
      <c r="BK24" s="770"/>
      <c r="BL24" s="770"/>
      <c r="BM24" s="770"/>
      <c r="BN24" s="770"/>
      <c r="BO24" s="770"/>
      <c r="BP24" s="770"/>
      <c r="BQ24" s="770"/>
      <c r="BR24" s="770"/>
      <c r="BS24" s="770"/>
      <c r="BT24" s="770"/>
      <c r="BU24" s="770"/>
      <c r="BV24" s="770"/>
      <c r="BW24" s="770"/>
      <c r="BX24" s="770"/>
      <c r="BY24" s="770"/>
      <c r="BZ24" s="770"/>
      <c r="CA24" s="770"/>
      <c r="CB24" s="770"/>
      <c r="CC24" s="770"/>
      <c r="CD24" s="770"/>
      <c r="CE24" s="770"/>
      <c r="CF24" s="770"/>
      <c r="CG24" s="770"/>
      <c r="CH24" s="770"/>
      <c r="CI24" s="770"/>
      <c r="CJ24" s="770"/>
      <c r="CK24" s="770"/>
      <c r="CL24" s="770"/>
    </row>
    <row r="25" spans="1:90" ht="37.5" customHeight="1">
      <c r="A25" s="770"/>
      <c r="B25" s="841"/>
      <c r="C25" s="842" t="s">
        <v>633</v>
      </c>
      <c r="D25" s="843">
        <f>SUM(D7:D24)</f>
        <v>699925</v>
      </c>
      <c r="E25" s="843">
        <f>SUM(E7:E24)</f>
        <v>338563</v>
      </c>
      <c r="F25" s="843"/>
      <c r="G25" s="843">
        <f t="shared" ref="G25:AJ25" si="14">SUM(G7:G24)</f>
        <v>83988</v>
      </c>
      <c r="H25" s="843">
        <f t="shared" si="14"/>
        <v>69897</v>
      </c>
      <c r="I25" s="843">
        <f t="shared" si="14"/>
        <v>181502</v>
      </c>
      <c r="J25" s="843">
        <f t="shared" si="14"/>
        <v>0</v>
      </c>
      <c r="K25" s="843">
        <f t="shared" si="14"/>
        <v>0</v>
      </c>
      <c r="L25" s="843">
        <f t="shared" si="14"/>
        <v>0</v>
      </c>
      <c r="M25" s="843">
        <f t="shared" si="14"/>
        <v>0</v>
      </c>
      <c r="N25" s="843">
        <f t="shared" si="14"/>
        <v>0</v>
      </c>
      <c r="O25" s="843">
        <f t="shared" si="14"/>
        <v>0</v>
      </c>
      <c r="P25" s="843">
        <f t="shared" si="14"/>
        <v>0</v>
      </c>
      <c r="Q25" s="843">
        <f t="shared" si="14"/>
        <v>0</v>
      </c>
      <c r="R25" s="843">
        <f t="shared" si="14"/>
        <v>0</v>
      </c>
      <c r="S25" s="843">
        <f t="shared" si="14"/>
        <v>0</v>
      </c>
      <c r="T25" s="843">
        <f t="shared" si="14"/>
        <v>0</v>
      </c>
      <c r="U25" s="843">
        <f t="shared" si="14"/>
        <v>0</v>
      </c>
      <c r="V25" s="843">
        <f t="shared" si="14"/>
        <v>0</v>
      </c>
      <c r="W25" s="843">
        <f t="shared" si="14"/>
        <v>0</v>
      </c>
      <c r="X25" s="843">
        <f t="shared" si="14"/>
        <v>1303978</v>
      </c>
      <c r="Y25" s="843">
        <f t="shared" si="14"/>
        <v>84000</v>
      </c>
      <c r="Z25" s="843">
        <f t="shared" si="14"/>
        <v>189717</v>
      </c>
      <c r="AA25" s="843">
        <f t="shared" si="14"/>
        <v>24000</v>
      </c>
      <c r="AB25" s="843">
        <f t="shared" si="14"/>
        <v>24000</v>
      </c>
      <c r="AC25" s="843">
        <f t="shared" si="14"/>
        <v>2400</v>
      </c>
      <c r="AD25" s="843">
        <f t="shared" si="14"/>
        <v>1440</v>
      </c>
      <c r="AE25" s="843">
        <f t="shared" si="14"/>
        <v>1440</v>
      </c>
      <c r="AF25" s="843">
        <f t="shared" si="14"/>
        <v>150</v>
      </c>
      <c r="AG25" s="843">
        <f t="shared" si="14"/>
        <v>3600</v>
      </c>
      <c r="AH25" s="843">
        <f t="shared" si="14"/>
        <v>0</v>
      </c>
      <c r="AI25" s="843">
        <f t="shared" si="14"/>
        <v>92000</v>
      </c>
      <c r="AJ25" s="843">
        <f t="shared" si="14"/>
        <v>207590</v>
      </c>
      <c r="AK25" s="844">
        <f>X25-AJ25</f>
        <v>1096388</v>
      </c>
      <c r="AL25" s="834"/>
      <c r="AM25" s="772"/>
      <c r="AN25" s="770"/>
      <c r="AO25" s="772"/>
      <c r="AP25" s="773"/>
      <c r="AQ25" s="770"/>
      <c r="AR25" s="770"/>
      <c r="AS25" s="837"/>
      <c r="AT25" s="837"/>
      <c r="AU25" s="837"/>
      <c r="AV25" s="837"/>
      <c r="AW25" s="837"/>
      <c r="AX25" s="837"/>
      <c r="AY25" s="837"/>
      <c r="AZ25" s="837"/>
      <c r="BA25" s="837"/>
      <c r="BB25" s="837"/>
      <c r="BC25" s="770"/>
      <c r="BD25" s="770"/>
      <c r="BE25" s="770"/>
      <c r="BF25" s="770"/>
      <c r="BG25" s="770"/>
      <c r="BH25" s="770"/>
      <c r="BI25" s="770"/>
      <c r="BJ25" s="770"/>
      <c r="BK25" s="770"/>
      <c r="BL25" s="770"/>
      <c r="BM25" s="770"/>
      <c r="BN25" s="770"/>
      <c r="BO25" s="770"/>
      <c r="BP25" s="770"/>
      <c r="BQ25" s="770"/>
      <c r="BR25" s="770"/>
      <c r="BS25" s="770"/>
      <c r="BT25" s="770"/>
      <c r="BU25" s="770"/>
      <c r="BV25" s="770"/>
      <c r="BW25" s="770"/>
      <c r="BX25" s="770"/>
      <c r="BY25" s="770"/>
      <c r="BZ25" s="770"/>
      <c r="CA25" s="770"/>
      <c r="CB25" s="770"/>
      <c r="CC25" s="770"/>
      <c r="CD25" s="770"/>
      <c r="CE25" s="770"/>
      <c r="CF25" s="770"/>
      <c r="CG25" s="770"/>
      <c r="CH25" s="770"/>
      <c r="CI25" s="770"/>
      <c r="CJ25" s="770"/>
      <c r="CK25" s="770"/>
      <c r="CL25" s="770"/>
    </row>
    <row r="26" spans="1:90" ht="18" customHeight="1">
      <c r="A26" s="770"/>
      <c r="B26" s="845"/>
      <c r="C26" s="846"/>
      <c r="D26" s="847"/>
      <c r="E26" s="847"/>
      <c r="F26" s="847"/>
      <c r="G26" s="847"/>
      <c r="H26" s="847"/>
      <c r="I26" s="847"/>
      <c r="J26" s="847"/>
      <c r="K26" s="847"/>
      <c r="L26" s="848"/>
      <c r="M26" s="848"/>
      <c r="N26" s="848"/>
      <c r="O26" s="848"/>
      <c r="P26" s="848"/>
      <c r="Q26" s="848"/>
      <c r="R26" s="848"/>
      <c r="S26" s="848"/>
      <c r="T26" s="848"/>
      <c r="U26" s="848"/>
      <c r="V26" s="848"/>
      <c r="W26" s="848"/>
      <c r="X26" s="847"/>
      <c r="Y26" s="847"/>
      <c r="Z26" s="847"/>
      <c r="AA26" s="847"/>
      <c r="AB26" s="847"/>
      <c r="AC26" s="847"/>
      <c r="AD26" s="847"/>
      <c r="AE26" s="847"/>
      <c r="AF26" s="847"/>
      <c r="AG26" s="847"/>
      <c r="AH26" s="847"/>
      <c r="AI26" s="847"/>
      <c r="AJ26" s="847"/>
      <c r="AK26" s="849"/>
      <c r="AL26" s="850"/>
      <c r="AM26" s="810"/>
      <c r="AN26" s="770"/>
      <c r="AO26" s="772"/>
      <c r="AP26" s="773"/>
      <c r="AQ26" s="770"/>
      <c r="AR26" s="770"/>
      <c r="AS26" s="770"/>
      <c r="AU26" s="770"/>
      <c r="AV26" s="770"/>
      <c r="AW26" s="770"/>
      <c r="AX26" s="770"/>
      <c r="AY26" s="770"/>
      <c r="AZ26" s="770"/>
      <c r="BA26" s="770"/>
      <c r="BB26" s="770"/>
      <c r="BC26" s="770"/>
      <c r="BD26" s="770"/>
      <c r="BE26" s="770"/>
      <c r="BF26" s="770"/>
      <c r="BG26" s="770"/>
      <c r="BH26" s="770"/>
      <c r="BI26" s="770"/>
      <c r="BJ26" s="770"/>
      <c r="BK26" s="770"/>
      <c r="BL26" s="770"/>
      <c r="BM26" s="770"/>
      <c r="BN26" s="770"/>
      <c r="BO26" s="770"/>
      <c r="BP26" s="770"/>
      <c r="BQ26" s="770"/>
      <c r="BR26" s="770"/>
      <c r="BS26" s="770"/>
      <c r="BT26" s="770"/>
      <c r="BU26" s="770"/>
      <c r="BV26" s="770"/>
      <c r="BW26" s="770"/>
      <c r="BX26" s="770"/>
      <c r="BY26" s="770"/>
      <c r="BZ26" s="770"/>
      <c r="CA26" s="770"/>
      <c r="CB26" s="770"/>
      <c r="CC26" s="770"/>
      <c r="CD26" s="770"/>
      <c r="CE26" s="770"/>
      <c r="CF26" s="770"/>
      <c r="CG26" s="770"/>
      <c r="CH26" s="770"/>
      <c r="CI26" s="770"/>
      <c r="CJ26" s="770"/>
      <c r="CK26" s="770"/>
      <c r="CL26" s="770"/>
    </row>
    <row r="27" spans="1:90" ht="18" customHeight="1">
      <c r="A27" s="770"/>
      <c r="B27" s="845"/>
      <c r="C27" s="851"/>
      <c r="D27" s="852"/>
      <c r="E27" s="852"/>
      <c r="F27" s="852"/>
      <c r="G27" s="852"/>
      <c r="H27" s="852"/>
      <c r="I27" s="852"/>
      <c r="J27" s="852"/>
      <c r="K27" s="852"/>
      <c r="L27" s="853"/>
      <c r="M27" s="853"/>
      <c r="N27" s="853"/>
      <c r="O27" s="853"/>
      <c r="P27" s="853"/>
      <c r="Q27" s="853"/>
      <c r="R27" s="853"/>
      <c r="S27" s="853"/>
      <c r="T27" s="853"/>
      <c r="U27" s="853"/>
      <c r="V27" s="853"/>
      <c r="W27" s="853"/>
      <c r="X27" s="852"/>
      <c r="Y27" s="852"/>
      <c r="Z27" s="852"/>
      <c r="AA27" s="852"/>
      <c r="AB27" s="852"/>
      <c r="AC27" s="852"/>
      <c r="AD27" s="852"/>
      <c r="AE27" s="852"/>
      <c r="AF27" s="852"/>
      <c r="AG27" s="852"/>
      <c r="AH27" s="852"/>
      <c r="AI27" s="852"/>
      <c r="AJ27" s="852"/>
      <c r="AK27" s="854"/>
      <c r="AL27" s="850"/>
      <c r="AM27" s="810"/>
      <c r="AN27" s="770"/>
      <c r="AO27" s="772"/>
      <c r="AP27" s="773"/>
      <c r="AQ27" s="770"/>
      <c r="AR27" s="770"/>
      <c r="AS27" s="770"/>
      <c r="AU27" s="770"/>
      <c r="AV27" s="770"/>
      <c r="AW27" s="770"/>
      <c r="AX27" s="770"/>
      <c r="AY27" s="770"/>
      <c r="AZ27" s="770"/>
      <c r="BA27" s="770"/>
      <c r="BB27" s="770"/>
      <c r="BC27" s="770"/>
      <c r="BD27" s="770"/>
      <c r="BE27" s="770"/>
      <c r="BF27" s="770"/>
      <c r="BG27" s="770"/>
      <c r="BH27" s="770"/>
      <c r="BI27" s="770"/>
      <c r="BJ27" s="770"/>
      <c r="BK27" s="770"/>
      <c r="BL27" s="770"/>
      <c r="BM27" s="770"/>
      <c r="BN27" s="770"/>
      <c r="BO27" s="770"/>
      <c r="BP27" s="770"/>
      <c r="BQ27" s="770"/>
      <c r="BR27" s="770"/>
      <c r="BS27" s="770"/>
      <c r="BT27" s="770"/>
      <c r="BU27" s="770"/>
      <c r="BV27" s="770"/>
      <c r="BW27" s="770"/>
      <c r="BX27" s="770"/>
      <c r="BY27" s="770"/>
      <c r="BZ27" s="770"/>
      <c r="CA27" s="770"/>
      <c r="CB27" s="770"/>
      <c r="CC27" s="770"/>
      <c r="CD27" s="770"/>
      <c r="CE27" s="770"/>
      <c r="CF27" s="770"/>
      <c r="CG27" s="770"/>
      <c r="CH27" s="770"/>
      <c r="CI27" s="770"/>
      <c r="CJ27" s="770"/>
      <c r="CK27" s="770"/>
      <c r="CL27" s="770"/>
    </row>
    <row r="28" spans="1:90" ht="18" customHeight="1">
      <c r="A28" s="770"/>
      <c r="B28" s="845"/>
      <c r="C28" s="851"/>
      <c r="D28" s="852"/>
      <c r="E28" s="852"/>
      <c r="F28" s="852"/>
      <c r="G28" s="852"/>
      <c r="H28" s="852"/>
      <c r="I28" s="852"/>
      <c r="J28" s="852"/>
      <c r="K28" s="852"/>
      <c r="L28" s="853"/>
      <c r="M28" s="853"/>
      <c r="N28" s="853"/>
      <c r="O28" s="853"/>
      <c r="P28" s="853"/>
      <c r="Q28" s="853"/>
      <c r="R28" s="853"/>
      <c r="S28" s="853"/>
      <c r="T28" s="853"/>
      <c r="U28" s="853"/>
      <c r="V28" s="853"/>
      <c r="W28" s="853"/>
      <c r="X28" s="852"/>
      <c r="Y28" s="852"/>
      <c r="Z28" s="852"/>
      <c r="AA28" s="852"/>
      <c r="AB28" s="852"/>
      <c r="AC28" s="852"/>
      <c r="AD28" s="852"/>
      <c r="AE28" s="852"/>
      <c r="AF28" s="852"/>
      <c r="AG28" s="852"/>
      <c r="AH28" s="852"/>
      <c r="AI28" s="852"/>
      <c r="AJ28" s="852"/>
      <c r="AK28" s="854"/>
      <c r="AL28" s="850"/>
      <c r="AM28" s="810"/>
      <c r="AN28" s="770"/>
      <c r="AO28" s="772"/>
      <c r="AP28" s="773"/>
      <c r="AQ28" s="770"/>
      <c r="AR28" s="770"/>
      <c r="AS28" s="770"/>
      <c r="AU28" s="770"/>
      <c r="AV28" s="770"/>
      <c r="AW28" s="770"/>
      <c r="AX28" s="770"/>
      <c r="AY28" s="770"/>
      <c r="AZ28" s="770"/>
      <c r="BA28" s="770"/>
      <c r="BB28" s="770"/>
      <c r="BC28" s="770"/>
      <c r="BD28" s="770"/>
      <c r="BE28" s="770"/>
      <c r="BF28" s="770"/>
      <c r="BG28" s="770"/>
      <c r="BH28" s="770"/>
      <c r="BI28" s="770"/>
      <c r="BJ28" s="770"/>
      <c r="BK28" s="770"/>
      <c r="BL28" s="770"/>
      <c r="BM28" s="770"/>
      <c r="BN28" s="770"/>
      <c r="BO28" s="770"/>
      <c r="BP28" s="770"/>
      <c r="BQ28" s="770"/>
      <c r="BR28" s="770"/>
      <c r="BS28" s="770"/>
      <c r="BT28" s="770"/>
      <c r="BU28" s="770"/>
      <c r="BV28" s="770"/>
      <c r="BW28" s="770"/>
      <c r="BX28" s="770"/>
      <c r="BY28" s="770"/>
      <c r="BZ28" s="770"/>
      <c r="CA28" s="770"/>
      <c r="CB28" s="770"/>
      <c r="CC28" s="770"/>
      <c r="CD28" s="770"/>
      <c r="CE28" s="770"/>
      <c r="CF28" s="770"/>
      <c r="CG28" s="770"/>
      <c r="CH28" s="770"/>
      <c r="CI28" s="770"/>
      <c r="CJ28" s="770"/>
      <c r="CK28" s="770"/>
      <c r="CL28" s="770"/>
    </row>
    <row r="29" spans="1:90" ht="18" customHeight="1">
      <c r="A29" s="770"/>
      <c r="B29" s="845"/>
      <c r="C29" s="851"/>
      <c r="D29" s="2041" t="s">
        <v>260</v>
      </c>
      <c r="E29" s="2041"/>
      <c r="F29" s="2041"/>
      <c r="G29" s="2041"/>
      <c r="H29" s="855"/>
      <c r="I29" s="855"/>
      <c r="J29" s="855"/>
      <c r="K29" s="855"/>
      <c r="L29" s="856"/>
      <c r="M29" s="856"/>
      <c r="N29" s="853"/>
      <c r="O29" s="853"/>
      <c r="P29" s="853"/>
      <c r="Q29" s="853"/>
      <c r="R29" s="853"/>
      <c r="S29" s="853"/>
      <c r="T29" s="853"/>
      <c r="U29" s="853"/>
      <c r="V29" s="853"/>
      <c r="W29" s="853"/>
      <c r="X29" s="852"/>
      <c r="Y29" s="852"/>
      <c r="Z29" s="852"/>
      <c r="AA29" s="852"/>
      <c r="AB29" s="852"/>
      <c r="AC29" s="852"/>
      <c r="AD29" s="852"/>
      <c r="AE29" s="852"/>
      <c r="AF29" s="857" t="s">
        <v>261</v>
      </c>
      <c r="AG29" s="857"/>
      <c r="AH29" s="857"/>
      <c r="AI29" s="857"/>
      <c r="AJ29" s="858"/>
      <c r="AK29" s="854"/>
      <c r="AL29" s="850"/>
      <c r="AM29" s="810"/>
      <c r="AN29" s="770"/>
      <c r="AO29" s="772"/>
      <c r="AP29" s="773"/>
      <c r="AQ29" s="770"/>
      <c r="AR29" s="770"/>
      <c r="AS29" s="770"/>
      <c r="AU29" s="770"/>
      <c r="AV29" s="770"/>
      <c r="AW29" s="770"/>
      <c r="AX29" s="770"/>
      <c r="AY29" s="770"/>
      <c r="AZ29" s="770"/>
      <c r="BA29" s="770"/>
      <c r="BB29" s="770"/>
      <c r="BC29" s="770"/>
      <c r="BD29" s="770"/>
      <c r="BE29" s="770"/>
      <c r="BF29" s="770"/>
      <c r="BG29" s="770"/>
      <c r="BH29" s="770"/>
      <c r="BI29" s="770"/>
      <c r="BJ29" s="770"/>
      <c r="BK29" s="770"/>
      <c r="BL29" s="770"/>
      <c r="BM29" s="770"/>
      <c r="BN29" s="770"/>
      <c r="BO29" s="770"/>
      <c r="BP29" s="770"/>
      <c r="BQ29" s="770"/>
      <c r="BR29" s="770"/>
      <c r="BS29" s="770"/>
      <c r="BT29" s="770"/>
      <c r="BU29" s="770"/>
      <c r="BV29" s="770"/>
      <c r="BW29" s="770"/>
      <c r="BX29" s="770"/>
      <c r="BY29" s="770"/>
      <c r="BZ29" s="770"/>
      <c r="CA29" s="770"/>
      <c r="CB29" s="770"/>
      <c r="CC29" s="770"/>
      <c r="CD29" s="770"/>
      <c r="CE29" s="770"/>
      <c r="CF29" s="770"/>
      <c r="CG29" s="770"/>
      <c r="CH29" s="770"/>
      <c r="CI29" s="770"/>
      <c r="CJ29" s="770"/>
      <c r="CK29" s="770"/>
      <c r="CL29" s="770"/>
    </row>
    <row r="30" spans="1:90" ht="18" customHeight="1">
      <c r="A30" s="770"/>
      <c r="B30" s="859"/>
      <c r="C30" s="860"/>
      <c r="D30" s="861"/>
      <c r="E30" s="861"/>
      <c r="F30" s="861"/>
      <c r="G30" s="861"/>
      <c r="H30" s="861"/>
      <c r="I30" s="861"/>
      <c r="J30" s="861"/>
      <c r="K30" s="861"/>
      <c r="L30" s="862"/>
      <c r="M30" s="862"/>
      <c r="N30" s="862"/>
      <c r="O30" s="862"/>
      <c r="P30" s="862"/>
      <c r="Q30" s="862"/>
      <c r="R30" s="862"/>
      <c r="S30" s="862"/>
      <c r="T30" s="862"/>
      <c r="U30" s="862"/>
      <c r="V30" s="862"/>
      <c r="W30" s="862"/>
      <c r="X30" s="861"/>
      <c r="Y30" s="861"/>
      <c r="Z30" s="861"/>
      <c r="AA30" s="861"/>
      <c r="AB30" s="861"/>
      <c r="AC30" s="861"/>
      <c r="AD30" s="861"/>
      <c r="AE30" s="861"/>
      <c r="AF30" s="861"/>
      <c r="AG30" s="861"/>
      <c r="AH30" s="861"/>
      <c r="AI30" s="861"/>
      <c r="AJ30" s="861"/>
      <c r="AK30" s="863"/>
      <c r="AL30" s="850"/>
      <c r="AM30" s="810"/>
      <c r="AN30" s="770"/>
      <c r="AO30" s="772"/>
      <c r="AP30" s="773"/>
      <c r="AQ30" s="770"/>
      <c r="AR30" s="770"/>
      <c r="AS30" s="770"/>
      <c r="AU30" s="770"/>
      <c r="AV30" s="770"/>
      <c r="AW30" s="770"/>
      <c r="AX30" s="770"/>
      <c r="AY30" s="770"/>
      <c r="AZ30" s="770"/>
      <c r="BA30" s="770"/>
      <c r="BB30" s="770"/>
      <c r="BC30" s="770"/>
      <c r="BD30" s="770"/>
      <c r="BE30" s="770"/>
      <c r="BF30" s="770"/>
      <c r="BG30" s="770"/>
      <c r="BH30" s="770"/>
      <c r="BI30" s="770"/>
      <c r="BJ30" s="770"/>
      <c r="BK30" s="770"/>
      <c r="BL30" s="770"/>
      <c r="BM30" s="770"/>
      <c r="BN30" s="770"/>
      <c r="BO30" s="770"/>
      <c r="BP30" s="770"/>
      <c r="BQ30" s="770"/>
      <c r="BR30" s="770"/>
      <c r="BS30" s="770"/>
      <c r="BT30" s="770"/>
      <c r="BU30" s="770"/>
      <c r="BV30" s="770"/>
      <c r="BW30" s="770"/>
      <c r="BX30" s="770"/>
      <c r="BY30" s="770"/>
      <c r="BZ30" s="770"/>
      <c r="CA30" s="770"/>
      <c r="CB30" s="770"/>
      <c r="CC30" s="770"/>
      <c r="CD30" s="770"/>
      <c r="CE30" s="770"/>
      <c r="CF30" s="770"/>
      <c r="CG30" s="770"/>
      <c r="CH30" s="770"/>
      <c r="CI30" s="770"/>
      <c r="CJ30" s="770"/>
      <c r="CK30" s="770"/>
      <c r="CL30" s="770"/>
    </row>
    <row r="31" spans="1:90" ht="18" customHeight="1">
      <c r="A31" s="770"/>
      <c r="B31" s="859"/>
      <c r="C31" s="864"/>
      <c r="D31" s="865"/>
      <c r="E31" s="865"/>
      <c r="F31" s="865"/>
      <c r="G31" s="865"/>
      <c r="H31" s="865"/>
      <c r="I31" s="865"/>
      <c r="J31" s="865"/>
      <c r="K31" s="865"/>
      <c r="L31" s="866"/>
      <c r="M31" s="866"/>
      <c r="N31" s="866"/>
      <c r="O31" s="866"/>
      <c r="P31" s="866"/>
      <c r="Q31" s="866"/>
      <c r="R31" s="866"/>
      <c r="S31" s="866"/>
      <c r="T31" s="866"/>
      <c r="U31" s="866"/>
      <c r="V31" s="866"/>
      <c r="W31" s="866"/>
      <c r="X31" s="865"/>
      <c r="Y31" s="865"/>
      <c r="Z31" s="865"/>
      <c r="AA31" s="865"/>
      <c r="AB31" s="865"/>
      <c r="AC31" s="865"/>
      <c r="AD31" s="865"/>
      <c r="AE31" s="865"/>
      <c r="AF31" s="865"/>
      <c r="AG31" s="865"/>
      <c r="AH31" s="865"/>
      <c r="AI31" s="865"/>
      <c r="AJ31" s="865"/>
      <c r="AK31" s="867"/>
      <c r="AL31" s="850"/>
      <c r="AM31" s="810"/>
      <c r="AN31" s="770"/>
      <c r="AO31" s="772"/>
      <c r="AP31" s="773"/>
      <c r="AQ31" s="770"/>
      <c r="AR31" s="770"/>
      <c r="AS31" s="770"/>
      <c r="AU31" s="770"/>
      <c r="AV31" s="770"/>
      <c r="AW31" s="770"/>
      <c r="AX31" s="770"/>
      <c r="AY31" s="770"/>
      <c r="AZ31" s="770"/>
      <c r="BA31" s="770"/>
      <c r="BB31" s="770"/>
      <c r="BC31" s="770"/>
      <c r="BD31" s="770"/>
      <c r="BE31" s="770"/>
      <c r="BF31" s="770"/>
      <c r="BG31" s="770"/>
      <c r="BH31" s="770"/>
      <c r="BI31" s="770"/>
      <c r="BJ31" s="770"/>
      <c r="BK31" s="770"/>
      <c r="BL31" s="770"/>
      <c r="BM31" s="770"/>
      <c r="BN31" s="770"/>
      <c r="BO31" s="770"/>
      <c r="BP31" s="770"/>
      <c r="BQ31" s="770"/>
      <c r="BR31" s="770"/>
      <c r="BS31" s="770"/>
      <c r="BT31" s="770"/>
      <c r="BU31" s="770"/>
      <c r="BV31" s="770"/>
      <c r="BW31" s="770"/>
      <c r="BX31" s="770"/>
      <c r="BY31" s="770"/>
      <c r="BZ31" s="770"/>
      <c r="CA31" s="770"/>
      <c r="CB31" s="770"/>
      <c r="CC31" s="770"/>
      <c r="CD31" s="770"/>
      <c r="CE31" s="770"/>
      <c r="CF31" s="770"/>
      <c r="CG31" s="770"/>
      <c r="CH31" s="770"/>
      <c r="CI31" s="770"/>
      <c r="CJ31" s="770"/>
      <c r="CK31" s="770"/>
      <c r="CL31" s="770"/>
    </row>
    <row r="32" spans="1:90" s="868" customFormat="1" ht="15.75">
      <c r="A32" s="869"/>
      <c r="B32" s="2042" t="s">
        <v>1014</v>
      </c>
      <c r="C32" s="2043"/>
      <c r="D32" s="2043"/>
      <c r="E32" s="2043"/>
      <c r="F32" s="2043"/>
      <c r="G32" s="2043"/>
      <c r="H32" s="2043"/>
      <c r="I32" s="2043"/>
      <c r="J32" s="2043"/>
      <c r="K32" s="2043"/>
      <c r="L32" s="2043"/>
      <c r="M32" s="2043"/>
      <c r="N32" s="2043"/>
      <c r="O32" s="2043"/>
      <c r="P32" s="2043"/>
      <c r="Q32" s="2043"/>
      <c r="R32" s="2043"/>
      <c r="S32" s="2043"/>
      <c r="T32" s="2043"/>
      <c r="U32" s="2043"/>
      <c r="V32" s="2043"/>
      <c r="W32" s="2043"/>
      <c r="X32" s="2043"/>
      <c r="Y32" s="2043"/>
      <c r="Z32" s="2043"/>
      <c r="AA32" s="2043"/>
      <c r="AB32" s="2043"/>
      <c r="AC32" s="2043"/>
      <c r="AD32" s="2043"/>
      <c r="AE32" s="2043"/>
      <c r="AF32" s="2043"/>
      <c r="AG32" s="2043"/>
      <c r="AH32" s="2043"/>
      <c r="AI32" s="2043"/>
      <c r="AJ32" s="2043"/>
      <c r="AK32" s="2043"/>
      <c r="AL32" s="870"/>
      <c r="AM32" s="871"/>
      <c r="AN32" s="869"/>
      <c r="AO32" s="872"/>
      <c r="AP32" s="873"/>
      <c r="AQ32" s="869"/>
      <c r="AR32" s="869"/>
      <c r="AS32" s="869"/>
      <c r="AT32" s="869"/>
      <c r="AU32" s="869"/>
      <c r="AV32" s="869"/>
      <c r="AW32" s="869"/>
      <c r="AX32" s="869"/>
      <c r="AY32" s="869"/>
      <c r="AZ32" s="869"/>
      <c r="BA32" s="869"/>
      <c r="BB32" s="869"/>
      <c r="BC32" s="869"/>
      <c r="BD32" s="869"/>
      <c r="BE32" s="869"/>
      <c r="BF32" s="869"/>
      <c r="BG32" s="869"/>
      <c r="BH32" s="869"/>
      <c r="BI32" s="869"/>
      <c r="BJ32" s="869"/>
      <c r="BK32" s="869"/>
      <c r="BL32" s="869"/>
      <c r="BM32" s="869"/>
      <c r="BN32" s="869"/>
      <c r="BO32" s="869"/>
      <c r="BP32" s="869"/>
      <c r="BQ32" s="869"/>
      <c r="BR32" s="869"/>
      <c r="BS32" s="869"/>
      <c r="BT32" s="869"/>
      <c r="BU32" s="869"/>
      <c r="BV32" s="869"/>
      <c r="BW32" s="869"/>
      <c r="BX32" s="869"/>
      <c r="BY32" s="869"/>
      <c r="BZ32" s="869"/>
      <c r="CA32" s="869"/>
      <c r="CB32" s="869"/>
      <c r="CC32" s="869"/>
      <c r="CD32" s="869"/>
      <c r="CE32" s="869"/>
      <c r="CF32" s="869"/>
      <c r="CG32" s="869"/>
      <c r="CH32" s="869"/>
      <c r="CI32" s="869"/>
      <c r="CJ32" s="869"/>
      <c r="CK32" s="869"/>
      <c r="CL32" s="869"/>
    </row>
    <row r="33" spans="1:90">
      <c r="A33" s="770"/>
      <c r="B33" s="480"/>
      <c r="C33" s="480"/>
      <c r="D33" s="480"/>
      <c r="E33" s="480"/>
      <c r="F33" s="480"/>
      <c r="G33" s="480"/>
      <c r="H33" s="480"/>
      <c r="I33" s="480"/>
      <c r="J33" s="480"/>
      <c r="K33" s="480"/>
      <c r="L33" s="874"/>
      <c r="M33" s="874"/>
      <c r="N33" s="874"/>
      <c r="O33" s="874"/>
      <c r="P33" s="874"/>
      <c r="Q33" s="874"/>
      <c r="R33" s="874"/>
      <c r="S33" s="874"/>
      <c r="T33" s="874"/>
      <c r="U33" s="874"/>
      <c r="V33" s="874"/>
      <c r="W33" s="874"/>
      <c r="X33" s="480"/>
      <c r="Y33" s="480"/>
      <c r="Z33" s="480"/>
      <c r="AA33" s="480"/>
      <c r="AB33" s="480"/>
      <c r="AC33" s="480"/>
      <c r="AD33" s="480"/>
      <c r="AE33" s="480"/>
      <c r="AF33" s="480"/>
      <c r="AG33" s="480"/>
      <c r="AH33" s="480"/>
      <c r="AI33" s="480"/>
      <c r="AJ33" s="480"/>
      <c r="AK33" s="480"/>
      <c r="AL33" s="480"/>
      <c r="AM33" s="770"/>
      <c r="AN33" s="770"/>
      <c r="AO33" s="772"/>
      <c r="AP33" s="773"/>
      <c r="AQ33" s="770"/>
      <c r="AR33" s="770"/>
      <c r="AS33" s="770"/>
      <c r="AU33" s="770"/>
      <c r="AV33" s="770"/>
      <c r="AW33" s="770"/>
      <c r="AX33" s="770"/>
      <c r="AY33" s="770"/>
      <c r="AZ33" s="770"/>
      <c r="BA33" s="770"/>
      <c r="BB33" s="770"/>
      <c r="BC33" s="770"/>
      <c r="BD33" s="770"/>
      <c r="BE33" s="770"/>
      <c r="BF33" s="770"/>
      <c r="BG33" s="770"/>
      <c r="BH33" s="770"/>
      <c r="BI33" s="770"/>
      <c r="BJ33" s="770"/>
      <c r="BK33" s="770"/>
      <c r="BL33" s="770"/>
      <c r="BM33" s="770"/>
      <c r="BN33" s="770"/>
      <c r="BO33" s="770"/>
      <c r="BP33" s="770"/>
      <c r="BQ33" s="770"/>
      <c r="BR33" s="770"/>
      <c r="BS33" s="770"/>
      <c r="BT33" s="770"/>
      <c r="BU33" s="770"/>
      <c r="BV33" s="770"/>
      <c r="BW33" s="770"/>
      <c r="BX33" s="770"/>
      <c r="BY33" s="770"/>
      <c r="BZ33" s="770"/>
      <c r="CA33" s="770"/>
      <c r="CB33" s="770"/>
      <c r="CC33" s="770"/>
      <c r="CD33" s="770"/>
      <c r="CE33" s="770"/>
      <c r="CF33" s="770"/>
      <c r="CG33" s="770"/>
      <c r="CH33" s="770"/>
      <c r="CI33" s="770"/>
      <c r="CJ33" s="770"/>
      <c r="CK33" s="770"/>
      <c r="CL33" s="770"/>
    </row>
    <row r="34" spans="1:90">
      <c r="A34" s="770"/>
      <c r="B34" s="770"/>
      <c r="C34" s="770"/>
      <c r="D34" s="770"/>
      <c r="E34" s="770"/>
      <c r="F34" s="770"/>
      <c r="G34" s="770"/>
      <c r="H34" s="770"/>
      <c r="I34" s="770"/>
      <c r="J34" s="770"/>
      <c r="K34" s="770"/>
      <c r="L34" s="771"/>
      <c r="M34" s="771"/>
      <c r="N34" s="771"/>
      <c r="O34" s="771"/>
      <c r="P34" s="771"/>
      <c r="Q34" s="771"/>
      <c r="R34" s="771"/>
      <c r="S34" s="771"/>
      <c r="T34" s="771"/>
      <c r="U34" s="771"/>
      <c r="V34" s="771"/>
      <c r="W34" s="771"/>
      <c r="X34" s="770"/>
      <c r="Y34" s="770"/>
      <c r="Z34" s="770"/>
      <c r="AA34" s="770"/>
      <c r="AB34" s="770"/>
      <c r="AC34" s="770"/>
      <c r="AD34" s="770"/>
      <c r="AE34" s="770"/>
      <c r="AF34" s="770"/>
      <c r="AG34" s="770"/>
      <c r="AH34" s="770"/>
      <c r="AI34" s="770"/>
      <c r="AJ34" s="770"/>
      <c r="AK34" s="770"/>
      <c r="AL34" s="770"/>
      <c r="AM34" s="770"/>
      <c r="AN34" s="770"/>
      <c r="AO34" s="772"/>
      <c r="AP34" s="773"/>
      <c r="AQ34" s="770"/>
      <c r="AR34" s="770"/>
      <c r="AS34" s="770"/>
      <c r="AU34" s="770"/>
      <c r="AV34" s="770"/>
      <c r="AW34" s="770"/>
      <c r="AX34" s="770"/>
      <c r="AY34" s="770"/>
      <c r="AZ34" s="770"/>
      <c r="BA34" s="770"/>
      <c r="BB34" s="770"/>
      <c r="BC34" s="770"/>
      <c r="BD34" s="770"/>
      <c r="BE34" s="770"/>
      <c r="BF34" s="770"/>
      <c r="BG34" s="770"/>
      <c r="BH34" s="770"/>
      <c r="BI34" s="770"/>
      <c r="BJ34" s="770"/>
      <c r="BK34" s="770"/>
      <c r="BL34" s="770"/>
      <c r="BM34" s="770"/>
      <c r="BN34" s="770"/>
      <c r="BO34" s="770"/>
      <c r="BP34" s="770"/>
      <c r="BQ34" s="770"/>
      <c r="BR34" s="770"/>
      <c r="BS34" s="770"/>
      <c r="BT34" s="770"/>
      <c r="BU34" s="770"/>
      <c r="BV34" s="770"/>
      <c r="BW34" s="770"/>
      <c r="BX34" s="770"/>
      <c r="BY34" s="770"/>
      <c r="BZ34" s="770"/>
      <c r="CA34" s="770"/>
      <c r="CB34" s="770"/>
      <c r="CC34" s="770"/>
      <c r="CD34" s="770"/>
      <c r="CE34" s="770"/>
      <c r="CF34" s="770"/>
      <c r="CG34" s="770"/>
      <c r="CH34" s="770"/>
      <c r="CI34" s="770"/>
      <c r="CJ34" s="770"/>
      <c r="CK34" s="770"/>
      <c r="CL34" s="770"/>
    </row>
    <row r="35" spans="1:90">
      <c r="A35" s="770"/>
      <c r="B35" s="770"/>
      <c r="C35" s="770"/>
      <c r="D35" s="770"/>
      <c r="E35" s="770"/>
      <c r="F35" s="770"/>
      <c r="G35" s="770"/>
      <c r="H35" s="770"/>
      <c r="I35" s="770"/>
      <c r="J35" s="770"/>
      <c r="K35" s="770"/>
      <c r="L35" s="771"/>
      <c r="M35" s="771"/>
      <c r="N35" s="771"/>
      <c r="O35" s="771"/>
      <c r="P35" s="771"/>
      <c r="Q35" s="771"/>
      <c r="R35" s="771"/>
      <c r="S35" s="771"/>
      <c r="T35" s="771"/>
      <c r="U35" s="771"/>
      <c r="V35" s="771"/>
      <c r="W35" s="771"/>
      <c r="X35" s="770"/>
      <c r="Y35" s="770"/>
      <c r="Z35" s="770"/>
      <c r="AA35" s="770"/>
      <c r="AB35" s="770"/>
      <c r="AC35" s="770"/>
      <c r="AD35" s="770"/>
      <c r="AE35" s="770"/>
      <c r="AF35" s="770"/>
      <c r="AG35" s="770"/>
      <c r="AH35" s="770"/>
      <c r="AI35" s="770"/>
      <c r="AJ35" s="770"/>
      <c r="AK35" s="770"/>
      <c r="AL35" s="770"/>
      <c r="AM35" s="770"/>
      <c r="AN35" s="770"/>
      <c r="AO35" s="772"/>
      <c r="AP35" s="773"/>
      <c r="AQ35" s="770"/>
      <c r="AR35" s="770"/>
      <c r="AS35" s="770"/>
      <c r="AU35" s="770"/>
      <c r="AV35" s="770"/>
      <c r="AW35" s="770"/>
      <c r="AX35" s="770"/>
      <c r="AY35" s="770"/>
      <c r="AZ35" s="770"/>
      <c r="BA35" s="770"/>
      <c r="BB35" s="770"/>
      <c r="BC35" s="770"/>
      <c r="BD35" s="770"/>
      <c r="BE35" s="770"/>
      <c r="BF35" s="770"/>
      <c r="BG35" s="770"/>
      <c r="BH35" s="770"/>
      <c r="BI35" s="770"/>
      <c r="BJ35" s="770"/>
      <c r="BK35" s="770"/>
      <c r="BL35" s="770"/>
      <c r="BM35" s="770"/>
      <c r="BN35" s="770"/>
      <c r="BO35" s="770"/>
      <c r="BP35" s="770"/>
      <c r="BQ35" s="770"/>
      <c r="BR35" s="770"/>
      <c r="BS35" s="770"/>
      <c r="BT35" s="770"/>
      <c r="BU35" s="770"/>
      <c r="BV35" s="770"/>
      <c r="BW35" s="770"/>
      <c r="BX35" s="770"/>
      <c r="BY35" s="770"/>
      <c r="BZ35" s="770"/>
      <c r="CA35" s="770"/>
      <c r="CB35" s="770"/>
      <c r="CC35" s="770"/>
      <c r="CD35" s="770"/>
      <c r="CE35" s="770"/>
      <c r="CF35" s="770"/>
      <c r="CG35" s="770"/>
      <c r="CH35" s="770"/>
      <c r="CI35" s="770"/>
      <c r="CJ35" s="770"/>
      <c r="CK35" s="770"/>
      <c r="CL35" s="770"/>
    </row>
    <row r="36" spans="1:90">
      <c r="A36" s="770"/>
      <c r="B36" s="770"/>
      <c r="C36" s="770"/>
      <c r="D36" s="770"/>
      <c r="E36" s="770"/>
      <c r="F36" s="770"/>
      <c r="G36" s="770"/>
      <c r="H36" s="770"/>
      <c r="I36" s="770"/>
      <c r="J36" s="770"/>
      <c r="K36" s="770"/>
      <c r="L36" s="771"/>
      <c r="M36" s="771"/>
      <c r="N36" s="771"/>
      <c r="O36" s="771"/>
      <c r="P36" s="771"/>
      <c r="Q36" s="771"/>
      <c r="R36" s="771"/>
      <c r="S36" s="771"/>
      <c r="T36" s="771"/>
      <c r="U36" s="771"/>
      <c r="V36" s="771"/>
      <c r="W36" s="771"/>
      <c r="X36" s="770"/>
      <c r="Y36" s="770"/>
      <c r="Z36" s="770"/>
      <c r="AA36" s="770"/>
      <c r="AB36" s="770"/>
      <c r="AC36" s="770"/>
      <c r="AD36" s="770"/>
      <c r="AE36" s="770"/>
      <c r="AF36" s="770"/>
      <c r="AG36" s="770"/>
      <c r="AH36" s="770"/>
      <c r="AI36" s="770"/>
      <c r="AJ36" s="770"/>
      <c r="AK36" s="770"/>
      <c r="AL36" s="770"/>
      <c r="AM36" s="770"/>
      <c r="AN36" s="770"/>
      <c r="AO36" s="772"/>
      <c r="AP36" s="773"/>
      <c r="AQ36" s="770"/>
      <c r="AR36" s="770"/>
      <c r="AS36" s="770"/>
      <c r="AU36" s="770"/>
      <c r="AV36" s="770"/>
      <c r="AW36" s="770"/>
      <c r="AX36" s="770"/>
      <c r="AY36" s="770"/>
      <c r="AZ36" s="770"/>
      <c r="BA36" s="770"/>
      <c r="BB36" s="770"/>
      <c r="BC36" s="770"/>
      <c r="BD36" s="770"/>
      <c r="BE36" s="770"/>
      <c r="BF36" s="770"/>
      <c r="BG36" s="770"/>
      <c r="BH36" s="770"/>
      <c r="BI36" s="770"/>
      <c r="BJ36" s="770"/>
      <c r="BK36" s="770"/>
      <c r="BL36" s="770"/>
      <c r="BM36" s="770"/>
      <c r="BN36" s="770"/>
      <c r="BO36" s="770"/>
      <c r="BP36" s="770"/>
      <c r="BQ36" s="770"/>
      <c r="BR36" s="770"/>
      <c r="BS36" s="770"/>
      <c r="BT36" s="770"/>
      <c r="BU36" s="770"/>
      <c r="BV36" s="770"/>
      <c r="BW36" s="770"/>
      <c r="BX36" s="770"/>
      <c r="BY36" s="770"/>
      <c r="BZ36" s="770"/>
      <c r="CA36" s="770"/>
      <c r="CB36" s="770"/>
      <c r="CC36" s="770"/>
      <c r="CD36" s="770"/>
      <c r="CE36" s="770"/>
      <c r="CF36" s="770"/>
      <c r="CG36" s="770"/>
      <c r="CH36" s="770"/>
      <c r="CI36" s="770"/>
      <c r="CJ36" s="770"/>
      <c r="CK36" s="770"/>
      <c r="CL36" s="770"/>
    </row>
    <row r="37" spans="1:90">
      <c r="A37" s="770"/>
      <c r="B37" s="770"/>
      <c r="C37" s="770"/>
      <c r="D37" s="770"/>
      <c r="E37" s="770"/>
      <c r="F37" s="770"/>
      <c r="G37" s="770"/>
      <c r="H37" s="770"/>
      <c r="I37" s="770"/>
      <c r="J37" s="770"/>
      <c r="K37" s="770"/>
      <c r="L37" s="771"/>
      <c r="M37" s="771"/>
      <c r="N37" s="771"/>
      <c r="O37" s="771"/>
      <c r="P37" s="771"/>
      <c r="Q37" s="771"/>
      <c r="R37" s="771"/>
      <c r="S37" s="771"/>
      <c r="T37" s="771"/>
      <c r="U37" s="771"/>
      <c r="V37" s="771"/>
      <c r="W37" s="771"/>
      <c r="X37" s="770"/>
      <c r="Y37" s="770"/>
      <c r="Z37" s="770"/>
      <c r="AA37" s="770"/>
      <c r="AB37" s="770"/>
      <c r="AC37" s="770"/>
      <c r="AD37" s="770"/>
      <c r="AE37" s="770"/>
      <c r="AF37" s="770"/>
      <c r="AG37" s="770"/>
      <c r="AH37" s="770"/>
      <c r="AI37" s="770"/>
      <c r="AJ37" s="770"/>
      <c r="AK37" s="770"/>
      <c r="AL37" s="770"/>
      <c r="AM37" s="770"/>
      <c r="AN37" s="770"/>
      <c r="AO37" s="772"/>
      <c r="AP37" s="773"/>
      <c r="AQ37" s="770"/>
      <c r="AR37" s="770"/>
      <c r="AS37" s="770"/>
      <c r="AU37" s="770"/>
      <c r="AV37" s="770"/>
      <c r="AW37" s="770"/>
      <c r="AX37" s="770"/>
      <c r="AY37" s="770"/>
      <c r="AZ37" s="770"/>
      <c r="BA37" s="770"/>
      <c r="BB37" s="770"/>
      <c r="BC37" s="770"/>
      <c r="BD37" s="770"/>
      <c r="BE37" s="770"/>
      <c r="BF37" s="770"/>
      <c r="BG37" s="770"/>
      <c r="BH37" s="770"/>
      <c r="BI37" s="770"/>
      <c r="BJ37" s="770"/>
      <c r="BK37" s="770"/>
      <c r="BL37" s="770"/>
      <c r="BM37" s="770"/>
      <c r="BN37" s="770"/>
      <c r="BO37" s="770"/>
      <c r="BP37" s="770"/>
      <c r="BQ37" s="770"/>
      <c r="BR37" s="770"/>
      <c r="BS37" s="770"/>
      <c r="BT37" s="770"/>
      <c r="BU37" s="770"/>
      <c r="BV37" s="770"/>
      <c r="BW37" s="770"/>
      <c r="BX37" s="770"/>
      <c r="BY37" s="770"/>
      <c r="BZ37" s="770"/>
      <c r="CA37" s="770"/>
      <c r="CB37" s="770"/>
      <c r="CC37" s="770"/>
      <c r="CD37" s="770"/>
      <c r="CE37" s="770"/>
      <c r="CF37" s="770"/>
      <c r="CG37" s="770"/>
      <c r="CH37" s="770"/>
      <c r="CI37" s="770"/>
      <c r="CJ37" s="770"/>
      <c r="CK37" s="770"/>
      <c r="CL37" s="770"/>
    </row>
    <row r="38" spans="1:90">
      <c r="A38" s="770"/>
      <c r="B38" s="770"/>
      <c r="C38" s="770"/>
      <c r="D38" s="770"/>
      <c r="E38" s="770"/>
      <c r="F38" s="770"/>
      <c r="G38" s="770"/>
      <c r="H38" s="770"/>
      <c r="I38" s="770"/>
      <c r="J38" s="770"/>
      <c r="K38" s="770"/>
      <c r="L38" s="771"/>
      <c r="M38" s="771"/>
      <c r="N38" s="771"/>
      <c r="O38" s="771"/>
      <c r="P38" s="771"/>
      <c r="Q38" s="771"/>
      <c r="R38" s="771"/>
      <c r="S38" s="771"/>
      <c r="T38" s="771"/>
      <c r="U38" s="771"/>
      <c r="V38" s="771"/>
      <c r="W38" s="771"/>
      <c r="X38" s="770"/>
      <c r="Y38" s="770"/>
      <c r="Z38" s="770"/>
      <c r="AA38" s="770"/>
      <c r="AB38" s="770"/>
      <c r="AC38" s="770"/>
      <c r="AD38" s="770"/>
      <c r="AE38" s="770"/>
      <c r="AF38" s="770"/>
      <c r="AG38" s="770"/>
      <c r="AH38" s="770"/>
      <c r="AI38" s="770"/>
      <c r="AJ38" s="770"/>
      <c r="AK38" s="770"/>
      <c r="AL38" s="770"/>
      <c r="AM38" s="770"/>
      <c r="AN38" s="770"/>
      <c r="AO38" s="772"/>
      <c r="AP38" s="773"/>
      <c r="AQ38" s="770"/>
      <c r="AR38" s="770"/>
      <c r="AS38" s="770"/>
      <c r="AU38" s="770"/>
      <c r="AV38" s="770"/>
      <c r="AW38" s="770"/>
      <c r="AX38" s="770"/>
      <c r="AY38" s="770"/>
      <c r="AZ38" s="770"/>
      <c r="BA38" s="770"/>
      <c r="BB38" s="770"/>
      <c r="BC38" s="770"/>
      <c r="BD38" s="770"/>
      <c r="BE38" s="770"/>
      <c r="BF38" s="770"/>
      <c r="BG38" s="770"/>
      <c r="BH38" s="770"/>
      <c r="BI38" s="770"/>
      <c r="BJ38" s="770"/>
      <c r="BK38" s="770"/>
      <c r="BL38" s="770"/>
      <c r="BM38" s="770"/>
      <c r="BN38" s="770"/>
      <c r="BO38" s="770"/>
      <c r="BP38" s="770"/>
      <c r="BQ38" s="770"/>
      <c r="BR38" s="770"/>
      <c r="BS38" s="770"/>
      <c r="BT38" s="770"/>
      <c r="BU38" s="770"/>
      <c r="BV38" s="770"/>
      <c r="BW38" s="770"/>
      <c r="BX38" s="770"/>
      <c r="BY38" s="770"/>
      <c r="BZ38" s="770"/>
      <c r="CA38" s="770"/>
      <c r="CB38" s="770"/>
      <c r="CC38" s="770"/>
      <c r="CD38" s="770"/>
      <c r="CE38" s="770"/>
      <c r="CF38" s="770"/>
      <c r="CG38" s="770"/>
      <c r="CH38" s="770"/>
      <c r="CI38" s="770"/>
      <c r="CJ38" s="770"/>
      <c r="CK38" s="770"/>
      <c r="CL38" s="770"/>
    </row>
    <row r="39" spans="1:90">
      <c r="A39" s="770"/>
      <c r="B39" s="770"/>
      <c r="C39" s="770"/>
      <c r="D39" s="770"/>
      <c r="E39" s="770"/>
      <c r="F39" s="770"/>
      <c r="G39" s="770"/>
      <c r="H39" s="770"/>
      <c r="I39" s="770"/>
      <c r="J39" s="770"/>
      <c r="K39" s="770"/>
      <c r="L39" s="771"/>
      <c r="M39" s="771"/>
      <c r="N39" s="771"/>
      <c r="O39" s="771"/>
      <c r="P39" s="771"/>
      <c r="Q39" s="771"/>
      <c r="R39" s="771"/>
      <c r="S39" s="771"/>
      <c r="T39" s="771"/>
      <c r="U39" s="771"/>
      <c r="V39" s="771"/>
      <c r="W39" s="771"/>
      <c r="X39" s="770"/>
      <c r="Y39" s="770"/>
      <c r="Z39" s="770"/>
      <c r="AA39" s="770"/>
      <c r="AB39" s="770"/>
      <c r="AC39" s="770"/>
      <c r="AD39" s="770"/>
      <c r="AE39" s="770"/>
      <c r="AF39" s="770"/>
      <c r="AG39" s="770"/>
      <c r="AH39" s="770"/>
      <c r="AI39" s="770"/>
      <c r="AJ39" s="770"/>
      <c r="AK39" s="770"/>
      <c r="AL39" s="770"/>
      <c r="AM39" s="770"/>
      <c r="AN39" s="770"/>
      <c r="AO39" s="772"/>
      <c r="AP39" s="773"/>
      <c r="AQ39" s="770"/>
      <c r="AR39" s="770"/>
      <c r="AS39" s="770"/>
      <c r="AU39" s="770"/>
      <c r="AV39" s="770"/>
      <c r="AW39" s="770"/>
      <c r="AX39" s="770"/>
      <c r="AY39" s="770"/>
      <c r="AZ39" s="770"/>
      <c r="BA39" s="770"/>
      <c r="BB39" s="770"/>
      <c r="BC39" s="770"/>
      <c r="BD39" s="770"/>
      <c r="BE39" s="770"/>
      <c r="BF39" s="770"/>
      <c r="BG39" s="770"/>
      <c r="BH39" s="770"/>
      <c r="BI39" s="770"/>
      <c r="BJ39" s="770"/>
      <c r="BK39" s="770"/>
      <c r="BL39" s="770"/>
      <c r="BM39" s="770"/>
      <c r="BN39" s="770"/>
      <c r="BO39" s="770"/>
      <c r="BP39" s="770"/>
      <c r="BQ39" s="770"/>
      <c r="BR39" s="770"/>
      <c r="BS39" s="770"/>
      <c r="BT39" s="770"/>
      <c r="BU39" s="770"/>
      <c r="BV39" s="770"/>
      <c r="BW39" s="770"/>
      <c r="BX39" s="770"/>
      <c r="BY39" s="770"/>
      <c r="BZ39" s="770"/>
      <c r="CA39" s="770"/>
      <c r="CB39" s="770"/>
      <c r="CC39" s="770"/>
      <c r="CD39" s="770"/>
      <c r="CE39" s="770"/>
      <c r="CF39" s="770"/>
      <c r="CG39" s="770"/>
      <c r="CH39" s="770"/>
      <c r="CI39" s="770"/>
      <c r="CJ39" s="770"/>
      <c r="CK39" s="770"/>
      <c r="CL39" s="770"/>
    </row>
    <row r="40" spans="1:90">
      <c r="A40" s="770"/>
      <c r="B40" s="770"/>
      <c r="C40" s="770"/>
      <c r="D40" s="770"/>
      <c r="E40" s="770"/>
      <c r="F40" s="770"/>
      <c r="G40" s="770"/>
      <c r="H40" s="770"/>
      <c r="I40" s="770"/>
      <c r="J40" s="770"/>
      <c r="K40" s="770"/>
      <c r="L40" s="771"/>
      <c r="M40" s="771"/>
      <c r="N40" s="771"/>
      <c r="O40" s="771"/>
      <c r="P40" s="771"/>
      <c r="Q40" s="771"/>
      <c r="R40" s="771"/>
      <c r="S40" s="771"/>
      <c r="T40" s="771"/>
      <c r="U40" s="771"/>
      <c r="V40" s="771"/>
      <c r="W40" s="771"/>
      <c r="X40" s="770"/>
      <c r="Y40" s="770"/>
      <c r="Z40" s="770"/>
      <c r="AA40" s="770"/>
      <c r="AB40" s="770"/>
      <c r="AC40" s="770"/>
      <c r="AD40" s="770"/>
      <c r="AE40" s="770"/>
      <c r="AF40" s="770"/>
      <c r="AG40" s="770"/>
      <c r="AH40" s="770"/>
      <c r="AI40" s="770"/>
      <c r="AJ40" s="770"/>
      <c r="AK40" s="770"/>
      <c r="AL40" s="770"/>
      <c r="AM40" s="770"/>
      <c r="AN40" s="770"/>
      <c r="AO40" s="772"/>
      <c r="AP40" s="773"/>
      <c r="AQ40" s="770"/>
      <c r="AR40" s="770"/>
      <c r="AS40" s="770"/>
      <c r="AU40" s="770"/>
      <c r="AV40" s="770"/>
      <c r="AW40" s="770"/>
      <c r="AX40" s="770"/>
      <c r="AY40" s="770"/>
      <c r="AZ40" s="770"/>
      <c r="BA40" s="770"/>
      <c r="BB40" s="770"/>
      <c r="BC40" s="770"/>
      <c r="BD40" s="770"/>
      <c r="BE40" s="770"/>
      <c r="BF40" s="770"/>
      <c r="BG40" s="770"/>
      <c r="BH40" s="770"/>
      <c r="BI40" s="770"/>
      <c r="BJ40" s="770"/>
      <c r="BK40" s="770"/>
      <c r="BL40" s="770"/>
      <c r="BM40" s="770"/>
      <c r="BN40" s="770"/>
      <c r="BO40" s="770"/>
      <c r="BP40" s="770"/>
      <c r="BQ40" s="770"/>
      <c r="BR40" s="770"/>
      <c r="BS40" s="770"/>
      <c r="BT40" s="770"/>
      <c r="BU40" s="770"/>
      <c r="BV40" s="770"/>
      <c r="BW40" s="770"/>
      <c r="BX40" s="770"/>
      <c r="BY40" s="770"/>
      <c r="BZ40" s="770"/>
      <c r="CA40" s="770"/>
      <c r="CB40" s="770"/>
      <c r="CC40" s="770"/>
      <c r="CD40" s="770"/>
      <c r="CE40" s="770"/>
      <c r="CF40" s="770"/>
      <c r="CG40" s="770"/>
      <c r="CH40" s="770"/>
      <c r="CI40" s="770"/>
      <c r="CJ40" s="770"/>
      <c r="CK40" s="770"/>
      <c r="CL40" s="770"/>
    </row>
    <row r="41" spans="1:90">
      <c r="A41" s="770"/>
      <c r="B41" s="770"/>
      <c r="C41" s="770"/>
      <c r="D41" s="770"/>
      <c r="E41" s="770"/>
      <c r="F41" s="770"/>
      <c r="G41" s="770"/>
      <c r="H41" s="770"/>
      <c r="I41" s="770"/>
      <c r="J41" s="770"/>
      <c r="K41" s="770"/>
      <c r="L41" s="771"/>
      <c r="M41" s="771"/>
      <c r="N41" s="771"/>
      <c r="O41" s="771"/>
      <c r="P41" s="771"/>
      <c r="Q41" s="771"/>
      <c r="R41" s="771"/>
      <c r="S41" s="771"/>
      <c r="T41" s="771"/>
      <c r="U41" s="771"/>
      <c r="V41" s="771"/>
      <c r="W41" s="771"/>
      <c r="X41" s="770"/>
      <c r="Y41" s="770"/>
      <c r="Z41" s="770"/>
      <c r="AA41" s="770"/>
      <c r="AB41" s="770"/>
      <c r="AC41" s="770"/>
      <c r="AD41" s="770"/>
      <c r="AE41" s="770"/>
      <c r="AF41" s="770"/>
      <c r="AG41" s="770"/>
      <c r="AH41" s="770"/>
      <c r="AI41" s="770"/>
      <c r="AJ41" s="770"/>
      <c r="AK41" s="770"/>
      <c r="AL41" s="770"/>
      <c r="AM41" s="770"/>
      <c r="AN41" s="770"/>
      <c r="AO41" s="772"/>
      <c r="AP41" s="773"/>
      <c r="AQ41" s="770"/>
      <c r="AR41" s="770"/>
      <c r="AS41" s="770"/>
      <c r="AU41" s="770"/>
      <c r="AV41" s="770"/>
      <c r="AW41" s="770"/>
      <c r="AX41" s="770"/>
      <c r="AY41" s="770"/>
      <c r="AZ41" s="770"/>
      <c r="BA41" s="770"/>
      <c r="BB41" s="770"/>
      <c r="BC41" s="770"/>
      <c r="BD41" s="770"/>
      <c r="BE41" s="770"/>
      <c r="BF41" s="770"/>
      <c r="BG41" s="770"/>
      <c r="BH41" s="770"/>
      <c r="BI41" s="770"/>
      <c r="BJ41" s="770"/>
      <c r="BK41" s="770"/>
      <c r="BL41" s="770"/>
      <c r="BM41" s="770"/>
      <c r="BN41" s="770"/>
      <c r="BO41" s="770"/>
      <c r="BP41" s="770"/>
      <c r="BQ41" s="770"/>
      <c r="BR41" s="770"/>
      <c r="BS41" s="770"/>
      <c r="BT41" s="770"/>
      <c r="BU41" s="770"/>
      <c r="BV41" s="770"/>
      <c r="BW41" s="770"/>
      <c r="BX41" s="770"/>
      <c r="BY41" s="770"/>
      <c r="BZ41" s="770"/>
      <c r="CA41" s="770"/>
      <c r="CB41" s="770"/>
      <c r="CC41" s="770"/>
      <c r="CD41" s="770"/>
      <c r="CE41" s="770"/>
      <c r="CF41" s="770"/>
      <c r="CG41" s="770"/>
      <c r="CH41" s="770"/>
      <c r="CI41" s="770"/>
      <c r="CJ41" s="770"/>
      <c r="CK41" s="770"/>
      <c r="CL41" s="770"/>
    </row>
    <row r="42" spans="1:90">
      <c r="A42" s="770"/>
      <c r="B42" s="770"/>
      <c r="C42" s="770"/>
      <c r="D42" s="770"/>
      <c r="E42" s="770"/>
      <c r="F42" s="770"/>
      <c r="G42" s="770"/>
      <c r="H42" s="770"/>
      <c r="I42" s="770"/>
      <c r="J42" s="770"/>
      <c r="K42" s="770"/>
      <c r="L42" s="771"/>
      <c r="M42" s="771"/>
      <c r="N42" s="771"/>
      <c r="O42" s="771"/>
      <c r="P42" s="771"/>
      <c r="Q42" s="771"/>
      <c r="R42" s="771"/>
      <c r="S42" s="771"/>
      <c r="T42" s="771"/>
      <c r="U42" s="771"/>
      <c r="V42" s="771"/>
      <c r="W42" s="771"/>
      <c r="X42" s="770"/>
      <c r="Y42" s="770"/>
      <c r="Z42" s="770"/>
      <c r="AA42" s="770"/>
      <c r="AB42" s="770"/>
      <c r="AC42" s="770"/>
      <c r="AD42" s="770"/>
      <c r="AE42" s="770"/>
      <c r="AF42" s="770"/>
      <c r="AG42" s="770"/>
      <c r="AH42" s="770"/>
      <c r="AI42" s="770"/>
      <c r="AJ42" s="770"/>
      <c r="AK42" s="770"/>
      <c r="AL42" s="770"/>
      <c r="AM42" s="770"/>
      <c r="AN42" s="770"/>
      <c r="AO42" s="772"/>
      <c r="AP42" s="773"/>
      <c r="AQ42" s="770"/>
      <c r="AR42" s="770"/>
      <c r="AS42" s="770"/>
      <c r="AU42" s="770"/>
      <c r="AV42" s="770"/>
      <c r="AW42" s="770"/>
      <c r="AX42" s="770"/>
      <c r="AY42" s="770"/>
      <c r="AZ42" s="770"/>
      <c r="BA42" s="770"/>
      <c r="BB42" s="770"/>
      <c r="BC42" s="770"/>
      <c r="BD42" s="770"/>
      <c r="BE42" s="770"/>
      <c r="BF42" s="770"/>
      <c r="BG42" s="770"/>
      <c r="BH42" s="770"/>
      <c r="BI42" s="770"/>
      <c r="BJ42" s="770"/>
      <c r="BK42" s="770"/>
      <c r="BL42" s="770"/>
      <c r="BM42" s="770"/>
      <c r="BN42" s="770"/>
      <c r="BO42" s="770"/>
      <c r="BP42" s="770"/>
      <c r="BQ42" s="770"/>
      <c r="BR42" s="770"/>
      <c r="BS42" s="770"/>
      <c r="BT42" s="770"/>
      <c r="BU42" s="770"/>
      <c r="BV42" s="770"/>
      <c r="BW42" s="770"/>
      <c r="BX42" s="770"/>
      <c r="BY42" s="770"/>
      <c r="BZ42" s="770"/>
      <c r="CA42" s="770"/>
      <c r="CB42" s="770"/>
      <c r="CC42" s="770"/>
      <c r="CD42" s="770"/>
      <c r="CE42" s="770"/>
      <c r="CF42" s="770"/>
      <c r="CG42" s="770"/>
      <c r="CH42" s="770"/>
      <c r="CI42" s="770"/>
      <c r="CJ42" s="770"/>
      <c r="CK42" s="770"/>
      <c r="CL42" s="770"/>
    </row>
    <row r="43" spans="1:90">
      <c r="A43" s="770"/>
      <c r="B43" s="770"/>
      <c r="C43" s="770"/>
      <c r="D43" s="770"/>
      <c r="E43" s="770"/>
      <c r="F43" s="770"/>
      <c r="G43" s="770"/>
      <c r="H43" s="770"/>
      <c r="I43" s="770"/>
      <c r="J43" s="770"/>
      <c r="K43" s="770"/>
      <c r="L43" s="771"/>
      <c r="M43" s="771"/>
      <c r="N43" s="771"/>
      <c r="O43" s="771"/>
      <c r="P43" s="771"/>
      <c r="Q43" s="771"/>
      <c r="R43" s="771"/>
      <c r="S43" s="771"/>
      <c r="T43" s="771"/>
      <c r="U43" s="771"/>
      <c r="V43" s="771"/>
      <c r="W43" s="771"/>
      <c r="X43" s="770"/>
      <c r="Y43" s="770"/>
      <c r="Z43" s="770"/>
      <c r="AA43" s="770"/>
      <c r="AB43" s="770"/>
      <c r="AC43" s="770"/>
      <c r="AD43" s="770"/>
      <c r="AE43" s="770"/>
      <c r="AF43" s="770"/>
      <c r="AG43" s="770"/>
      <c r="AH43" s="770"/>
      <c r="AI43" s="770"/>
      <c r="AJ43" s="770"/>
      <c r="AK43" s="770"/>
      <c r="AL43" s="770"/>
      <c r="AM43" s="770"/>
      <c r="AN43" s="770"/>
      <c r="AO43" s="772"/>
      <c r="AP43" s="773"/>
      <c r="AQ43" s="770"/>
      <c r="AR43" s="770"/>
      <c r="AS43" s="770"/>
      <c r="AU43" s="770"/>
      <c r="AV43" s="770"/>
      <c r="AW43" s="770"/>
      <c r="AX43" s="770"/>
      <c r="AY43" s="770"/>
      <c r="AZ43" s="770"/>
      <c r="BA43" s="770"/>
      <c r="BB43" s="770"/>
      <c r="BC43" s="770"/>
      <c r="BD43" s="770"/>
      <c r="BE43" s="770"/>
      <c r="BF43" s="770"/>
      <c r="BG43" s="770"/>
      <c r="BH43" s="770"/>
      <c r="BI43" s="770"/>
      <c r="BJ43" s="770"/>
      <c r="BK43" s="770"/>
      <c r="BL43" s="770"/>
      <c r="BM43" s="770"/>
      <c r="BN43" s="770"/>
      <c r="BO43" s="770"/>
      <c r="BP43" s="770"/>
      <c r="BQ43" s="770"/>
      <c r="BR43" s="770"/>
      <c r="BS43" s="770"/>
      <c r="BT43" s="770"/>
      <c r="BU43" s="770"/>
      <c r="BV43" s="770"/>
      <c r="BW43" s="770"/>
      <c r="BX43" s="770"/>
      <c r="BY43" s="770"/>
      <c r="BZ43" s="770"/>
      <c r="CA43" s="770"/>
      <c r="CB43" s="770"/>
      <c r="CC43" s="770"/>
      <c r="CD43" s="770"/>
      <c r="CE43" s="770"/>
      <c r="CF43" s="770"/>
      <c r="CG43" s="770"/>
      <c r="CH43" s="770"/>
      <c r="CI43" s="770"/>
      <c r="CJ43" s="770"/>
      <c r="CK43" s="770"/>
      <c r="CL43" s="770"/>
    </row>
    <row r="44" spans="1:90">
      <c r="A44" s="770"/>
      <c r="B44" s="770"/>
      <c r="C44" s="770"/>
      <c r="D44" s="770"/>
      <c r="E44" s="770"/>
      <c r="F44" s="770"/>
      <c r="G44" s="770"/>
      <c r="H44" s="770"/>
      <c r="I44" s="770"/>
      <c r="J44" s="770"/>
      <c r="K44" s="770"/>
      <c r="L44" s="771"/>
      <c r="M44" s="771"/>
      <c r="N44" s="771"/>
      <c r="O44" s="771"/>
      <c r="P44" s="771"/>
      <c r="Q44" s="771"/>
      <c r="R44" s="771"/>
      <c r="S44" s="771"/>
      <c r="T44" s="771"/>
      <c r="U44" s="771"/>
      <c r="V44" s="771"/>
      <c r="W44" s="771"/>
      <c r="X44" s="770"/>
      <c r="Y44" s="770"/>
      <c r="Z44" s="770"/>
      <c r="AA44" s="770"/>
      <c r="AB44" s="770"/>
      <c r="AC44" s="770"/>
      <c r="AD44" s="770"/>
      <c r="AE44" s="770"/>
      <c r="AF44" s="770"/>
      <c r="AG44" s="770"/>
      <c r="AH44" s="770"/>
      <c r="AI44" s="770"/>
      <c r="AJ44" s="770"/>
      <c r="AK44" s="770"/>
      <c r="AL44" s="770"/>
      <c r="AM44" s="770"/>
      <c r="AN44" s="770"/>
      <c r="AO44" s="772"/>
      <c r="AP44" s="773"/>
      <c r="AQ44" s="770"/>
      <c r="AR44" s="770"/>
      <c r="AS44" s="770"/>
      <c r="AU44" s="770"/>
      <c r="AV44" s="770"/>
      <c r="AW44" s="770"/>
      <c r="AX44" s="770"/>
      <c r="AY44" s="770"/>
      <c r="AZ44" s="770"/>
      <c r="BA44" s="770"/>
      <c r="BB44" s="770"/>
      <c r="BC44" s="770"/>
      <c r="BD44" s="770"/>
      <c r="BE44" s="770"/>
      <c r="BF44" s="770"/>
      <c r="BG44" s="770"/>
      <c r="BH44" s="770"/>
      <c r="BI44" s="770"/>
      <c r="BJ44" s="770"/>
      <c r="BK44" s="770"/>
      <c r="BL44" s="770"/>
      <c r="BM44" s="770"/>
      <c r="BN44" s="770"/>
      <c r="BO44" s="770"/>
      <c r="BP44" s="770"/>
      <c r="BQ44" s="770"/>
      <c r="BR44" s="770"/>
      <c r="BS44" s="770"/>
      <c r="BT44" s="770"/>
      <c r="BU44" s="770"/>
      <c r="BV44" s="770"/>
      <c r="BW44" s="770"/>
      <c r="BX44" s="770"/>
      <c r="BY44" s="770"/>
      <c r="BZ44" s="770"/>
      <c r="CA44" s="770"/>
      <c r="CB44" s="770"/>
      <c r="CC44" s="770"/>
      <c r="CD44" s="770"/>
      <c r="CE44" s="770"/>
      <c r="CF44" s="770"/>
      <c r="CG44" s="770"/>
      <c r="CH44" s="770"/>
      <c r="CI44" s="770"/>
      <c r="CJ44" s="770"/>
      <c r="CK44" s="770"/>
      <c r="CL44" s="770"/>
    </row>
    <row r="45" spans="1:90">
      <c r="A45" s="770"/>
      <c r="B45" s="770"/>
      <c r="C45" s="770"/>
      <c r="D45" s="770"/>
      <c r="E45" s="770"/>
      <c r="F45" s="770"/>
      <c r="G45" s="770"/>
      <c r="H45" s="770"/>
      <c r="I45" s="770"/>
      <c r="J45" s="770"/>
      <c r="K45" s="770"/>
      <c r="L45" s="771"/>
      <c r="M45" s="771"/>
      <c r="N45" s="771"/>
      <c r="O45" s="771"/>
      <c r="P45" s="771"/>
      <c r="Q45" s="771"/>
      <c r="R45" s="771"/>
      <c r="S45" s="771"/>
      <c r="T45" s="771"/>
      <c r="U45" s="771"/>
      <c r="V45" s="771"/>
      <c r="W45" s="771"/>
      <c r="X45" s="770"/>
      <c r="Y45" s="770"/>
      <c r="Z45" s="770"/>
      <c r="AA45" s="770"/>
      <c r="AB45" s="770"/>
      <c r="AC45" s="770"/>
      <c r="AD45" s="770"/>
      <c r="AE45" s="770"/>
      <c r="AF45" s="770"/>
      <c r="AG45" s="770"/>
      <c r="AH45" s="770"/>
      <c r="AI45" s="770"/>
      <c r="AJ45" s="770"/>
      <c r="AK45" s="770"/>
      <c r="AL45" s="770"/>
      <c r="AM45" s="770"/>
      <c r="AN45" s="770"/>
      <c r="AO45" s="772"/>
      <c r="AP45" s="773"/>
      <c r="AQ45" s="770"/>
      <c r="AR45" s="770"/>
      <c r="AS45" s="770"/>
      <c r="AU45" s="770"/>
      <c r="AV45" s="770"/>
      <c r="AW45" s="770"/>
      <c r="AX45" s="770"/>
      <c r="AY45" s="770"/>
      <c r="AZ45" s="770"/>
      <c r="BA45" s="770"/>
      <c r="BB45" s="770"/>
      <c r="BC45" s="770"/>
      <c r="BD45" s="770"/>
      <c r="BE45" s="770"/>
      <c r="BF45" s="770"/>
      <c r="BG45" s="770"/>
      <c r="BH45" s="770"/>
      <c r="BI45" s="770"/>
      <c r="BJ45" s="770"/>
      <c r="BK45" s="770"/>
      <c r="BL45" s="770"/>
      <c r="BM45" s="770"/>
      <c r="BN45" s="770"/>
      <c r="BO45" s="770"/>
      <c r="BP45" s="770"/>
      <c r="BQ45" s="770"/>
      <c r="BR45" s="770"/>
      <c r="BS45" s="770"/>
      <c r="BT45" s="770"/>
      <c r="BU45" s="770"/>
      <c r="BV45" s="770"/>
      <c r="BW45" s="770"/>
      <c r="BX45" s="770"/>
      <c r="BY45" s="770"/>
      <c r="BZ45" s="770"/>
      <c r="CA45" s="770"/>
      <c r="CB45" s="770"/>
      <c r="CC45" s="770"/>
      <c r="CD45" s="770"/>
      <c r="CE45" s="770"/>
      <c r="CF45" s="770"/>
      <c r="CG45" s="770"/>
      <c r="CH45" s="770"/>
      <c r="CI45" s="770"/>
      <c r="CJ45" s="770"/>
      <c r="CK45" s="770"/>
      <c r="CL45" s="770"/>
    </row>
    <row r="46" spans="1:90">
      <c r="A46" s="770"/>
      <c r="B46" s="770"/>
      <c r="C46" s="770"/>
      <c r="D46" s="770"/>
      <c r="E46" s="770"/>
      <c r="F46" s="770"/>
      <c r="G46" s="770"/>
      <c r="H46" s="770"/>
      <c r="I46" s="770"/>
      <c r="J46" s="770"/>
      <c r="K46" s="770"/>
      <c r="L46" s="771"/>
      <c r="M46" s="771"/>
      <c r="N46" s="771"/>
      <c r="O46" s="771"/>
      <c r="P46" s="771"/>
      <c r="Q46" s="771"/>
      <c r="R46" s="771"/>
      <c r="S46" s="771"/>
      <c r="T46" s="771"/>
      <c r="U46" s="771"/>
      <c r="V46" s="771"/>
      <c r="W46" s="771"/>
      <c r="X46" s="770"/>
      <c r="Y46" s="770"/>
      <c r="Z46" s="770"/>
      <c r="AA46" s="770"/>
      <c r="AB46" s="770"/>
      <c r="AC46" s="770"/>
      <c r="AD46" s="770"/>
      <c r="AE46" s="770"/>
      <c r="AF46" s="770"/>
      <c r="AG46" s="770"/>
      <c r="AH46" s="770"/>
      <c r="AI46" s="770"/>
      <c r="AJ46" s="770"/>
      <c r="AK46" s="770"/>
      <c r="AL46" s="770"/>
      <c r="AM46" s="770"/>
      <c r="AN46" s="770"/>
      <c r="AO46" s="772"/>
      <c r="AP46" s="773"/>
      <c r="AQ46" s="770"/>
      <c r="AR46" s="770"/>
      <c r="AS46" s="770"/>
      <c r="AU46" s="770"/>
      <c r="AV46" s="770"/>
      <c r="AW46" s="770"/>
      <c r="AX46" s="770"/>
      <c r="AY46" s="770"/>
      <c r="AZ46" s="770"/>
      <c r="BA46" s="770"/>
      <c r="BB46" s="770"/>
      <c r="BC46" s="770"/>
      <c r="BD46" s="770"/>
      <c r="BE46" s="770"/>
      <c r="BF46" s="770"/>
      <c r="BG46" s="770"/>
      <c r="BH46" s="770"/>
      <c r="BI46" s="770"/>
      <c r="BJ46" s="770"/>
      <c r="BK46" s="770"/>
      <c r="BL46" s="770"/>
      <c r="BM46" s="770"/>
      <c r="BN46" s="770"/>
      <c r="BO46" s="770"/>
      <c r="BP46" s="770"/>
      <c r="BQ46" s="770"/>
      <c r="BR46" s="770"/>
      <c r="BS46" s="770"/>
      <c r="BT46" s="770"/>
      <c r="BU46" s="770"/>
      <c r="BV46" s="770"/>
      <c r="BW46" s="770"/>
      <c r="BX46" s="770"/>
      <c r="BY46" s="770"/>
      <c r="BZ46" s="770"/>
      <c r="CA46" s="770"/>
      <c r="CB46" s="770"/>
      <c r="CC46" s="770"/>
      <c r="CD46" s="770"/>
      <c r="CE46" s="770"/>
      <c r="CF46" s="770"/>
      <c r="CG46" s="770"/>
      <c r="CH46" s="770"/>
      <c r="CI46" s="770"/>
      <c r="CJ46" s="770"/>
      <c r="CK46" s="770"/>
      <c r="CL46" s="770"/>
    </row>
    <row r="47" spans="1:90">
      <c r="A47" s="770"/>
      <c r="B47" s="770"/>
      <c r="C47" s="770"/>
      <c r="D47" s="770"/>
      <c r="E47" s="770"/>
      <c r="F47" s="770"/>
      <c r="G47" s="770"/>
      <c r="H47" s="770"/>
      <c r="I47" s="770"/>
      <c r="J47" s="770"/>
      <c r="K47" s="770"/>
      <c r="L47" s="771"/>
      <c r="M47" s="771"/>
      <c r="N47" s="771"/>
      <c r="O47" s="771"/>
      <c r="P47" s="771"/>
      <c r="Q47" s="771"/>
      <c r="R47" s="771"/>
      <c r="S47" s="771"/>
      <c r="T47" s="771"/>
      <c r="U47" s="771"/>
      <c r="V47" s="771"/>
      <c r="W47" s="771"/>
      <c r="X47" s="770"/>
      <c r="Y47" s="770"/>
      <c r="Z47" s="770"/>
      <c r="AA47" s="770"/>
      <c r="AB47" s="770"/>
      <c r="AC47" s="770"/>
      <c r="AD47" s="770"/>
      <c r="AE47" s="770"/>
      <c r="AF47" s="770"/>
      <c r="AG47" s="770"/>
      <c r="AH47" s="770"/>
      <c r="AI47" s="770"/>
      <c r="AJ47" s="770"/>
      <c r="AK47" s="770"/>
      <c r="AL47" s="770"/>
      <c r="AM47" s="770"/>
      <c r="AN47" s="770"/>
      <c r="AO47" s="772"/>
      <c r="AP47" s="773"/>
      <c r="AQ47" s="770"/>
      <c r="AR47" s="770"/>
      <c r="AS47" s="770"/>
      <c r="AU47" s="770"/>
      <c r="AV47" s="770"/>
      <c r="AW47" s="770"/>
      <c r="AX47" s="770"/>
      <c r="AY47" s="770"/>
      <c r="AZ47" s="770"/>
      <c r="BA47" s="770"/>
      <c r="BB47" s="770"/>
      <c r="BC47" s="770"/>
      <c r="BD47" s="770"/>
      <c r="BE47" s="770"/>
      <c r="BF47" s="770"/>
      <c r="BG47" s="770"/>
      <c r="BH47" s="770"/>
      <c r="BI47" s="770"/>
      <c r="BJ47" s="770"/>
      <c r="BK47" s="770"/>
      <c r="BL47" s="770"/>
      <c r="BM47" s="770"/>
      <c r="BN47" s="770"/>
      <c r="BO47" s="770"/>
      <c r="BP47" s="770"/>
      <c r="BQ47" s="770"/>
      <c r="BR47" s="770"/>
      <c r="BS47" s="770"/>
      <c r="BT47" s="770"/>
      <c r="BU47" s="770"/>
      <c r="BV47" s="770"/>
      <c r="BW47" s="770"/>
      <c r="BX47" s="770"/>
      <c r="BY47" s="770"/>
      <c r="BZ47" s="770"/>
      <c r="CA47" s="770"/>
      <c r="CB47" s="770"/>
      <c r="CC47" s="770"/>
      <c r="CD47" s="770"/>
      <c r="CE47" s="770"/>
      <c r="CF47" s="770"/>
      <c r="CG47" s="770"/>
      <c r="CH47" s="770"/>
      <c r="CI47" s="770"/>
      <c r="CJ47" s="770"/>
      <c r="CK47" s="770"/>
      <c r="CL47" s="770"/>
    </row>
    <row r="48" spans="1:90">
      <c r="A48" s="770"/>
      <c r="B48" s="770"/>
      <c r="C48" s="770"/>
      <c r="D48" s="770"/>
      <c r="E48" s="770"/>
      <c r="F48" s="770"/>
      <c r="G48" s="770"/>
      <c r="H48" s="770"/>
      <c r="I48" s="770"/>
      <c r="J48" s="770"/>
      <c r="K48" s="770"/>
      <c r="L48" s="771"/>
      <c r="M48" s="771"/>
      <c r="N48" s="771"/>
      <c r="O48" s="771"/>
      <c r="P48" s="771"/>
      <c r="Q48" s="771"/>
      <c r="R48" s="771"/>
      <c r="S48" s="771"/>
      <c r="T48" s="771"/>
      <c r="U48" s="771"/>
      <c r="V48" s="771"/>
      <c r="W48" s="771"/>
      <c r="X48" s="770"/>
      <c r="Y48" s="770"/>
      <c r="Z48" s="770"/>
      <c r="AA48" s="770"/>
      <c r="AB48" s="770"/>
      <c r="AC48" s="770"/>
      <c r="AD48" s="770"/>
      <c r="AE48" s="770"/>
      <c r="AF48" s="770"/>
      <c r="AG48" s="770"/>
      <c r="AH48" s="770"/>
      <c r="AI48" s="770"/>
      <c r="AJ48" s="770"/>
      <c r="AK48" s="770"/>
      <c r="AL48" s="770"/>
      <c r="AM48" s="770"/>
      <c r="AN48" s="770"/>
      <c r="AO48" s="772"/>
      <c r="AP48" s="773"/>
      <c r="AQ48" s="770"/>
      <c r="AR48" s="770"/>
      <c r="AS48" s="770"/>
      <c r="AU48" s="770"/>
      <c r="AV48" s="770"/>
      <c r="AW48" s="770"/>
      <c r="AX48" s="770"/>
      <c r="AY48" s="770"/>
      <c r="AZ48" s="770"/>
      <c r="BA48" s="770"/>
      <c r="BB48" s="770"/>
      <c r="BC48" s="770"/>
      <c r="BD48" s="770"/>
      <c r="BE48" s="770"/>
      <c r="BF48" s="770"/>
      <c r="BG48" s="770"/>
      <c r="BH48" s="770"/>
      <c r="BI48" s="770"/>
      <c r="BJ48" s="770"/>
      <c r="BK48" s="770"/>
      <c r="BL48" s="770"/>
      <c r="BM48" s="770"/>
      <c r="BN48" s="770"/>
      <c r="BO48" s="770"/>
      <c r="BP48" s="770"/>
      <c r="BQ48" s="770"/>
      <c r="BR48" s="770"/>
      <c r="BS48" s="770"/>
      <c r="BT48" s="770"/>
      <c r="BU48" s="770"/>
      <c r="BV48" s="770"/>
      <c r="BW48" s="770"/>
      <c r="BX48" s="770"/>
      <c r="BY48" s="770"/>
      <c r="BZ48" s="770"/>
      <c r="CA48" s="770"/>
      <c r="CB48" s="770"/>
      <c r="CC48" s="770"/>
      <c r="CD48" s="770"/>
      <c r="CE48" s="770"/>
      <c r="CF48" s="770"/>
      <c r="CG48" s="770"/>
      <c r="CH48" s="770"/>
      <c r="CI48" s="770"/>
      <c r="CJ48" s="770"/>
      <c r="CK48" s="770"/>
      <c r="CL48" s="770"/>
    </row>
    <row r="49" spans="1:90">
      <c r="A49" s="770"/>
      <c r="B49" s="770"/>
      <c r="C49" s="770"/>
      <c r="D49" s="770"/>
      <c r="E49" s="770"/>
      <c r="F49" s="770"/>
      <c r="G49" s="770"/>
      <c r="H49" s="770"/>
      <c r="I49" s="770"/>
      <c r="J49" s="770"/>
      <c r="K49" s="770"/>
      <c r="L49" s="771"/>
      <c r="M49" s="771"/>
      <c r="N49" s="771"/>
      <c r="O49" s="771"/>
      <c r="P49" s="771"/>
      <c r="Q49" s="771"/>
      <c r="R49" s="771"/>
      <c r="S49" s="771"/>
      <c r="T49" s="771"/>
      <c r="U49" s="771"/>
      <c r="V49" s="771"/>
      <c r="W49" s="771"/>
      <c r="X49" s="770"/>
      <c r="Y49" s="770"/>
      <c r="Z49" s="770"/>
      <c r="AA49" s="770"/>
      <c r="AB49" s="770"/>
      <c r="AC49" s="770"/>
      <c r="AD49" s="770"/>
      <c r="AE49" s="770"/>
      <c r="AF49" s="770"/>
      <c r="AG49" s="770"/>
      <c r="AH49" s="770"/>
      <c r="AI49" s="770"/>
      <c r="AJ49" s="770"/>
      <c r="AK49" s="770"/>
      <c r="AL49" s="770"/>
      <c r="AM49" s="770"/>
      <c r="AN49" s="770"/>
      <c r="AO49" s="772"/>
      <c r="AP49" s="773"/>
      <c r="AQ49" s="770"/>
      <c r="AR49" s="770"/>
      <c r="AS49" s="770"/>
      <c r="AU49" s="770"/>
      <c r="AV49" s="770"/>
      <c r="AW49" s="770"/>
      <c r="AX49" s="770"/>
      <c r="AY49" s="770"/>
      <c r="AZ49" s="770"/>
      <c r="BA49" s="770"/>
      <c r="BB49" s="770"/>
      <c r="BC49" s="770"/>
      <c r="BD49" s="770"/>
      <c r="BE49" s="770"/>
      <c r="BF49" s="770"/>
      <c r="BG49" s="770"/>
      <c r="BH49" s="770"/>
      <c r="BI49" s="770"/>
      <c r="BJ49" s="770"/>
      <c r="BK49" s="770"/>
      <c r="BL49" s="770"/>
      <c r="BM49" s="770"/>
      <c r="BN49" s="770"/>
      <c r="BO49" s="770"/>
      <c r="BP49" s="770"/>
      <c r="BQ49" s="770"/>
      <c r="BR49" s="770"/>
      <c r="BS49" s="770"/>
      <c r="BT49" s="770"/>
      <c r="BU49" s="770"/>
      <c r="BV49" s="770"/>
      <c r="BW49" s="770"/>
      <c r="BX49" s="770"/>
      <c r="BY49" s="770"/>
      <c r="BZ49" s="770"/>
      <c r="CA49" s="770"/>
      <c r="CB49" s="770"/>
      <c r="CC49" s="770"/>
      <c r="CD49" s="770"/>
      <c r="CE49" s="770"/>
      <c r="CF49" s="770"/>
      <c r="CG49" s="770"/>
      <c r="CH49" s="770"/>
      <c r="CI49" s="770"/>
      <c r="CJ49" s="770"/>
      <c r="CK49" s="770"/>
      <c r="CL49" s="770"/>
    </row>
    <row r="50" spans="1:90">
      <c r="A50" s="770"/>
      <c r="B50" s="770"/>
      <c r="C50" s="770"/>
      <c r="D50" s="770"/>
      <c r="E50" s="770"/>
      <c r="F50" s="770"/>
      <c r="G50" s="770"/>
      <c r="H50" s="770"/>
      <c r="I50" s="770"/>
      <c r="J50" s="770"/>
      <c r="K50" s="770"/>
      <c r="L50" s="771"/>
      <c r="M50" s="771"/>
      <c r="N50" s="771"/>
      <c r="O50" s="771"/>
      <c r="P50" s="771"/>
      <c r="Q50" s="771"/>
      <c r="R50" s="771"/>
      <c r="S50" s="771"/>
      <c r="T50" s="771"/>
      <c r="U50" s="771"/>
      <c r="V50" s="771"/>
      <c r="W50" s="771"/>
      <c r="X50" s="770"/>
      <c r="Y50" s="770"/>
      <c r="Z50" s="770"/>
      <c r="AA50" s="770"/>
      <c r="AB50" s="770"/>
      <c r="AC50" s="770"/>
      <c r="AD50" s="770"/>
      <c r="AE50" s="770"/>
      <c r="AF50" s="770"/>
      <c r="AG50" s="770"/>
      <c r="AH50" s="770"/>
      <c r="AI50" s="770"/>
      <c r="AJ50" s="770"/>
      <c r="AK50" s="770"/>
      <c r="AL50" s="770"/>
      <c r="AM50" s="770"/>
      <c r="AN50" s="770"/>
      <c r="AO50" s="772"/>
      <c r="AP50" s="773"/>
      <c r="AQ50" s="770"/>
      <c r="AR50" s="770"/>
      <c r="AS50" s="770"/>
      <c r="AU50" s="770"/>
      <c r="AV50" s="770"/>
      <c r="AW50" s="770"/>
      <c r="AX50" s="770"/>
      <c r="AY50" s="770"/>
      <c r="AZ50" s="770"/>
      <c r="BA50" s="770"/>
      <c r="BB50" s="770"/>
      <c r="BC50" s="770"/>
      <c r="BD50" s="770"/>
      <c r="BE50" s="770"/>
      <c r="BF50" s="770"/>
      <c r="BG50" s="770"/>
      <c r="BH50" s="770"/>
      <c r="BI50" s="770"/>
      <c r="BJ50" s="770"/>
      <c r="BK50" s="770"/>
      <c r="BL50" s="770"/>
      <c r="BM50" s="770"/>
      <c r="BN50" s="770"/>
      <c r="BO50" s="770"/>
      <c r="BP50" s="770"/>
      <c r="BQ50" s="770"/>
      <c r="BR50" s="770"/>
      <c r="BS50" s="770"/>
      <c r="BT50" s="770"/>
      <c r="BU50" s="770"/>
      <c r="BV50" s="770"/>
      <c r="BW50" s="770"/>
      <c r="BX50" s="770"/>
      <c r="BY50" s="770"/>
      <c r="BZ50" s="770"/>
      <c r="CA50" s="770"/>
      <c r="CB50" s="770"/>
      <c r="CC50" s="770"/>
      <c r="CD50" s="770"/>
      <c r="CE50" s="770"/>
      <c r="CF50" s="770"/>
      <c r="CG50" s="770"/>
      <c r="CH50" s="770"/>
      <c r="CI50" s="770"/>
      <c r="CJ50" s="770"/>
      <c r="CK50" s="770"/>
      <c r="CL50" s="770"/>
    </row>
    <row r="51" spans="1:90">
      <c r="A51" s="770"/>
      <c r="B51" s="770"/>
      <c r="C51" s="770"/>
      <c r="D51" s="770"/>
      <c r="E51" s="770"/>
      <c r="F51" s="770"/>
      <c r="G51" s="770"/>
      <c r="H51" s="770"/>
      <c r="I51" s="770"/>
      <c r="J51" s="770"/>
      <c r="K51" s="770"/>
      <c r="L51" s="771"/>
      <c r="M51" s="771"/>
      <c r="N51" s="771"/>
      <c r="O51" s="771"/>
      <c r="P51" s="771"/>
      <c r="Q51" s="771"/>
      <c r="R51" s="771"/>
      <c r="S51" s="771"/>
      <c r="T51" s="771"/>
      <c r="U51" s="771"/>
      <c r="V51" s="771"/>
      <c r="W51" s="771"/>
      <c r="X51" s="770"/>
      <c r="Y51" s="770"/>
      <c r="Z51" s="770"/>
      <c r="AA51" s="770"/>
      <c r="AB51" s="770"/>
      <c r="AC51" s="770"/>
      <c r="AD51" s="770"/>
      <c r="AE51" s="770"/>
      <c r="AF51" s="770"/>
      <c r="AG51" s="770"/>
      <c r="AH51" s="770"/>
      <c r="AI51" s="770"/>
      <c r="AJ51" s="770"/>
      <c r="AK51" s="770"/>
      <c r="AL51" s="770"/>
      <c r="AM51" s="770"/>
      <c r="AN51" s="770"/>
      <c r="AO51" s="772"/>
      <c r="AP51" s="773"/>
      <c r="AQ51" s="770"/>
      <c r="AR51" s="770"/>
      <c r="AS51" s="770"/>
      <c r="AU51" s="770"/>
      <c r="AV51" s="770"/>
      <c r="AW51" s="770"/>
      <c r="AX51" s="770"/>
      <c r="AY51" s="770"/>
      <c r="AZ51" s="770"/>
      <c r="BA51" s="770"/>
      <c r="BB51" s="770"/>
      <c r="BC51" s="770"/>
      <c r="BD51" s="770"/>
      <c r="BE51" s="770"/>
      <c r="BF51" s="770"/>
      <c r="BG51" s="770"/>
      <c r="BH51" s="770"/>
      <c r="BI51" s="770"/>
      <c r="BJ51" s="770"/>
      <c r="BK51" s="770"/>
      <c r="BL51" s="770"/>
      <c r="BM51" s="770"/>
      <c r="BN51" s="770"/>
      <c r="BO51" s="770"/>
      <c r="BP51" s="770"/>
      <c r="BQ51" s="770"/>
      <c r="BR51" s="770"/>
      <c r="BS51" s="770"/>
      <c r="BT51" s="770"/>
      <c r="BU51" s="770"/>
      <c r="BV51" s="770"/>
      <c r="BW51" s="770"/>
      <c r="BX51" s="770"/>
      <c r="BY51" s="770"/>
      <c r="BZ51" s="770"/>
      <c r="CA51" s="770"/>
      <c r="CB51" s="770"/>
      <c r="CC51" s="770"/>
      <c r="CD51" s="770"/>
      <c r="CE51" s="770"/>
      <c r="CF51" s="770"/>
      <c r="CG51" s="770"/>
      <c r="CH51" s="770"/>
      <c r="CI51" s="770"/>
      <c r="CJ51" s="770"/>
      <c r="CK51" s="770"/>
      <c r="CL51" s="770"/>
    </row>
    <row r="52" spans="1:90">
      <c r="A52" s="770"/>
      <c r="B52" s="770"/>
      <c r="C52" s="770"/>
      <c r="D52" s="770"/>
      <c r="E52" s="770"/>
      <c r="F52" s="770"/>
      <c r="G52" s="770"/>
      <c r="H52" s="770"/>
      <c r="I52" s="770"/>
      <c r="J52" s="770"/>
      <c r="K52" s="770"/>
      <c r="L52" s="771"/>
      <c r="M52" s="771"/>
      <c r="N52" s="771"/>
      <c r="O52" s="771"/>
      <c r="P52" s="771"/>
      <c r="Q52" s="771"/>
      <c r="R52" s="771"/>
      <c r="S52" s="771"/>
      <c r="T52" s="771"/>
      <c r="U52" s="771"/>
      <c r="V52" s="771"/>
      <c r="W52" s="771"/>
      <c r="X52" s="770"/>
      <c r="Y52" s="770"/>
      <c r="Z52" s="770"/>
      <c r="AA52" s="770"/>
      <c r="AB52" s="770"/>
      <c r="AC52" s="770"/>
      <c r="AD52" s="770"/>
      <c r="AE52" s="770"/>
      <c r="AF52" s="770"/>
      <c r="AG52" s="770"/>
      <c r="AH52" s="770"/>
      <c r="AI52" s="770"/>
      <c r="AJ52" s="770"/>
      <c r="AK52" s="770"/>
      <c r="AL52" s="770"/>
      <c r="AM52" s="770"/>
      <c r="AN52" s="770"/>
      <c r="AO52" s="772"/>
      <c r="AP52" s="773"/>
      <c r="AQ52" s="770"/>
      <c r="AR52" s="770"/>
      <c r="AS52" s="770"/>
      <c r="AU52" s="770"/>
      <c r="AV52" s="770"/>
      <c r="AW52" s="770"/>
      <c r="AX52" s="770"/>
      <c r="AY52" s="770"/>
      <c r="AZ52" s="770"/>
      <c r="BA52" s="770"/>
      <c r="BB52" s="770"/>
      <c r="BC52" s="770"/>
      <c r="BD52" s="770"/>
      <c r="BE52" s="770"/>
      <c r="BF52" s="770"/>
      <c r="BG52" s="770"/>
      <c r="BH52" s="770"/>
      <c r="BI52" s="770"/>
      <c r="BJ52" s="770"/>
      <c r="BK52" s="770"/>
      <c r="BL52" s="770"/>
      <c r="BM52" s="770"/>
      <c r="BN52" s="770"/>
      <c r="BO52" s="770"/>
      <c r="BP52" s="770"/>
      <c r="BQ52" s="770"/>
      <c r="BR52" s="770"/>
      <c r="BS52" s="770"/>
      <c r="BT52" s="770"/>
      <c r="BU52" s="770"/>
      <c r="BV52" s="770"/>
      <c r="BW52" s="770"/>
      <c r="BX52" s="770"/>
      <c r="BY52" s="770"/>
      <c r="BZ52" s="770"/>
      <c r="CA52" s="770"/>
      <c r="CB52" s="770"/>
      <c r="CC52" s="770"/>
      <c r="CD52" s="770"/>
      <c r="CE52" s="770"/>
      <c r="CF52" s="770"/>
      <c r="CG52" s="770"/>
      <c r="CH52" s="770"/>
      <c r="CI52" s="770"/>
      <c r="CJ52" s="770"/>
      <c r="CK52" s="770"/>
      <c r="CL52" s="770"/>
    </row>
    <row r="53" spans="1:90">
      <c r="A53" s="770"/>
      <c r="B53" s="770"/>
      <c r="C53" s="770"/>
      <c r="D53" s="770"/>
      <c r="E53" s="770"/>
      <c r="F53" s="770"/>
      <c r="G53" s="770"/>
      <c r="H53" s="770"/>
      <c r="I53" s="770"/>
      <c r="J53" s="770"/>
      <c r="K53" s="770"/>
      <c r="L53" s="771"/>
      <c r="M53" s="771"/>
      <c r="N53" s="771"/>
      <c r="O53" s="771"/>
      <c r="P53" s="771"/>
      <c r="Q53" s="771"/>
      <c r="R53" s="771"/>
      <c r="S53" s="771"/>
      <c r="T53" s="771"/>
      <c r="U53" s="771"/>
      <c r="V53" s="771"/>
      <c r="W53" s="771"/>
      <c r="X53" s="770"/>
      <c r="Y53" s="770"/>
      <c r="Z53" s="770"/>
      <c r="AA53" s="770"/>
      <c r="AB53" s="770"/>
      <c r="AC53" s="770"/>
      <c r="AD53" s="770"/>
      <c r="AE53" s="770"/>
      <c r="AF53" s="770"/>
      <c r="AG53" s="770"/>
      <c r="AH53" s="770"/>
      <c r="AI53" s="770"/>
      <c r="AJ53" s="770"/>
      <c r="AK53" s="770"/>
      <c r="AL53" s="770"/>
      <c r="AM53" s="770"/>
      <c r="AN53" s="770"/>
      <c r="AO53" s="772"/>
      <c r="AP53" s="773"/>
      <c r="AQ53" s="770"/>
      <c r="AR53" s="770"/>
      <c r="AS53" s="770"/>
      <c r="AU53" s="770"/>
      <c r="AV53" s="770"/>
      <c r="AW53" s="770"/>
      <c r="AX53" s="770"/>
      <c r="AY53" s="770"/>
      <c r="AZ53" s="770"/>
      <c r="BA53" s="770"/>
      <c r="BB53" s="770"/>
      <c r="BC53" s="770"/>
      <c r="BD53" s="770"/>
      <c r="BE53" s="770"/>
      <c r="BF53" s="770"/>
      <c r="BG53" s="770"/>
      <c r="BH53" s="770"/>
      <c r="BI53" s="770"/>
      <c r="BJ53" s="770"/>
      <c r="BK53" s="770"/>
      <c r="BL53" s="770"/>
      <c r="BM53" s="770"/>
      <c r="BN53" s="770"/>
      <c r="BO53" s="770"/>
      <c r="BP53" s="770"/>
      <c r="BQ53" s="770"/>
      <c r="BR53" s="770"/>
      <c r="BS53" s="770"/>
      <c r="BT53" s="770"/>
      <c r="BU53" s="770"/>
      <c r="BV53" s="770"/>
      <c r="BW53" s="770"/>
      <c r="BX53" s="770"/>
      <c r="BY53" s="770"/>
      <c r="BZ53" s="770"/>
      <c r="CA53" s="770"/>
      <c r="CB53" s="770"/>
      <c r="CC53" s="770"/>
      <c r="CD53" s="770"/>
      <c r="CE53" s="770"/>
      <c r="CF53" s="770"/>
      <c r="CG53" s="770"/>
      <c r="CH53" s="770"/>
      <c r="CI53" s="770"/>
      <c r="CJ53" s="770"/>
      <c r="CK53" s="770"/>
      <c r="CL53" s="770"/>
    </row>
    <row r="54" spans="1:90">
      <c r="A54" s="770"/>
      <c r="B54" s="770"/>
      <c r="C54" s="770"/>
      <c r="D54" s="770"/>
      <c r="E54" s="770"/>
      <c r="F54" s="770"/>
      <c r="G54" s="770"/>
      <c r="H54" s="770"/>
      <c r="I54" s="770"/>
      <c r="J54" s="770"/>
      <c r="K54" s="770"/>
      <c r="L54" s="771"/>
      <c r="M54" s="771"/>
      <c r="N54" s="771"/>
      <c r="O54" s="771"/>
      <c r="P54" s="771"/>
      <c r="Q54" s="771"/>
      <c r="R54" s="771"/>
      <c r="S54" s="771"/>
      <c r="T54" s="771"/>
      <c r="U54" s="771"/>
      <c r="V54" s="771"/>
      <c r="W54" s="771"/>
      <c r="X54" s="770"/>
      <c r="Y54" s="770"/>
      <c r="Z54" s="770"/>
      <c r="AA54" s="770"/>
      <c r="AB54" s="770"/>
      <c r="AC54" s="770"/>
      <c r="AD54" s="770"/>
      <c r="AE54" s="770"/>
      <c r="AF54" s="770"/>
      <c r="AG54" s="770"/>
      <c r="AH54" s="770"/>
      <c r="AI54" s="770"/>
      <c r="AJ54" s="770"/>
      <c r="AK54" s="770"/>
      <c r="AL54" s="770"/>
      <c r="AM54" s="770"/>
      <c r="AN54" s="770"/>
      <c r="AO54" s="772"/>
      <c r="AP54" s="773"/>
      <c r="AQ54" s="770"/>
      <c r="AR54" s="770"/>
      <c r="AS54" s="770"/>
      <c r="AU54" s="770"/>
      <c r="AV54" s="770"/>
      <c r="AW54" s="770"/>
      <c r="AX54" s="770"/>
      <c r="AY54" s="770"/>
      <c r="AZ54" s="770"/>
      <c r="BA54" s="770"/>
      <c r="BB54" s="770"/>
      <c r="BC54" s="770"/>
      <c r="BD54" s="770"/>
      <c r="BE54" s="770"/>
      <c r="BF54" s="770"/>
      <c r="BG54" s="770"/>
      <c r="BH54" s="770"/>
      <c r="BI54" s="770"/>
      <c r="BJ54" s="770"/>
      <c r="BK54" s="770"/>
      <c r="BL54" s="770"/>
      <c r="BM54" s="770"/>
      <c r="BN54" s="770"/>
      <c r="BO54" s="770"/>
      <c r="BP54" s="770"/>
      <c r="BQ54" s="770"/>
      <c r="BR54" s="770"/>
      <c r="BS54" s="770"/>
      <c r="BT54" s="770"/>
      <c r="BU54" s="770"/>
      <c r="BV54" s="770"/>
      <c r="BW54" s="770"/>
      <c r="BX54" s="770"/>
      <c r="BY54" s="770"/>
      <c r="BZ54" s="770"/>
      <c r="CA54" s="770"/>
      <c r="CB54" s="770"/>
      <c r="CC54" s="770"/>
      <c r="CD54" s="770"/>
      <c r="CE54" s="770"/>
      <c r="CF54" s="770"/>
      <c r="CG54" s="770"/>
      <c r="CH54" s="770"/>
      <c r="CI54" s="770"/>
      <c r="CJ54" s="770"/>
      <c r="CK54" s="770"/>
      <c r="CL54" s="770"/>
    </row>
    <row r="55" spans="1:90">
      <c r="A55" s="770"/>
      <c r="B55" s="770"/>
      <c r="C55" s="770"/>
      <c r="D55" s="770"/>
      <c r="E55" s="770"/>
      <c r="F55" s="770"/>
      <c r="G55" s="770"/>
      <c r="H55" s="770"/>
      <c r="I55" s="770"/>
      <c r="J55" s="770"/>
      <c r="K55" s="770"/>
      <c r="L55" s="771"/>
      <c r="M55" s="771"/>
      <c r="N55" s="771"/>
      <c r="O55" s="771"/>
      <c r="P55" s="771"/>
      <c r="Q55" s="771"/>
      <c r="R55" s="771"/>
      <c r="S55" s="771"/>
      <c r="T55" s="771"/>
      <c r="U55" s="771"/>
      <c r="V55" s="771"/>
      <c r="W55" s="771"/>
      <c r="X55" s="770"/>
      <c r="Y55" s="770"/>
      <c r="Z55" s="770"/>
      <c r="AA55" s="770"/>
      <c r="AB55" s="770"/>
      <c r="AC55" s="770"/>
      <c r="AD55" s="770"/>
      <c r="AE55" s="770"/>
      <c r="AF55" s="770"/>
      <c r="AG55" s="770"/>
      <c r="AH55" s="770"/>
      <c r="AI55" s="770"/>
      <c r="AJ55" s="770"/>
      <c r="AK55" s="770"/>
      <c r="AL55" s="770"/>
      <c r="AM55" s="770"/>
      <c r="AN55" s="770"/>
      <c r="AO55" s="772"/>
      <c r="AP55" s="773"/>
      <c r="AQ55" s="770"/>
      <c r="AR55" s="770"/>
      <c r="AS55" s="770"/>
      <c r="AU55" s="770"/>
      <c r="AV55" s="770"/>
      <c r="AW55" s="770"/>
      <c r="AX55" s="770"/>
      <c r="AY55" s="770"/>
      <c r="AZ55" s="770"/>
      <c r="BA55" s="770"/>
      <c r="BB55" s="770"/>
      <c r="BC55" s="770"/>
      <c r="BD55" s="770"/>
      <c r="BE55" s="770"/>
      <c r="BF55" s="770"/>
      <c r="BG55" s="770"/>
      <c r="BH55" s="770"/>
      <c r="BI55" s="770"/>
      <c r="BJ55" s="770"/>
      <c r="BK55" s="770"/>
      <c r="BL55" s="770"/>
      <c r="BM55" s="770"/>
      <c r="BN55" s="770"/>
      <c r="BO55" s="770"/>
      <c r="BP55" s="770"/>
      <c r="BQ55" s="770"/>
      <c r="BR55" s="770"/>
      <c r="BS55" s="770"/>
      <c r="BT55" s="770"/>
      <c r="BU55" s="770"/>
      <c r="BV55" s="770"/>
      <c r="BW55" s="770"/>
      <c r="BX55" s="770"/>
      <c r="BY55" s="770"/>
      <c r="BZ55" s="770"/>
      <c r="CA55" s="770"/>
      <c r="CB55" s="770"/>
      <c r="CC55" s="770"/>
      <c r="CD55" s="770"/>
      <c r="CE55" s="770"/>
      <c r="CF55" s="770"/>
      <c r="CG55" s="770"/>
      <c r="CH55" s="770"/>
      <c r="CI55" s="770"/>
      <c r="CJ55" s="770"/>
      <c r="CK55" s="770"/>
      <c r="CL55" s="770"/>
    </row>
    <row r="56" spans="1:90">
      <c r="A56" s="770"/>
      <c r="B56" s="770"/>
      <c r="C56" s="770"/>
      <c r="D56" s="770"/>
      <c r="E56" s="770"/>
      <c r="F56" s="770"/>
      <c r="G56" s="770"/>
      <c r="H56" s="770"/>
      <c r="I56" s="770"/>
      <c r="J56" s="770"/>
      <c r="K56" s="770"/>
      <c r="L56" s="771"/>
      <c r="M56" s="771"/>
      <c r="N56" s="771"/>
      <c r="O56" s="771"/>
      <c r="P56" s="771"/>
      <c r="Q56" s="771"/>
      <c r="R56" s="771"/>
      <c r="S56" s="771"/>
      <c r="T56" s="771"/>
      <c r="U56" s="771"/>
      <c r="V56" s="771"/>
      <c r="W56" s="771"/>
      <c r="X56" s="770"/>
      <c r="Y56" s="770"/>
      <c r="Z56" s="770"/>
      <c r="AA56" s="770"/>
      <c r="AB56" s="770"/>
      <c r="AC56" s="770"/>
      <c r="AD56" s="770"/>
      <c r="AE56" s="770"/>
      <c r="AF56" s="770"/>
      <c r="AG56" s="770"/>
      <c r="AH56" s="770"/>
      <c r="AI56" s="770"/>
      <c r="AJ56" s="770"/>
      <c r="AK56" s="770"/>
      <c r="AL56" s="770"/>
      <c r="AM56" s="770"/>
      <c r="AN56" s="770"/>
      <c r="AO56" s="772"/>
      <c r="AP56" s="773"/>
      <c r="AQ56" s="770"/>
      <c r="AR56" s="770"/>
      <c r="AS56" s="770"/>
      <c r="AU56" s="770"/>
      <c r="AV56" s="770"/>
      <c r="AW56" s="770"/>
      <c r="AX56" s="770"/>
      <c r="AY56" s="770"/>
      <c r="AZ56" s="770"/>
      <c r="BA56" s="770"/>
      <c r="BB56" s="770"/>
      <c r="BC56" s="770"/>
      <c r="BD56" s="770"/>
      <c r="BE56" s="770"/>
      <c r="BF56" s="770"/>
      <c r="BG56" s="770"/>
      <c r="BH56" s="770"/>
      <c r="BI56" s="770"/>
      <c r="BJ56" s="770"/>
      <c r="BK56" s="770"/>
      <c r="BL56" s="770"/>
      <c r="BM56" s="770"/>
      <c r="BN56" s="770"/>
      <c r="BO56" s="770"/>
      <c r="BP56" s="770"/>
      <c r="BQ56" s="770"/>
      <c r="BR56" s="770"/>
      <c r="BS56" s="770"/>
      <c r="BT56" s="770"/>
      <c r="BU56" s="770"/>
      <c r="BV56" s="770"/>
      <c r="BW56" s="770"/>
      <c r="BX56" s="770"/>
      <c r="BY56" s="770"/>
      <c r="BZ56" s="770"/>
      <c r="CA56" s="770"/>
      <c r="CB56" s="770"/>
      <c r="CC56" s="770"/>
      <c r="CD56" s="770"/>
      <c r="CE56" s="770"/>
      <c r="CF56" s="770"/>
      <c r="CG56" s="770"/>
      <c r="CH56" s="770"/>
      <c r="CI56" s="770"/>
      <c r="CJ56" s="770"/>
      <c r="CK56" s="770"/>
      <c r="CL56" s="770"/>
    </row>
    <row r="57" spans="1:90">
      <c r="A57" s="770"/>
      <c r="B57" s="770"/>
      <c r="C57" s="770"/>
      <c r="D57" s="770"/>
      <c r="E57" s="770"/>
      <c r="F57" s="770"/>
      <c r="G57" s="770"/>
      <c r="H57" s="770"/>
      <c r="I57" s="770"/>
      <c r="J57" s="770"/>
      <c r="K57" s="770"/>
      <c r="L57" s="771"/>
      <c r="M57" s="771"/>
      <c r="N57" s="771"/>
      <c r="O57" s="771"/>
      <c r="P57" s="771"/>
      <c r="Q57" s="771"/>
      <c r="R57" s="771"/>
      <c r="S57" s="771"/>
      <c r="T57" s="771"/>
      <c r="U57" s="771"/>
      <c r="V57" s="771"/>
      <c r="W57" s="771"/>
      <c r="X57" s="770"/>
      <c r="Y57" s="770"/>
      <c r="Z57" s="770"/>
      <c r="AA57" s="770"/>
      <c r="AB57" s="770"/>
      <c r="AC57" s="770"/>
      <c r="AD57" s="770"/>
      <c r="AE57" s="770"/>
      <c r="AF57" s="770"/>
      <c r="AG57" s="770"/>
      <c r="AH57" s="770"/>
      <c r="AI57" s="770"/>
      <c r="AJ57" s="770"/>
      <c r="AK57" s="770"/>
      <c r="AL57" s="770"/>
      <c r="AM57" s="770"/>
      <c r="AN57" s="770"/>
      <c r="AO57" s="772"/>
      <c r="AP57" s="773"/>
      <c r="AQ57" s="770"/>
      <c r="AR57" s="770"/>
      <c r="AS57" s="770"/>
      <c r="AU57" s="770"/>
      <c r="AV57" s="770"/>
      <c r="AW57" s="770"/>
      <c r="AX57" s="770"/>
      <c r="AY57" s="770"/>
      <c r="AZ57" s="770"/>
      <c r="BA57" s="770"/>
      <c r="BB57" s="770"/>
      <c r="BC57" s="770"/>
      <c r="BD57" s="770"/>
      <c r="BE57" s="770"/>
      <c r="BF57" s="770"/>
      <c r="BG57" s="770"/>
      <c r="BH57" s="770"/>
      <c r="BI57" s="770"/>
      <c r="BJ57" s="770"/>
      <c r="BK57" s="770"/>
      <c r="BL57" s="770"/>
      <c r="BM57" s="770"/>
      <c r="BN57" s="770"/>
      <c r="BO57" s="770"/>
      <c r="BP57" s="770"/>
      <c r="BQ57" s="770"/>
      <c r="BR57" s="770"/>
      <c r="BS57" s="770"/>
      <c r="BT57" s="770"/>
      <c r="BU57" s="770"/>
      <c r="BV57" s="770"/>
      <c r="BW57" s="770"/>
      <c r="BX57" s="770"/>
      <c r="BY57" s="770"/>
      <c r="BZ57" s="770"/>
      <c r="CA57" s="770"/>
      <c r="CB57" s="770"/>
      <c r="CC57" s="770"/>
      <c r="CD57" s="770"/>
      <c r="CE57" s="770"/>
      <c r="CF57" s="770"/>
      <c r="CG57" s="770"/>
      <c r="CH57" s="770"/>
      <c r="CI57" s="770"/>
      <c r="CJ57" s="770"/>
      <c r="CK57" s="770"/>
      <c r="CL57" s="770"/>
    </row>
    <row r="58" spans="1:90">
      <c r="A58" s="770"/>
      <c r="B58" s="770"/>
      <c r="C58" s="770"/>
      <c r="D58" s="770"/>
      <c r="E58" s="770"/>
      <c r="F58" s="770"/>
      <c r="G58" s="770"/>
      <c r="H58" s="770"/>
      <c r="I58" s="770"/>
      <c r="J58" s="770"/>
      <c r="K58" s="770"/>
      <c r="L58" s="771"/>
      <c r="M58" s="771"/>
      <c r="N58" s="771"/>
      <c r="O58" s="771"/>
      <c r="P58" s="771"/>
      <c r="Q58" s="771"/>
      <c r="R58" s="771"/>
      <c r="S58" s="771"/>
      <c r="T58" s="771"/>
      <c r="U58" s="771"/>
      <c r="V58" s="771"/>
      <c r="W58" s="771"/>
      <c r="X58" s="770"/>
      <c r="Y58" s="770"/>
      <c r="Z58" s="770"/>
      <c r="AA58" s="770"/>
      <c r="AB58" s="770"/>
      <c r="AC58" s="770"/>
      <c r="AD58" s="770"/>
      <c r="AE58" s="770"/>
      <c r="AF58" s="770"/>
      <c r="AG58" s="770"/>
      <c r="AH58" s="770"/>
      <c r="AI58" s="770"/>
      <c r="AJ58" s="770"/>
      <c r="AK58" s="770"/>
      <c r="AL58" s="770"/>
      <c r="AM58" s="770"/>
      <c r="AN58" s="770"/>
      <c r="AO58" s="772"/>
      <c r="AP58" s="773"/>
      <c r="AQ58" s="770"/>
      <c r="AR58" s="770"/>
      <c r="AS58" s="770"/>
      <c r="AU58" s="770"/>
      <c r="AV58" s="770"/>
      <c r="AW58" s="770"/>
      <c r="AX58" s="770"/>
      <c r="AY58" s="770"/>
      <c r="AZ58" s="770"/>
      <c r="BA58" s="770"/>
      <c r="BB58" s="770"/>
      <c r="BC58" s="770"/>
      <c r="BD58" s="770"/>
      <c r="BE58" s="770"/>
      <c r="BF58" s="770"/>
      <c r="BG58" s="770"/>
      <c r="BH58" s="770"/>
      <c r="BI58" s="770"/>
      <c r="BJ58" s="770"/>
      <c r="BK58" s="770"/>
      <c r="BL58" s="770"/>
      <c r="BM58" s="770"/>
      <c r="BN58" s="770"/>
      <c r="BO58" s="770"/>
      <c r="BP58" s="770"/>
      <c r="BQ58" s="770"/>
      <c r="BR58" s="770"/>
      <c r="BS58" s="770"/>
      <c r="BT58" s="770"/>
      <c r="BU58" s="770"/>
      <c r="BV58" s="770"/>
      <c r="BW58" s="770"/>
      <c r="BX58" s="770"/>
      <c r="BY58" s="770"/>
      <c r="BZ58" s="770"/>
      <c r="CA58" s="770"/>
      <c r="CB58" s="770"/>
      <c r="CC58" s="770"/>
      <c r="CD58" s="770"/>
      <c r="CE58" s="770"/>
      <c r="CF58" s="770"/>
      <c r="CG58" s="770"/>
      <c r="CH58" s="770"/>
      <c r="CI58" s="770"/>
      <c r="CJ58" s="770"/>
      <c r="CK58" s="770"/>
      <c r="CL58" s="770"/>
    </row>
    <row r="59" spans="1:90">
      <c r="A59" s="770"/>
      <c r="B59" s="770"/>
      <c r="C59" s="770"/>
      <c r="D59" s="770"/>
      <c r="E59" s="770"/>
      <c r="F59" s="770"/>
      <c r="G59" s="770"/>
      <c r="H59" s="770"/>
      <c r="I59" s="770"/>
      <c r="J59" s="770"/>
      <c r="K59" s="770"/>
      <c r="L59" s="771"/>
      <c r="M59" s="771"/>
      <c r="N59" s="771"/>
      <c r="O59" s="771"/>
      <c r="P59" s="771"/>
      <c r="Q59" s="771"/>
      <c r="R59" s="771"/>
      <c r="S59" s="771"/>
      <c r="T59" s="771"/>
      <c r="U59" s="771"/>
      <c r="V59" s="771"/>
      <c r="W59" s="771"/>
      <c r="X59" s="770"/>
      <c r="Y59" s="770"/>
      <c r="Z59" s="770"/>
      <c r="AA59" s="770"/>
      <c r="AB59" s="770"/>
      <c r="AC59" s="770"/>
      <c r="AD59" s="770"/>
      <c r="AE59" s="770"/>
      <c r="AF59" s="770"/>
      <c r="AG59" s="770"/>
      <c r="AH59" s="770"/>
      <c r="AI59" s="770"/>
      <c r="AJ59" s="770"/>
      <c r="AK59" s="770"/>
      <c r="AL59" s="770"/>
      <c r="AM59" s="770"/>
      <c r="AN59" s="770"/>
      <c r="AO59" s="772"/>
      <c r="AP59" s="773"/>
      <c r="AQ59" s="770"/>
      <c r="AR59" s="770"/>
      <c r="AS59" s="770"/>
      <c r="AU59" s="770"/>
      <c r="AV59" s="770"/>
      <c r="AW59" s="770"/>
      <c r="AX59" s="770"/>
      <c r="AY59" s="770"/>
      <c r="AZ59" s="770"/>
      <c r="BA59" s="770"/>
      <c r="BB59" s="770"/>
      <c r="BC59" s="770"/>
      <c r="BD59" s="770"/>
      <c r="BE59" s="770"/>
      <c r="BF59" s="770"/>
      <c r="BG59" s="770"/>
      <c r="BH59" s="770"/>
      <c r="BI59" s="770"/>
      <c r="BJ59" s="770"/>
      <c r="BK59" s="770"/>
      <c r="BL59" s="770"/>
      <c r="BM59" s="770"/>
      <c r="BN59" s="770"/>
      <c r="BO59" s="770"/>
      <c r="BP59" s="770"/>
      <c r="BQ59" s="770"/>
      <c r="BR59" s="770"/>
      <c r="BS59" s="770"/>
      <c r="BT59" s="770"/>
      <c r="BU59" s="770"/>
      <c r="BV59" s="770"/>
      <c r="BW59" s="770"/>
      <c r="BX59" s="770"/>
      <c r="BY59" s="770"/>
      <c r="BZ59" s="770"/>
      <c r="CA59" s="770"/>
      <c r="CB59" s="770"/>
      <c r="CC59" s="770"/>
      <c r="CD59" s="770"/>
      <c r="CE59" s="770"/>
      <c r="CF59" s="770"/>
      <c r="CG59" s="770"/>
      <c r="CH59" s="770"/>
      <c r="CI59" s="770"/>
      <c r="CJ59" s="770"/>
      <c r="CK59" s="770"/>
      <c r="CL59" s="770"/>
    </row>
    <row r="60" spans="1:90">
      <c r="A60" s="770"/>
      <c r="B60" s="770"/>
      <c r="C60" s="770"/>
      <c r="D60" s="770"/>
      <c r="E60" s="770"/>
      <c r="F60" s="770"/>
      <c r="G60" s="770"/>
      <c r="H60" s="770"/>
      <c r="I60" s="770"/>
      <c r="J60" s="770"/>
      <c r="K60" s="770"/>
      <c r="L60" s="771"/>
      <c r="M60" s="771"/>
      <c r="N60" s="771"/>
      <c r="O60" s="771"/>
      <c r="P60" s="771"/>
      <c r="Q60" s="771"/>
      <c r="R60" s="771"/>
      <c r="S60" s="771"/>
      <c r="T60" s="771"/>
      <c r="U60" s="771"/>
      <c r="V60" s="771"/>
      <c r="W60" s="771"/>
      <c r="X60" s="770"/>
      <c r="Y60" s="770"/>
      <c r="Z60" s="770"/>
      <c r="AA60" s="770"/>
      <c r="AB60" s="770"/>
      <c r="AC60" s="770"/>
      <c r="AD60" s="770"/>
      <c r="AE60" s="770"/>
      <c r="AF60" s="770"/>
      <c r="AG60" s="770"/>
      <c r="AH60" s="770"/>
      <c r="AI60" s="770"/>
      <c r="AJ60" s="770"/>
      <c r="AK60" s="770"/>
      <c r="AL60" s="770"/>
      <c r="AM60" s="770"/>
      <c r="AN60" s="770"/>
      <c r="AO60" s="772"/>
      <c r="AP60" s="773"/>
      <c r="AQ60" s="770"/>
      <c r="AR60" s="770"/>
      <c r="AS60" s="770"/>
      <c r="AU60" s="770"/>
      <c r="AV60" s="770"/>
      <c r="AW60" s="770"/>
      <c r="AX60" s="770"/>
      <c r="AY60" s="770"/>
      <c r="AZ60" s="770"/>
      <c r="BA60" s="770"/>
      <c r="BB60" s="770"/>
      <c r="BC60" s="770"/>
      <c r="BD60" s="770"/>
      <c r="BE60" s="770"/>
      <c r="BF60" s="770"/>
      <c r="BG60" s="770"/>
      <c r="BH60" s="770"/>
      <c r="BI60" s="770"/>
      <c r="BJ60" s="770"/>
      <c r="BK60" s="770"/>
      <c r="BL60" s="770"/>
      <c r="BM60" s="770"/>
      <c r="BN60" s="770"/>
      <c r="BO60" s="770"/>
      <c r="BP60" s="770"/>
      <c r="BQ60" s="770"/>
      <c r="BR60" s="770"/>
      <c r="BS60" s="770"/>
      <c r="BT60" s="770"/>
      <c r="BU60" s="770"/>
      <c r="BV60" s="770"/>
      <c r="BW60" s="770"/>
      <c r="BX60" s="770"/>
      <c r="BY60" s="770"/>
      <c r="BZ60" s="770"/>
      <c r="CA60" s="770"/>
      <c r="CB60" s="770"/>
      <c r="CC60" s="770"/>
      <c r="CD60" s="770"/>
      <c r="CE60" s="770"/>
      <c r="CF60" s="770"/>
      <c r="CG60" s="770"/>
      <c r="CH60" s="770"/>
      <c r="CI60" s="770"/>
      <c r="CJ60" s="770"/>
      <c r="CK60" s="770"/>
      <c r="CL60" s="770"/>
    </row>
    <row r="61" spans="1:90">
      <c r="A61" s="770"/>
      <c r="B61" s="770"/>
      <c r="C61" s="770"/>
      <c r="D61" s="770"/>
      <c r="E61" s="770"/>
      <c r="F61" s="770"/>
      <c r="G61" s="770"/>
      <c r="H61" s="770"/>
      <c r="I61" s="770"/>
      <c r="J61" s="770"/>
      <c r="K61" s="770"/>
      <c r="L61" s="771"/>
      <c r="M61" s="771"/>
      <c r="N61" s="771"/>
      <c r="O61" s="771"/>
      <c r="P61" s="771"/>
      <c r="Q61" s="771"/>
      <c r="R61" s="771"/>
      <c r="S61" s="771"/>
      <c r="T61" s="771"/>
      <c r="U61" s="771"/>
      <c r="V61" s="771"/>
      <c r="W61" s="771"/>
      <c r="X61" s="770"/>
      <c r="Y61" s="770"/>
      <c r="Z61" s="770"/>
      <c r="AA61" s="770"/>
      <c r="AB61" s="770"/>
      <c r="AC61" s="770"/>
      <c r="AD61" s="770"/>
      <c r="AE61" s="770"/>
      <c r="AF61" s="770"/>
      <c r="AG61" s="770"/>
      <c r="AH61" s="770"/>
      <c r="AI61" s="770"/>
      <c r="AJ61" s="770"/>
      <c r="AK61" s="770"/>
      <c r="AL61" s="770"/>
      <c r="AM61" s="770"/>
      <c r="AN61" s="770"/>
      <c r="AO61" s="772"/>
      <c r="AP61" s="773"/>
      <c r="AQ61" s="770"/>
      <c r="AR61" s="770"/>
      <c r="AS61" s="770"/>
      <c r="AU61" s="770"/>
      <c r="AV61" s="770"/>
      <c r="AW61" s="770"/>
      <c r="AX61" s="770"/>
      <c r="AY61" s="770"/>
      <c r="AZ61" s="770"/>
      <c r="BA61" s="770"/>
      <c r="BB61" s="770"/>
      <c r="BC61" s="770"/>
      <c r="BD61" s="770"/>
      <c r="BE61" s="770"/>
      <c r="BF61" s="770"/>
      <c r="BG61" s="770"/>
      <c r="BH61" s="770"/>
      <c r="BI61" s="770"/>
      <c r="BJ61" s="770"/>
      <c r="BK61" s="770"/>
      <c r="BL61" s="770"/>
      <c r="BM61" s="770"/>
      <c r="BN61" s="770"/>
      <c r="BO61" s="770"/>
      <c r="BP61" s="770"/>
      <c r="BQ61" s="770"/>
      <c r="BR61" s="770"/>
      <c r="BS61" s="770"/>
      <c r="BT61" s="770"/>
      <c r="BU61" s="770"/>
      <c r="BV61" s="770"/>
      <c r="BW61" s="770"/>
      <c r="BX61" s="770"/>
      <c r="BY61" s="770"/>
      <c r="BZ61" s="770"/>
      <c r="CA61" s="770"/>
      <c r="CB61" s="770"/>
      <c r="CC61" s="770"/>
      <c r="CD61" s="770"/>
      <c r="CE61" s="770"/>
      <c r="CF61" s="770"/>
      <c r="CG61" s="770"/>
      <c r="CH61" s="770"/>
      <c r="CI61" s="770"/>
      <c r="CJ61" s="770"/>
      <c r="CK61" s="770"/>
      <c r="CL61" s="770"/>
    </row>
    <row r="62" spans="1:90">
      <c r="A62" s="770"/>
      <c r="B62" s="770"/>
      <c r="C62" s="770"/>
      <c r="D62" s="770"/>
      <c r="E62" s="770"/>
      <c r="F62" s="770"/>
      <c r="G62" s="770"/>
      <c r="H62" s="770"/>
      <c r="I62" s="770"/>
      <c r="J62" s="770"/>
      <c r="K62" s="770"/>
      <c r="L62" s="771"/>
      <c r="M62" s="771"/>
      <c r="N62" s="771"/>
      <c r="O62" s="771"/>
      <c r="P62" s="771"/>
      <c r="Q62" s="771"/>
      <c r="R62" s="771"/>
      <c r="S62" s="771"/>
      <c r="T62" s="771"/>
      <c r="U62" s="771"/>
      <c r="V62" s="771"/>
      <c r="W62" s="771"/>
      <c r="X62" s="770"/>
      <c r="Y62" s="770"/>
      <c r="Z62" s="770"/>
      <c r="AA62" s="770"/>
      <c r="AB62" s="770"/>
      <c r="AC62" s="770"/>
      <c r="AD62" s="770"/>
      <c r="AE62" s="770"/>
      <c r="AF62" s="770"/>
      <c r="AG62" s="770"/>
      <c r="AH62" s="770"/>
      <c r="AI62" s="770"/>
      <c r="AJ62" s="770"/>
      <c r="AK62" s="770"/>
      <c r="AL62" s="770"/>
      <c r="AM62" s="770"/>
      <c r="AN62" s="770"/>
      <c r="AO62" s="772"/>
      <c r="AP62" s="773"/>
      <c r="AQ62" s="770"/>
      <c r="AR62" s="770"/>
      <c r="AS62" s="770"/>
      <c r="AU62" s="770"/>
      <c r="AV62" s="770"/>
      <c r="AW62" s="770"/>
      <c r="AX62" s="770"/>
      <c r="AY62" s="770"/>
      <c r="AZ62" s="770"/>
      <c r="BA62" s="770"/>
      <c r="BB62" s="770"/>
      <c r="BC62" s="770"/>
      <c r="BD62" s="770"/>
      <c r="BE62" s="770"/>
      <c r="BF62" s="770"/>
      <c r="BG62" s="770"/>
      <c r="BH62" s="770"/>
      <c r="BI62" s="770"/>
      <c r="BJ62" s="770"/>
      <c r="BK62" s="770"/>
      <c r="BL62" s="770"/>
      <c r="BM62" s="770"/>
      <c r="BN62" s="770"/>
      <c r="BO62" s="770"/>
      <c r="BP62" s="770"/>
      <c r="BQ62" s="770"/>
      <c r="BR62" s="770"/>
      <c r="BS62" s="770"/>
      <c r="BT62" s="770"/>
      <c r="BU62" s="770"/>
      <c r="BV62" s="770"/>
      <c r="BW62" s="770"/>
      <c r="BX62" s="770"/>
      <c r="BY62" s="770"/>
      <c r="BZ62" s="770"/>
      <c r="CA62" s="770"/>
      <c r="CB62" s="770"/>
      <c r="CC62" s="770"/>
      <c r="CD62" s="770"/>
      <c r="CE62" s="770"/>
      <c r="CF62" s="770"/>
      <c r="CG62" s="770"/>
      <c r="CH62" s="770"/>
      <c r="CI62" s="770"/>
      <c r="CJ62" s="770"/>
      <c r="CK62" s="770"/>
      <c r="CL62" s="770"/>
    </row>
    <row r="63" spans="1:90">
      <c r="A63" s="770"/>
      <c r="B63" s="770"/>
      <c r="C63" s="770"/>
      <c r="D63" s="770"/>
      <c r="E63" s="770"/>
      <c r="F63" s="770"/>
      <c r="G63" s="770"/>
      <c r="H63" s="770"/>
      <c r="I63" s="770"/>
      <c r="J63" s="770"/>
      <c r="K63" s="770"/>
      <c r="L63" s="771"/>
      <c r="M63" s="771"/>
      <c r="N63" s="771"/>
      <c r="O63" s="771"/>
      <c r="P63" s="771"/>
      <c r="Q63" s="771"/>
      <c r="R63" s="771"/>
      <c r="S63" s="771"/>
      <c r="T63" s="771"/>
      <c r="U63" s="771"/>
      <c r="V63" s="771"/>
      <c r="W63" s="771"/>
      <c r="X63" s="770"/>
      <c r="Y63" s="770"/>
      <c r="Z63" s="770"/>
      <c r="AA63" s="770"/>
      <c r="AB63" s="770"/>
      <c r="AC63" s="770"/>
      <c r="AD63" s="770"/>
      <c r="AE63" s="770"/>
      <c r="AF63" s="770"/>
      <c r="AG63" s="770"/>
      <c r="AH63" s="770"/>
      <c r="AI63" s="770"/>
      <c r="AJ63" s="770"/>
      <c r="AK63" s="770"/>
      <c r="AL63" s="770"/>
      <c r="AM63" s="770"/>
      <c r="AN63" s="770"/>
      <c r="AO63" s="772"/>
      <c r="AP63" s="773"/>
      <c r="AQ63" s="770"/>
      <c r="AR63" s="770"/>
      <c r="AS63" s="770"/>
      <c r="AU63" s="770"/>
      <c r="AV63" s="770"/>
      <c r="AW63" s="770"/>
      <c r="AX63" s="770"/>
      <c r="AY63" s="770"/>
      <c r="AZ63" s="770"/>
      <c r="BA63" s="770"/>
      <c r="BB63" s="770"/>
      <c r="BC63" s="770"/>
      <c r="BD63" s="770"/>
      <c r="BE63" s="770"/>
      <c r="BF63" s="770"/>
      <c r="BG63" s="770"/>
      <c r="BH63" s="770"/>
      <c r="BI63" s="770"/>
      <c r="BJ63" s="770"/>
      <c r="BK63" s="770"/>
      <c r="BL63" s="770"/>
      <c r="BM63" s="770"/>
      <c r="BN63" s="770"/>
      <c r="BO63" s="770"/>
      <c r="BP63" s="770"/>
      <c r="BQ63" s="770"/>
      <c r="BR63" s="770"/>
      <c r="BS63" s="770"/>
      <c r="BT63" s="770"/>
      <c r="BU63" s="770"/>
      <c r="BV63" s="770"/>
      <c r="BW63" s="770"/>
      <c r="BX63" s="770"/>
      <c r="BY63" s="770"/>
      <c r="BZ63" s="770"/>
      <c r="CA63" s="770"/>
      <c r="CB63" s="770"/>
      <c r="CC63" s="770"/>
      <c r="CD63" s="770"/>
      <c r="CE63" s="770"/>
      <c r="CF63" s="770"/>
      <c r="CG63" s="770"/>
      <c r="CH63" s="770"/>
      <c r="CI63" s="770"/>
      <c r="CJ63" s="770"/>
      <c r="CK63" s="770"/>
      <c r="CL63" s="770"/>
    </row>
    <row r="64" spans="1:90">
      <c r="A64" s="770"/>
      <c r="B64" s="770"/>
      <c r="C64" s="770"/>
      <c r="D64" s="770"/>
      <c r="E64" s="770"/>
      <c r="F64" s="770"/>
      <c r="G64" s="770"/>
      <c r="H64" s="770"/>
      <c r="I64" s="770"/>
      <c r="J64" s="770"/>
      <c r="K64" s="770"/>
      <c r="L64" s="771"/>
      <c r="M64" s="771"/>
      <c r="N64" s="771"/>
      <c r="O64" s="771"/>
      <c r="P64" s="771"/>
      <c r="Q64" s="771"/>
      <c r="R64" s="771"/>
      <c r="S64" s="771"/>
      <c r="T64" s="771"/>
      <c r="U64" s="771"/>
      <c r="V64" s="771"/>
      <c r="W64" s="771"/>
      <c r="X64" s="770"/>
      <c r="Y64" s="770"/>
      <c r="Z64" s="770"/>
      <c r="AA64" s="770"/>
      <c r="AB64" s="770"/>
      <c r="AC64" s="770"/>
      <c r="AD64" s="770"/>
      <c r="AE64" s="770"/>
      <c r="AF64" s="770"/>
      <c r="AG64" s="770"/>
      <c r="AH64" s="770"/>
      <c r="AI64" s="770"/>
      <c r="AJ64" s="770"/>
      <c r="AK64" s="770"/>
      <c r="AL64" s="770"/>
      <c r="AM64" s="770"/>
      <c r="AN64" s="770"/>
      <c r="AO64" s="772"/>
      <c r="AP64" s="773"/>
      <c r="AQ64" s="770"/>
      <c r="AR64" s="770"/>
      <c r="AS64" s="770"/>
      <c r="AU64" s="770"/>
      <c r="AV64" s="770"/>
      <c r="AW64" s="770"/>
      <c r="AX64" s="770"/>
      <c r="AY64" s="770"/>
      <c r="AZ64" s="770"/>
      <c r="BA64" s="770"/>
      <c r="BB64" s="770"/>
      <c r="BC64" s="770"/>
      <c r="BD64" s="770"/>
      <c r="BE64" s="770"/>
      <c r="BF64" s="770"/>
      <c r="BG64" s="770"/>
      <c r="BH64" s="770"/>
      <c r="BI64" s="770"/>
      <c r="BJ64" s="770"/>
      <c r="BK64" s="770"/>
      <c r="BL64" s="770"/>
      <c r="BM64" s="770"/>
      <c r="BN64" s="770"/>
      <c r="BO64" s="770"/>
      <c r="BP64" s="770"/>
      <c r="BQ64" s="770"/>
      <c r="BR64" s="770"/>
      <c r="BS64" s="770"/>
      <c r="BT64" s="770"/>
      <c r="BU64" s="770"/>
      <c r="BV64" s="770"/>
      <c r="BW64" s="770"/>
      <c r="BX64" s="770"/>
      <c r="BY64" s="770"/>
      <c r="BZ64" s="770"/>
      <c r="CA64" s="770"/>
      <c r="CB64" s="770"/>
      <c r="CC64" s="770"/>
      <c r="CD64" s="770"/>
      <c r="CE64" s="770"/>
      <c r="CF64" s="770"/>
      <c r="CG64" s="770"/>
      <c r="CH64" s="770"/>
      <c r="CI64" s="770"/>
      <c r="CJ64" s="770"/>
      <c r="CK64" s="770"/>
      <c r="CL64" s="770"/>
    </row>
    <row r="65" spans="1:90">
      <c r="A65" s="770"/>
      <c r="B65" s="770"/>
      <c r="C65" s="770"/>
      <c r="D65" s="770"/>
      <c r="E65" s="770"/>
      <c r="F65" s="770"/>
      <c r="G65" s="770"/>
      <c r="H65" s="770"/>
      <c r="I65" s="770"/>
      <c r="J65" s="770"/>
      <c r="K65" s="770"/>
      <c r="L65" s="771"/>
      <c r="M65" s="771"/>
      <c r="N65" s="771"/>
      <c r="O65" s="771"/>
      <c r="P65" s="771"/>
      <c r="Q65" s="771"/>
      <c r="R65" s="771"/>
      <c r="S65" s="771"/>
      <c r="T65" s="771"/>
      <c r="U65" s="771"/>
      <c r="V65" s="771"/>
      <c r="W65" s="771"/>
      <c r="X65" s="770"/>
      <c r="Y65" s="770"/>
      <c r="Z65" s="770"/>
      <c r="AA65" s="770"/>
      <c r="AB65" s="770"/>
      <c r="AC65" s="770"/>
      <c r="AD65" s="770"/>
      <c r="AE65" s="770"/>
      <c r="AF65" s="770"/>
      <c r="AG65" s="770"/>
      <c r="AH65" s="770"/>
      <c r="AI65" s="770"/>
      <c r="AJ65" s="770"/>
      <c r="AK65" s="770"/>
      <c r="AL65" s="770"/>
      <c r="AM65" s="770"/>
      <c r="AN65" s="770"/>
      <c r="AO65" s="772"/>
      <c r="AP65" s="773"/>
      <c r="AQ65" s="770"/>
      <c r="AR65" s="770"/>
      <c r="AS65" s="770"/>
      <c r="AU65" s="770"/>
      <c r="AV65" s="770"/>
      <c r="AW65" s="770"/>
      <c r="AX65" s="770"/>
      <c r="AY65" s="770"/>
      <c r="AZ65" s="770"/>
      <c r="BA65" s="770"/>
      <c r="BB65" s="770"/>
      <c r="BC65" s="770"/>
      <c r="BD65" s="770"/>
      <c r="BE65" s="770"/>
      <c r="BF65" s="770"/>
      <c r="BG65" s="770"/>
      <c r="BH65" s="770"/>
      <c r="BI65" s="770"/>
      <c r="BJ65" s="770"/>
      <c r="BK65" s="770"/>
      <c r="BL65" s="770"/>
      <c r="BM65" s="770"/>
      <c r="BN65" s="770"/>
      <c r="BO65" s="770"/>
      <c r="BP65" s="770"/>
      <c r="BQ65" s="770"/>
      <c r="BR65" s="770"/>
      <c r="BS65" s="770"/>
      <c r="BT65" s="770"/>
      <c r="BU65" s="770"/>
      <c r="BV65" s="770"/>
      <c r="BW65" s="770"/>
      <c r="BX65" s="770"/>
      <c r="BY65" s="770"/>
      <c r="BZ65" s="770"/>
      <c r="CA65" s="770"/>
      <c r="CB65" s="770"/>
      <c r="CC65" s="770"/>
      <c r="CD65" s="770"/>
      <c r="CE65" s="770"/>
      <c r="CF65" s="770"/>
      <c r="CG65" s="770"/>
      <c r="CH65" s="770"/>
      <c r="CI65" s="770"/>
      <c r="CJ65" s="770"/>
      <c r="CK65" s="770"/>
      <c r="CL65" s="770"/>
    </row>
    <row r="66" spans="1:90">
      <c r="A66" s="770"/>
      <c r="B66" s="770"/>
      <c r="C66" s="770"/>
      <c r="D66" s="770"/>
      <c r="E66" s="770"/>
      <c r="F66" s="770"/>
      <c r="G66" s="770"/>
      <c r="H66" s="770"/>
      <c r="I66" s="770"/>
      <c r="J66" s="770"/>
      <c r="K66" s="770"/>
      <c r="L66" s="771"/>
      <c r="M66" s="771"/>
      <c r="N66" s="771"/>
      <c r="O66" s="771"/>
      <c r="P66" s="771"/>
      <c r="Q66" s="771"/>
      <c r="R66" s="771"/>
      <c r="S66" s="771"/>
      <c r="T66" s="771"/>
      <c r="U66" s="771"/>
      <c r="V66" s="771"/>
      <c r="W66" s="771"/>
      <c r="X66" s="770"/>
      <c r="Y66" s="770"/>
      <c r="Z66" s="770"/>
      <c r="AA66" s="770"/>
      <c r="AB66" s="770"/>
      <c r="AC66" s="770"/>
      <c r="AD66" s="770"/>
      <c r="AE66" s="770"/>
      <c r="AF66" s="770"/>
      <c r="AG66" s="770"/>
      <c r="AH66" s="770"/>
      <c r="AI66" s="770"/>
      <c r="AJ66" s="770"/>
      <c r="AK66" s="770"/>
      <c r="AL66" s="770"/>
      <c r="AM66" s="770"/>
      <c r="AN66" s="770"/>
      <c r="AO66" s="772"/>
      <c r="AP66" s="773"/>
      <c r="AQ66" s="770"/>
      <c r="AR66" s="770"/>
      <c r="AS66" s="770"/>
      <c r="AU66" s="770"/>
      <c r="AV66" s="770"/>
      <c r="AW66" s="770"/>
      <c r="AX66" s="770"/>
      <c r="AY66" s="770"/>
      <c r="AZ66" s="770"/>
      <c r="BA66" s="770"/>
      <c r="BB66" s="770"/>
      <c r="BC66" s="770"/>
      <c r="BD66" s="770"/>
      <c r="BE66" s="770"/>
      <c r="BF66" s="770"/>
      <c r="BG66" s="770"/>
      <c r="BH66" s="770"/>
      <c r="BI66" s="770"/>
      <c r="BJ66" s="770"/>
      <c r="BK66" s="770"/>
      <c r="BL66" s="770"/>
      <c r="BM66" s="770"/>
      <c r="BN66" s="770"/>
      <c r="BO66" s="770"/>
      <c r="BP66" s="770"/>
      <c r="BQ66" s="770"/>
      <c r="BR66" s="770"/>
      <c r="BS66" s="770"/>
      <c r="BT66" s="770"/>
      <c r="BU66" s="770"/>
      <c r="BV66" s="770"/>
      <c r="BW66" s="770"/>
      <c r="BX66" s="770"/>
      <c r="BY66" s="770"/>
      <c r="BZ66" s="770"/>
      <c r="CA66" s="770"/>
      <c r="CB66" s="770"/>
      <c r="CC66" s="770"/>
      <c r="CD66" s="770"/>
      <c r="CE66" s="770"/>
      <c r="CF66" s="770"/>
      <c r="CG66" s="770"/>
      <c r="CH66" s="770"/>
      <c r="CI66" s="770"/>
      <c r="CJ66" s="770"/>
      <c r="CK66" s="770"/>
      <c r="CL66" s="770"/>
    </row>
    <row r="67" spans="1:90">
      <c r="A67" s="770"/>
      <c r="B67" s="770"/>
      <c r="C67" s="770"/>
      <c r="D67" s="770"/>
      <c r="E67" s="770"/>
      <c r="F67" s="770"/>
      <c r="G67" s="770"/>
      <c r="H67" s="770"/>
      <c r="I67" s="770"/>
      <c r="J67" s="770"/>
      <c r="K67" s="770"/>
      <c r="L67" s="771"/>
      <c r="M67" s="771"/>
      <c r="N67" s="771"/>
      <c r="O67" s="771"/>
      <c r="P67" s="771"/>
      <c r="Q67" s="771"/>
      <c r="R67" s="771"/>
      <c r="S67" s="771"/>
      <c r="T67" s="771"/>
      <c r="U67" s="771"/>
      <c r="V67" s="771"/>
      <c r="W67" s="771"/>
      <c r="X67" s="770"/>
      <c r="Y67" s="770"/>
      <c r="Z67" s="770"/>
      <c r="AA67" s="770"/>
      <c r="AB67" s="770"/>
      <c r="AC67" s="770"/>
      <c r="AD67" s="770"/>
      <c r="AE67" s="770"/>
      <c r="AF67" s="770"/>
      <c r="AG67" s="770"/>
      <c r="AH67" s="770"/>
      <c r="AI67" s="770"/>
      <c r="AJ67" s="770"/>
      <c r="AK67" s="770"/>
      <c r="AL67" s="770"/>
      <c r="AM67" s="770"/>
      <c r="AN67" s="770"/>
      <c r="AO67" s="772"/>
      <c r="AP67" s="773"/>
      <c r="AQ67" s="770"/>
      <c r="AR67" s="770"/>
      <c r="AS67" s="770"/>
      <c r="AU67" s="770"/>
      <c r="AV67" s="770"/>
      <c r="AW67" s="770"/>
      <c r="AX67" s="770"/>
      <c r="AY67" s="770"/>
      <c r="AZ67" s="770"/>
      <c r="BA67" s="770"/>
      <c r="BB67" s="770"/>
      <c r="BC67" s="770"/>
      <c r="BD67" s="770"/>
      <c r="BE67" s="770"/>
      <c r="BF67" s="770"/>
      <c r="BG67" s="770"/>
      <c r="BH67" s="770"/>
      <c r="BI67" s="770"/>
      <c r="BJ67" s="770"/>
      <c r="BK67" s="770"/>
      <c r="BL67" s="770"/>
      <c r="BM67" s="770"/>
      <c r="BN67" s="770"/>
      <c r="BO67" s="770"/>
      <c r="BP67" s="770"/>
      <c r="BQ67" s="770"/>
      <c r="BR67" s="770"/>
      <c r="BS67" s="770"/>
      <c r="BT67" s="770"/>
      <c r="BU67" s="770"/>
      <c r="BV67" s="770"/>
      <c r="BW67" s="770"/>
      <c r="BX67" s="770"/>
      <c r="BY67" s="770"/>
      <c r="BZ67" s="770"/>
      <c r="CA67" s="770"/>
      <c r="CB67" s="770"/>
      <c r="CC67" s="770"/>
      <c r="CD67" s="770"/>
      <c r="CE67" s="770"/>
      <c r="CF67" s="770"/>
      <c r="CG67" s="770"/>
      <c r="CH67" s="770"/>
      <c r="CI67" s="770"/>
      <c r="CJ67" s="770"/>
      <c r="CK67" s="770"/>
      <c r="CL67" s="770"/>
    </row>
    <row r="68" spans="1:90">
      <c r="A68" s="770"/>
      <c r="B68" s="770"/>
      <c r="C68" s="770"/>
      <c r="D68" s="770"/>
      <c r="E68" s="770"/>
      <c r="F68" s="770"/>
      <c r="G68" s="770"/>
      <c r="H68" s="770"/>
      <c r="I68" s="770"/>
      <c r="J68" s="770"/>
      <c r="K68" s="770"/>
      <c r="L68" s="771"/>
      <c r="M68" s="771"/>
      <c r="N68" s="771"/>
      <c r="O68" s="771"/>
      <c r="P68" s="771"/>
      <c r="Q68" s="771"/>
      <c r="R68" s="771"/>
      <c r="S68" s="771"/>
      <c r="T68" s="771"/>
      <c r="U68" s="771"/>
      <c r="V68" s="771"/>
      <c r="W68" s="771"/>
      <c r="X68" s="770"/>
      <c r="Y68" s="770"/>
      <c r="Z68" s="770"/>
      <c r="AA68" s="770"/>
      <c r="AB68" s="770"/>
      <c r="AC68" s="770"/>
      <c r="AD68" s="770"/>
      <c r="AE68" s="770"/>
      <c r="AF68" s="770"/>
      <c r="AG68" s="770"/>
      <c r="AH68" s="770"/>
      <c r="AI68" s="770"/>
      <c r="AJ68" s="770"/>
      <c r="AK68" s="770"/>
      <c r="AL68" s="770"/>
      <c r="AM68" s="770"/>
      <c r="AN68" s="770"/>
      <c r="AO68" s="772"/>
      <c r="AP68" s="773"/>
      <c r="AQ68" s="770"/>
      <c r="AR68" s="770"/>
      <c r="AS68" s="770"/>
      <c r="AU68" s="770"/>
      <c r="AV68" s="770"/>
      <c r="AW68" s="770"/>
      <c r="AX68" s="770"/>
      <c r="AY68" s="770"/>
      <c r="AZ68" s="770"/>
      <c r="BA68" s="770"/>
      <c r="BB68" s="770"/>
      <c r="BC68" s="770"/>
      <c r="BD68" s="770"/>
      <c r="BE68" s="770"/>
      <c r="BF68" s="770"/>
      <c r="BG68" s="770"/>
      <c r="BH68" s="770"/>
      <c r="BI68" s="770"/>
      <c r="BJ68" s="770"/>
      <c r="BK68" s="770"/>
      <c r="BL68" s="770"/>
      <c r="BM68" s="770"/>
      <c r="BN68" s="770"/>
      <c r="BO68" s="770"/>
      <c r="BP68" s="770"/>
      <c r="BQ68" s="770"/>
      <c r="BR68" s="770"/>
      <c r="BS68" s="770"/>
      <c r="BT68" s="770"/>
      <c r="BU68" s="770"/>
      <c r="BV68" s="770"/>
      <c r="BW68" s="770"/>
      <c r="BX68" s="770"/>
      <c r="BY68" s="770"/>
      <c r="BZ68" s="770"/>
      <c r="CA68" s="770"/>
      <c r="CB68" s="770"/>
      <c r="CC68" s="770"/>
      <c r="CD68" s="770"/>
      <c r="CE68" s="770"/>
      <c r="CF68" s="770"/>
      <c r="CG68" s="770"/>
      <c r="CH68" s="770"/>
      <c r="CI68" s="770"/>
      <c r="CJ68" s="770"/>
      <c r="CK68" s="770"/>
      <c r="CL68" s="770"/>
    </row>
    <row r="69" spans="1:90">
      <c r="A69" s="770"/>
      <c r="B69" s="770"/>
      <c r="C69" s="770"/>
      <c r="D69" s="770"/>
      <c r="E69" s="770"/>
      <c r="F69" s="770"/>
      <c r="G69" s="770"/>
      <c r="H69" s="770"/>
      <c r="I69" s="770"/>
      <c r="J69" s="770"/>
      <c r="K69" s="770"/>
      <c r="L69" s="771"/>
      <c r="M69" s="771"/>
      <c r="N69" s="771"/>
      <c r="O69" s="771"/>
      <c r="P69" s="771"/>
      <c r="Q69" s="771"/>
      <c r="R69" s="771"/>
      <c r="S69" s="771"/>
      <c r="T69" s="771"/>
      <c r="U69" s="771"/>
      <c r="V69" s="771"/>
      <c r="W69" s="771"/>
      <c r="X69" s="770"/>
      <c r="Y69" s="770"/>
      <c r="Z69" s="770"/>
      <c r="AA69" s="770"/>
      <c r="AB69" s="770"/>
      <c r="AC69" s="770"/>
      <c r="AD69" s="770"/>
      <c r="AE69" s="770"/>
      <c r="AF69" s="770"/>
      <c r="AG69" s="770"/>
      <c r="AH69" s="770"/>
      <c r="AI69" s="770"/>
      <c r="AJ69" s="770"/>
      <c r="AK69" s="770"/>
      <c r="AL69" s="770"/>
      <c r="AM69" s="770"/>
      <c r="AN69" s="770"/>
      <c r="AO69" s="772"/>
      <c r="AP69" s="773"/>
      <c r="AQ69" s="770"/>
      <c r="AR69" s="770"/>
      <c r="AS69" s="770"/>
      <c r="AU69" s="770"/>
      <c r="AV69" s="770"/>
      <c r="AW69" s="770"/>
      <c r="AX69" s="770"/>
      <c r="AY69" s="770"/>
      <c r="AZ69" s="770"/>
      <c r="BA69" s="770"/>
      <c r="BB69" s="770"/>
      <c r="BC69" s="770"/>
      <c r="BD69" s="770"/>
      <c r="BE69" s="770"/>
      <c r="BF69" s="770"/>
      <c r="BG69" s="770"/>
      <c r="BH69" s="770"/>
      <c r="BI69" s="770"/>
      <c r="BJ69" s="770"/>
      <c r="BK69" s="770"/>
      <c r="BL69" s="770"/>
      <c r="BM69" s="770"/>
      <c r="BN69" s="770"/>
      <c r="BO69" s="770"/>
      <c r="BP69" s="770"/>
      <c r="BQ69" s="770"/>
      <c r="BR69" s="770"/>
      <c r="BS69" s="770"/>
      <c r="BT69" s="770"/>
      <c r="BU69" s="770"/>
      <c r="BV69" s="770"/>
      <c r="BW69" s="770"/>
      <c r="BX69" s="770"/>
      <c r="BY69" s="770"/>
      <c r="BZ69" s="770"/>
      <c r="CA69" s="770"/>
      <c r="CB69" s="770"/>
      <c r="CC69" s="770"/>
      <c r="CD69" s="770"/>
      <c r="CE69" s="770"/>
      <c r="CF69" s="770"/>
      <c r="CG69" s="770"/>
      <c r="CH69" s="770"/>
      <c r="CI69" s="770"/>
      <c r="CJ69" s="770"/>
      <c r="CK69" s="770"/>
      <c r="CL69" s="770"/>
    </row>
    <row r="70" spans="1:90">
      <c r="A70" s="770"/>
      <c r="B70" s="770"/>
      <c r="C70" s="770"/>
      <c r="D70" s="770"/>
      <c r="E70" s="770"/>
      <c r="F70" s="770"/>
      <c r="G70" s="770"/>
      <c r="H70" s="770"/>
      <c r="I70" s="770"/>
      <c r="J70" s="770"/>
      <c r="K70" s="770"/>
      <c r="L70" s="771"/>
      <c r="M70" s="771"/>
      <c r="N70" s="771"/>
      <c r="O70" s="771"/>
      <c r="P70" s="771"/>
      <c r="Q70" s="771"/>
      <c r="R70" s="771"/>
      <c r="S70" s="771"/>
      <c r="T70" s="771"/>
      <c r="U70" s="771"/>
      <c r="V70" s="771"/>
      <c r="W70" s="771"/>
      <c r="X70" s="770"/>
      <c r="Y70" s="770"/>
      <c r="Z70" s="770"/>
      <c r="AA70" s="770"/>
      <c r="AB70" s="770"/>
      <c r="AC70" s="770"/>
      <c r="AD70" s="770"/>
      <c r="AE70" s="770"/>
      <c r="AF70" s="770"/>
      <c r="AG70" s="770"/>
      <c r="AH70" s="770"/>
      <c r="AI70" s="770"/>
      <c r="AJ70" s="770"/>
      <c r="AK70" s="770"/>
      <c r="AL70" s="770"/>
      <c r="AM70" s="770"/>
      <c r="AN70" s="770"/>
      <c r="AO70" s="772"/>
      <c r="AP70" s="773"/>
      <c r="AQ70" s="770"/>
      <c r="AR70" s="770"/>
      <c r="AS70" s="770"/>
      <c r="AU70" s="770"/>
      <c r="AV70" s="770"/>
      <c r="AW70" s="770"/>
      <c r="AX70" s="770"/>
      <c r="AY70" s="770"/>
      <c r="AZ70" s="770"/>
      <c r="BA70" s="770"/>
      <c r="BB70" s="770"/>
      <c r="BC70" s="770"/>
      <c r="BD70" s="770"/>
      <c r="BE70" s="770"/>
      <c r="BF70" s="770"/>
      <c r="BG70" s="770"/>
      <c r="BH70" s="770"/>
      <c r="BI70" s="770"/>
      <c r="BJ70" s="770"/>
      <c r="BK70" s="770"/>
      <c r="BL70" s="770"/>
      <c r="BM70" s="770"/>
      <c r="BN70" s="770"/>
      <c r="BO70" s="770"/>
      <c r="BP70" s="770"/>
      <c r="BQ70" s="770"/>
      <c r="BR70" s="770"/>
      <c r="BS70" s="770"/>
      <c r="BT70" s="770"/>
      <c r="BU70" s="770"/>
      <c r="BV70" s="770"/>
      <c r="BW70" s="770"/>
      <c r="BX70" s="770"/>
      <c r="BY70" s="770"/>
      <c r="BZ70" s="770"/>
      <c r="CA70" s="770"/>
      <c r="CB70" s="770"/>
      <c r="CC70" s="770"/>
      <c r="CD70" s="770"/>
      <c r="CE70" s="770"/>
      <c r="CF70" s="770"/>
      <c r="CG70" s="770"/>
      <c r="CH70" s="770"/>
      <c r="CI70" s="770"/>
      <c r="CJ70" s="770"/>
      <c r="CK70" s="770"/>
      <c r="CL70" s="770"/>
    </row>
    <row r="71" spans="1:90">
      <c r="A71" s="770"/>
      <c r="B71" s="770"/>
      <c r="C71" s="770"/>
      <c r="D71" s="770"/>
      <c r="E71" s="770"/>
      <c r="F71" s="770"/>
      <c r="G71" s="770"/>
      <c r="H71" s="770"/>
      <c r="I71" s="770"/>
      <c r="J71" s="770"/>
      <c r="K71" s="770"/>
      <c r="L71" s="771"/>
      <c r="M71" s="771"/>
      <c r="N71" s="771"/>
      <c r="O71" s="771"/>
      <c r="P71" s="771"/>
      <c r="Q71" s="771"/>
      <c r="R71" s="771"/>
      <c r="S71" s="771"/>
      <c r="T71" s="771"/>
      <c r="U71" s="771"/>
      <c r="V71" s="771"/>
      <c r="W71" s="771"/>
      <c r="X71" s="770"/>
      <c r="Y71" s="770"/>
      <c r="Z71" s="770"/>
      <c r="AA71" s="770"/>
      <c r="AB71" s="770"/>
      <c r="AC71" s="770"/>
      <c r="AD71" s="770"/>
      <c r="AE71" s="770"/>
      <c r="AF71" s="770"/>
      <c r="AG71" s="770"/>
      <c r="AH71" s="770"/>
      <c r="AI71" s="770"/>
      <c r="AJ71" s="770"/>
      <c r="AK71" s="770"/>
      <c r="AL71" s="770"/>
      <c r="AM71" s="770"/>
      <c r="AN71" s="770"/>
      <c r="AO71" s="772"/>
      <c r="AP71" s="773"/>
      <c r="AQ71" s="770"/>
      <c r="AR71" s="770"/>
      <c r="AS71" s="770"/>
      <c r="AU71" s="770"/>
      <c r="AV71" s="770"/>
      <c r="AW71" s="770"/>
      <c r="AX71" s="770"/>
      <c r="AY71" s="770"/>
      <c r="AZ71" s="770"/>
      <c r="BA71" s="770"/>
      <c r="BB71" s="770"/>
      <c r="BC71" s="770"/>
      <c r="BD71" s="770"/>
      <c r="BE71" s="770"/>
      <c r="BF71" s="770"/>
      <c r="BG71" s="770"/>
      <c r="BH71" s="770"/>
      <c r="BI71" s="770"/>
      <c r="BJ71" s="770"/>
      <c r="BK71" s="770"/>
      <c r="BL71" s="770"/>
      <c r="BM71" s="770"/>
      <c r="BN71" s="770"/>
      <c r="BO71" s="770"/>
      <c r="BP71" s="770"/>
      <c r="BQ71" s="770"/>
      <c r="BR71" s="770"/>
      <c r="BS71" s="770"/>
      <c r="BT71" s="770"/>
      <c r="BU71" s="770"/>
      <c r="BV71" s="770"/>
      <c r="BW71" s="770"/>
      <c r="BX71" s="770"/>
      <c r="BY71" s="770"/>
      <c r="BZ71" s="770"/>
      <c r="CA71" s="770"/>
      <c r="CB71" s="770"/>
      <c r="CC71" s="770"/>
      <c r="CD71" s="770"/>
      <c r="CE71" s="770"/>
      <c r="CF71" s="770"/>
      <c r="CG71" s="770"/>
      <c r="CH71" s="770"/>
      <c r="CI71" s="770"/>
      <c r="CJ71" s="770"/>
      <c r="CK71" s="770"/>
      <c r="CL71" s="770"/>
    </row>
    <row r="72" spans="1:90">
      <c r="A72" s="770"/>
      <c r="B72" s="770"/>
      <c r="C72" s="770"/>
      <c r="D72" s="770"/>
      <c r="E72" s="770"/>
      <c r="F72" s="770"/>
      <c r="G72" s="770"/>
      <c r="H72" s="770"/>
      <c r="I72" s="770"/>
      <c r="J72" s="770"/>
      <c r="K72" s="770"/>
      <c r="L72" s="771"/>
      <c r="M72" s="771"/>
      <c r="N72" s="771"/>
      <c r="O72" s="771"/>
      <c r="P72" s="771"/>
      <c r="Q72" s="771"/>
      <c r="R72" s="771"/>
      <c r="S72" s="771"/>
      <c r="T72" s="771"/>
      <c r="U72" s="771"/>
      <c r="V72" s="771"/>
      <c r="W72" s="771"/>
      <c r="X72" s="770"/>
      <c r="Y72" s="770"/>
      <c r="Z72" s="770"/>
      <c r="AA72" s="770"/>
      <c r="AB72" s="770"/>
      <c r="AC72" s="770"/>
      <c r="AD72" s="770"/>
      <c r="AE72" s="770"/>
      <c r="AF72" s="770"/>
      <c r="AG72" s="770"/>
      <c r="AH72" s="770"/>
      <c r="AI72" s="770"/>
      <c r="AJ72" s="770"/>
      <c r="AK72" s="770"/>
      <c r="AL72" s="770"/>
      <c r="AM72" s="770"/>
      <c r="AN72" s="770"/>
      <c r="AO72" s="772"/>
      <c r="AP72" s="773"/>
      <c r="AQ72" s="770"/>
      <c r="AR72" s="770"/>
      <c r="AS72" s="770"/>
      <c r="AU72" s="770"/>
      <c r="AV72" s="770"/>
      <c r="AW72" s="770"/>
      <c r="AX72" s="770"/>
      <c r="AY72" s="770"/>
      <c r="AZ72" s="770"/>
      <c r="BA72" s="770"/>
      <c r="BB72" s="770"/>
      <c r="BC72" s="770"/>
      <c r="BD72" s="770"/>
      <c r="BE72" s="770"/>
      <c r="BF72" s="770"/>
      <c r="BG72" s="770"/>
      <c r="BH72" s="770"/>
      <c r="BI72" s="770"/>
      <c r="BJ72" s="770"/>
      <c r="BK72" s="770"/>
      <c r="BL72" s="770"/>
      <c r="BM72" s="770"/>
      <c r="BN72" s="770"/>
      <c r="BO72" s="770"/>
      <c r="BP72" s="770"/>
      <c r="BQ72" s="770"/>
      <c r="BR72" s="770"/>
      <c r="BS72" s="770"/>
      <c r="BT72" s="770"/>
      <c r="BU72" s="770"/>
      <c r="BV72" s="770"/>
      <c r="BW72" s="770"/>
      <c r="BX72" s="770"/>
      <c r="BY72" s="770"/>
      <c r="BZ72" s="770"/>
      <c r="CA72" s="770"/>
      <c r="CB72" s="770"/>
      <c r="CC72" s="770"/>
      <c r="CD72" s="770"/>
      <c r="CE72" s="770"/>
      <c r="CF72" s="770"/>
      <c r="CG72" s="770"/>
      <c r="CH72" s="770"/>
      <c r="CI72" s="770"/>
      <c r="CJ72" s="770"/>
      <c r="CK72" s="770"/>
      <c r="CL72" s="770"/>
    </row>
    <row r="73" spans="1:90">
      <c r="A73" s="770"/>
      <c r="B73" s="770"/>
      <c r="C73" s="770"/>
      <c r="D73" s="770"/>
      <c r="E73" s="770"/>
      <c r="F73" s="770"/>
      <c r="G73" s="770"/>
      <c r="H73" s="770"/>
      <c r="I73" s="770"/>
      <c r="J73" s="770"/>
      <c r="K73" s="770"/>
      <c r="L73" s="771"/>
      <c r="M73" s="771"/>
      <c r="N73" s="771"/>
      <c r="O73" s="771"/>
      <c r="P73" s="771"/>
      <c r="Q73" s="771"/>
      <c r="R73" s="771"/>
      <c r="S73" s="771"/>
      <c r="T73" s="771"/>
      <c r="U73" s="771"/>
      <c r="V73" s="771"/>
      <c r="W73" s="771"/>
      <c r="X73" s="770"/>
      <c r="Y73" s="770"/>
      <c r="Z73" s="770"/>
      <c r="AA73" s="770"/>
      <c r="AB73" s="770"/>
      <c r="AC73" s="770"/>
      <c r="AD73" s="770"/>
      <c r="AE73" s="770"/>
      <c r="AF73" s="770"/>
      <c r="AG73" s="770"/>
      <c r="AH73" s="770"/>
      <c r="AI73" s="770"/>
      <c r="AJ73" s="770"/>
      <c r="AK73" s="770"/>
      <c r="AL73" s="770"/>
      <c r="AM73" s="770"/>
      <c r="AN73" s="770"/>
      <c r="AO73" s="772"/>
      <c r="AP73" s="773"/>
      <c r="AQ73" s="770"/>
      <c r="AR73" s="770"/>
      <c r="AS73" s="770"/>
      <c r="AU73" s="770"/>
      <c r="AV73" s="770"/>
      <c r="AW73" s="770"/>
      <c r="AX73" s="770"/>
      <c r="AY73" s="770"/>
      <c r="AZ73" s="770"/>
      <c r="BA73" s="770"/>
      <c r="BB73" s="770"/>
      <c r="BC73" s="770"/>
      <c r="BD73" s="770"/>
      <c r="BE73" s="770"/>
      <c r="BF73" s="770"/>
      <c r="BG73" s="770"/>
      <c r="BH73" s="770"/>
      <c r="BI73" s="770"/>
      <c r="BJ73" s="770"/>
      <c r="BK73" s="770"/>
      <c r="BL73" s="770"/>
      <c r="BM73" s="770"/>
      <c r="BN73" s="770"/>
      <c r="BO73" s="770"/>
      <c r="BP73" s="770"/>
      <c r="BQ73" s="770"/>
      <c r="BR73" s="770"/>
      <c r="BS73" s="770"/>
      <c r="BT73" s="770"/>
      <c r="BU73" s="770"/>
      <c r="BV73" s="770"/>
      <c r="BW73" s="770"/>
      <c r="BX73" s="770"/>
      <c r="BY73" s="770"/>
      <c r="BZ73" s="770"/>
      <c r="CA73" s="770"/>
      <c r="CB73" s="770"/>
      <c r="CC73" s="770"/>
      <c r="CD73" s="770"/>
      <c r="CE73" s="770"/>
      <c r="CF73" s="770"/>
      <c r="CG73" s="770"/>
      <c r="CH73" s="770"/>
      <c r="CI73" s="770"/>
      <c r="CJ73" s="770"/>
      <c r="CK73" s="770"/>
      <c r="CL73" s="770"/>
    </row>
    <row r="74" spans="1:90">
      <c r="A74" s="770"/>
      <c r="B74" s="770"/>
      <c r="C74" s="770"/>
      <c r="D74" s="770"/>
      <c r="E74" s="770"/>
      <c r="F74" s="770"/>
      <c r="G74" s="770"/>
      <c r="H74" s="770"/>
      <c r="I74" s="770"/>
      <c r="J74" s="770"/>
      <c r="K74" s="770"/>
      <c r="L74" s="771"/>
      <c r="M74" s="771"/>
      <c r="N74" s="771"/>
      <c r="O74" s="771"/>
      <c r="P74" s="771"/>
      <c r="Q74" s="771"/>
      <c r="R74" s="771"/>
      <c r="S74" s="771"/>
      <c r="T74" s="771"/>
      <c r="U74" s="771"/>
      <c r="V74" s="771"/>
      <c r="W74" s="771"/>
      <c r="X74" s="770"/>
      <c r="Y74" s="770"/>
      <c r="Z74" s="770"/>
      <c r="AA74" s="770"/>
      <c r="AB74" s="770"/>
      <c r="AC74" s="770"/>
      <c r="AD74" s="770"/>
      <c r="AE74" s="770"/>
      <c r="AF74" s="770"/>
      <c r="AG74" s="770"/>
      <c r="AH74" s="770"/>
      <c r="AI74" s="770"/>
      <c r="AJ74" s="770"/>
      <c r="AK74" s="770"/>
      <c r="AL74" s="770"/>
      <c r="AM74" s="770"/>
      <c r="AN74" s="770"/>
      <c r="AO74" s="772"/>
      <c r="AP74" s="773"/>
      <c r="AQ74" s="770"/>
      <c r="AR74" s="770"/>
      <c r="AS74" s="770"/>
      <c r="AU74" s="770"/>
      <c r="AV74" s="770"/>
      <c r="AW74" s="770"/>
      <c r="AX74" s="770"/>
      <c r="AY74" s="770"/>
      <c r="AZ74" s="770"/>
      <c r="BA74" s="770"/>
      <c r="BB74" s="770"/>
      <c r="BC74" s="770"/>
      <c r="BD74" s="770"/>
      <c r="BE74" s="770"/>
      <c r="BF74" s="770"/>
      <c r="BG74" s="770"/>
      <c r="BH74" s="770"/>
      <c r="BI74" s="770"/>
      <c r="BJ74" s="770"/>
      <c r="BK74" s="770"/>
      <c r="BL74" s="770"/>
      <c r="BM74" s="770"/>
      <c r="BN74" s="770"/>
      <c r="BO74" s="770"/>
      <c r="BP74" s="770"/>
      <c r="BQ74" s="770"/>
      <c r="BR74" s="770"/>
      <c r="BS74" s="770"/>
      <c r="BT74" s="770"/>
      <c r="BU74" s="770"/>
      <c r="BV74" s="770"/>
      <c r="BW74" s="770"/>
      <c r="BX74" s="770"/>
      <c r="BY74" s="770"/>
      <c r="BZ74" s="770"/>
      <c r="CA74" s="770"/>
      <c r="CB74" s="770"/>
      <c r="CC74" s="770"/>
      <c r="CD74" s="770"/>
      <c r="CE74" s="770"/>
      <c r="CF74" s="770"/>
      <c r="CG74" s="770"/>
      <c r="CH74" s="770"/>
      <c r="CI74" s="770"/>
      <c r="CJ74" s="770"/>
      <c r="CK74" s="770"/>
      <c r="CL74" s="770"/>
    </row>
    <row r="75" spans="1:90">
      <c r="A75" s="770"/>
      <c r="B75" s="770"/>
      <c r="C75" s="770"/>
      <c r="D75" s="770"/>
      <c r="E75" s="770"/>
      <c r="F75" s="770"/>
      <c r="G75" s="770"/>
      <c r="H75" s="770"/>
      <c r="I75" s="770"/>
      <c r="J75" s="770"/>
      <c r="K75" s="770"/>
      <c r="L75" s="771"/>
      <c r="M75" s="771"/>
      <c r="N75" s="771"/>
      <c r="O75" s="771"/>
      <c r="P75" s="771"/>
      <c r="Q75" s="771"/>
      <c r="R75" s="771"/>
      <c r="S75" s="771"/>
      <c r="T75" s="771"/>
      <c r="U75" s="771"/>
      <c r="V75" s="771"/>
      <c r="W75" s="771"/>
      <c r="X75" s="770"/>
      <c r="Y75" s="770"/>
      <c r="Z75" s="770"/>
      <c r="AA75" s="770"/>
      <c r="AB75" s="770"/>
      <c r="AC75" s="770"/>
      <c r="AD75" s="770"/>
      <c r="AE75" s="770"/>
      <c r="AF75" s="770"/>
      <c r="AG75" s="770"/>
      <c r="AH75" s="770"/>
      <c r="AI75" s="770"/>
      <c r="AJ75" s="770"/>
      <c r="AK75" s="770"/>
      <c r="AL75" s="770"/>
      <c r="AM75" s="770"/>
      <c r="AN75" s="770"/>
      <c r="AO75" s="772"/>
      <c r="AP75" s="773"/>
      <c r="AQ75" s="770"/>
      <c r="AR75" s="770"/>
      <c r="AS75" s="770"/>
      <c r="AU75" s="770"/>
      <c r="AV75" s="770"/>
      <c r="AW75" s="770"/>
      <c r="AX75" s="770"/>
      <c r="AY75" s="770"/>
      <c r="AZ75" s="770"/>
      <c r="BA75" s="770"/>
      <c r="BB75" s="770"/>
      <c r="BC75" s="770"/>
      <c r="BD75" s="770"/>
      <c r="BE75" s="770"/>
      <c r="BF75" s="770"/>
      <c r="BG75" s="770"/>
      <c r="BH75" s="770"/>
      <c r="BI75" s="770"/>
      <c r="BJ75" s="770"/>
      <c r="BK75" s="770"/>
      <c r="BL75" s="770"/>
      <c r="BM75" s="770"/>
      <c r="BN75" s="770"/>
      <c r="BO75" s="770"/>
      <c r="BP75" s="770"/>
      <c r="BQ75" s="770"/>
      <c r="BR75" s="770"/>
      <c r="BS75" s="770"/>
      <c r="BT75" s="770"/>
      <c r="BU75" s="770"/>
      <c r="BV75" s="770"/>
      <c r="BW75" s="770"/>
      <c r="BX75" s="770"/>
      <c r="BY75" s="770"/>
      <c r="BZ75" s="770"/>
      <c r="CA75" s="770"/>
      <c r="CB75" s="770"/>
      <c r="CC75" s="770"/>
      <c r="CD75" s="770"/>
      <c r="CE75" s="770"/>
      <c r="CF75" s="770"/>
      <c r="CG75" s="770"/>
      <c r="CH75" s="770"/>
      <c r="CI75" s="770"/>
      <c r="CJ75" s="770"/>
      <c r="CK75" s="770"/>
      <c r="CL75" s="770"/>
    </row>
    <row r="76" spans="1:90">
      <c r="A76" s="770"/>
      <c r="B76" s="770"/>
      <c r="C76" s="770"/>
      <c r="D76" s="770"/>
      <c r="E76" s="770"/>
      <c r="F76" s="770"/>
      <c r="G76" s="770"/>
      <c r="H76" s="770"/>
      <c r="I76" s="770"/>
      <c r="J76" s="770"/>
      <c r="K76" s="770"/>
      <c r="L76" s="771"/>
      <c r="M76" s="771"/>
      <c r="N76" s="771"/>
      <c r="O76" s="771"/>
      <c r="P76" s="771"/>
      <c r="Q76" s="771"/>
      <c r="R76" s="771"/>
      <c r="S76" s="771"/>
      <c r="T76" s="771"/>
      <c r="U76" s="771"/>
      <c r="V76" s="771"/>
      <c r="W76" s="771"/>
      <c r="X76" s="770"/>
      <c r="Y76" s="770"/>
      <c r="Z76" s="770"/>
      <c r="AA76" s="770"/>
      <c r="AB76" s="770"/>
      <c r="AC76" s="770"/>
      <c r="AD76" s="770"/>
      <c r="AE76" s="770"/>
      <c r="AF76" s="770"/>
      <c r="AG76" s="770"/>
      <c r="AH76" s="770"/>
      <c r="AI76" s="770"/>
      <c r="AJ76" s="770"/>
      <c r="AK76" s="770"/>
      <c r="AL76" s="770"/>
      <c r="AM76" s="770"/>
      <c r="AN76" s="770"/>
      <c r="AO76" s="772"/>
      <c r="AP76" s="773"/>
      <c r="AQ76" s="770"/>
      <c r="AR76" s="770"/>
      <c r="AS76" s="770"/>
      <c r="AU76" s="770"/>
      <c r="AV76" s="770"/>
      <c r="AW76" s="770"/>
      <c r="AX76" s="770"/>
      <c r="AY76" s="770"/>
      <c r="AZ76" s="770"/>
      <c r="BA76" s="770"/>
      <c r="BB76" s="770"/>
      <c r="BC76" s="770"/>
      <c r="BD76" s="770"/>
      <c r="BE76" s="770"/>
      <c r="BF76" s="770"/>
      <c r="BG76" s="770"/>
      <c r="BH76" s="770"/>
      <c r="BI76" s="770"/>
      <c r="BJ76" s="770"/>
      <c r="BK76" s="770"/>
      <c r="BL76" s="770"/>
      <c r="BM76" s="770"/>
      <c r="BN76" s="770"/>
      <c r="BO76" s="770"/>
      <c r="BP76" s="770"/>
      <c r="BQ76" s="770"/>
      <c r="BR76" s="770"/>
      <c r="BS76" s="770"/>
      <c r="BT76" s="770"/>
      <c r="BU76" s="770"/>
      <c r="BV76" s="770"/>
      <c r="BW76" s="770"/>
      <c r="BX76" s="770"/>
      <c r="BY76" s="770"/>
      <c r="BZ76" s="770"/>
      <c r="CA76" s="770"/>
      <c r="CB76" s="770"/>
      <c r="CC76" s="770"/>
      <c r="CD76" s="770"/>
      <c r="CE76" s="770"/>
      <c r="CF76" s="770"/>
      <c r="CG76" s="770"/>
      <c r="CH76" s="770"/>
      <c r="CI76" s="770"/>
      <c r="CJ76" s="770"/>
      <c r="CK76" s="770"/>
      <c r="CL76" s="770"/>
    </row>
    <row r="77" spans="1:90">
      <c r="A77" s="770"/>
      <c r="B77" s="770"/>
      <c r="C77" s="770"/>
      <c r="D77" s="770"/>
      <c r="E77" s="770"/>
      <c r="F77" s="770"/>
      <c r="G77" s="770"/>
      <c r="H77" s="770"/>
      <c r="I77" s="770"/>
      <c r="J77" s="770"/>
      <c r="K77" s="770"/>
      <c r="L77" s="771"/>
      <c r="M77" s="771"/>
      <c r="N77" s="771"/>
      <c r="O77" s="771"/>
      <c r="P77" s="771"/>
      <c r="Q77" s="771"/>
      <c r="R77" s="771"/>
      <c r="S77" s="771"/>
      <c r="T77" s="771"/>
      <c r="U77" s="771"/>
      <c r="V77" s="771"/>
      <c r="W77" s="771"/>
      <c r="X77" s="770"/>
      <c r="Y77" s="770"/>
      <c r="Z77" s="770"/>
      <c r="AA77" s="770"/>
      <c r="AB77" s="770"/>
      <c r="AC77" s="770"/>
      <c r="AD77" s="770"/>
      <c r="AE77" s="770"/>
      <c r="AF77" s="770"/>
      <c r="AG77" s="770"/>
      <c r="AH77" s="770"/>
      <c r="AI77" s="770"/>
      <c r="AJ77" s="770"/>
      <c r="AK77" s="770"/>
      <c r="AL77" s="770"/>
      <c r="AM77" s="770"/>
      <c r="AN77" s="770"/>
      <c r="AO77" s="772"/>
      <c r="AP77" s="773"/>
      <c r="AQ77" s="770"/>
      <c r="AR77" s="770"/>
      <c r="AS77" s="770"/>
      <c r="AU77" s="770"/>
      <c r="AV77" s="770"/>
      <c r="AW77" s="770"/>
      <c r="AX77" s="770"/>
      <c r="AY77" s="770"/>
      <c r="AZ77" s="770"/>
      <c r="BA77" s="770"/>
      <c r="BB77" s="770"/>
      <c r="BC77" s="770"/>
      <c r="BD77" s="770"/>
      <c r="BE77" s="770"/>
      <c r="BF77" s="770"/>
      <c r="BG77" s="770"/>
      <c r="BH77" s="770"/>
      <c r="BI77" s="770"/>
      <c r="BJ77" s="770"/>
      <c r="BK77" s="770"/>
      <c r="BL77" s="770"/>
      <c r="BM77" s="770"/>
      <c r="BN77" s="770"/>
      <c r="BO77" s="770"/>
      <c r="BP77" s="770"/>
      <c r="BQ77" s="770"/>
      <c r="BR77" s="770"/>
      <c r="BS77" s="770"/>
      <c r="BT77" s="770"/>
      <c r="BU77" s="770"/>
      <c r="BV77" s="770"/>
      <c r="BW77" s="770"/>
      <c r="BX77" s="770"/>
      <c r="BY77" s="770"/>
      <c r="BZ77" s="770"/>
      <c r="CA77" s="770"/>
      <c r="CB77" s="770"/>
      <c r="CC77" s="770"/>
      <c r="CD77" s="770"/>
      <c r="CE77" s="770"/>
      <c r="CF77" s="770"/>
      <c r="CG77" s="770"/>
      <c r="CH77" s="770"/>
      <c r="CI77" s="770"/>
      <c r="CJ77" s="770"/>
      <c r="CK77" s="770"/>
      <c r="CL77" s="770"/>
    </row>
    <row r="78" spans="1:90">
      <c r="A78" s="770"/>
      <c r="B78" s="770"/>
      <c r="C78" s="770"/>
      <c r="D78" s="770"/>
      <c r="E78" s="770"/>
      <c r="F78" s="770"/>
      <c r="G78" s="770"/>
      <c r="H78" s="770"/>
      <c r="I78" s="770"/>
      <c r="J78" s="770"/>
      <c r="K78" s="770"/>
      <c r="L78" s="771"/>
      <c r="M78" s="771"/>
      <c r="N78" s="771"/>
      <c r="O78" s="771"/>
      <c r="P78" s="771"/>
      <c r="Q78" s="771"/>
      <c r="R78" s="771"/>
      <c r="S78" s="771"/>
      <c r="T78" s="771"/>
      <c r="U78" s="771"/>
      <c r="V78" s="771"/>
      <c r="W78" s="771"/>
      <c r="X78" s="770"/>
      <c r="Y78" s="770"/>
      <c r="Z78" s="770"/>
      <c r="AA78" s="770"/>
      <c r="AB78" s="770"/>
      <c r="AC78" s="770"/>
      <c r="AD78" s="770"/>
      <c r="AE78" s="770"/>
      <c r="AF78" s="770"/>
      <c r="AG78" s="770"/>
      <c r="AH78" s="770"/>
      <c r="AI78" s="770"/>
      <c r="AJ78" s="770"/>
      <c r="AK78" s="770"/>
      <c r="AL78" s="770"/>
      <c r="AM78" s="770"/>
      <c r="AN78" s="770"/>
      <c r="AO78" s="772"/>
      <c r="AP78" s="773"/>
      <c r="AQ78" s="770"/>
      <c r="AR78" s="770"/>
      <c r="AS78" s="770"/>
      <c r="AU78" s="770"/>
      <c r="AV78" s="770"/>
      <c r="AW78" s="770"/>
      <c r="AX78" s="770"/>
      <c r="AY78" s="770"/>
      <c r="AZ78" s="770"/>
      <c r="BA78" s="770"/>
      <c r="BB78" s="770"/>
      <c r="BC78" s="770"/>
      <c r="BD78" s="770"/>
      <c r="BE78" s="770"/>
      <c r="BF78" s="770"/>
      <c r="BG78" s="770"/>
      <c r="BH78" s="770"/>
      <c r="BI78" s="770"/>
      <c r="BJ78" s="770"/>
      <c r="BK78" s="770"/>
      <c r="BL78" s="770"/>
      <c r="BM78" s="770"/>
      <c r="BN78" s="770"/>
      <c r="BO78" s="770"/>
      <c r="BP78" s="770"/>
      <c r="BQ78" s="770"/>
      <c r="BR78" s="770"/>
      <c r="BS78" s="770"/>
      <c r="BT78" s="770"/>
      <c r="BU78" s="770"/>
      <c r="BV78" s="770"/>
      <c r="BW78" s="770"/>
      <c r="BX78" s="770"/>
      <c r="BY78" s="770"/>
      <c r="BZ78" s="770"/>
      <c r="CA78" s="770"/>
      <c r="CB78" s="770"/>
      <c r="CC78" s="770"/>
      <c r="CD78" s="770"/>
      <c r="CE78" s="770"/>
      <c r="CF78" s="770"/>
      <c r="CG78" s="770"/>
      <c r="CH78" s="770"/>
      <c r="CI78" s="770"/>
      <c r="CJ78" s="770"/>
      <c r="CK78" s="770"/>
      <c r="CL78" s="770"/>
    </row>
    <row r="79" spans="1:90">
      <c r="A79" s="770"/>
      <c r="B79" s="770"/>
      <c r="C79" s="770"/>
      <c r="D79" s="770"/>
      <c r="E79" s="770"/>
      <c r="F79" s="770"/>
      <c r="G79" s="770"/>
      <c r="H79" s="770"/>
      <c r="I79" s="770"/>
      <c r="J79" s="770"/>
      <c r="K79" s="770"/>
      <c r="L79" s="771"/>
      <c r="M79" s="771"/>
      <c r="N79" s="771"/>
      <c r="O79" s="771"/>
      <c r="P79" s="771"/>
      <c r="Q79" s="771"/>
      <c r="R79" s="771"/>
      <c r="S79" s="771"/>
      <c r="T79" s="771"/>
      <c r="U79" s="771"/>
      <c r="V79" s="771"/>
      <c r="W79" s="771"/>
      <c r="X79" s="770"/>
      <c r="Y79" s="770"/>
      <c r="Z79" s="770"/>
      <c r="AA79" s="770"/>
      <c r="AB79" s="770"/>
      <c r="AC79" s="770"/>
      <c r="AD79" s="770"/>
      <c r="AE79" s="770"/>
      <c r="AF79" s="770"/>
      <c r="AG79" s="770"/>
      <c r="AH79" s="770"/>
      <c r="AI79" s="770"/>
      <c r="AJ79" s="770"/>
      <c r="AK79" s="770"/>
      <c r="AL79" s="770"/>
      <c r="AM79" s="770"/>
      <c r="AN79" s="770"/>
      <c r="AO79" s="772"/>
      <c r="AP79" s="773"/>
      <c r="AQ79" s="770"/>
      <c r="AR79" s="770"/>
      <c r="AS79" s="770"/>
      <c r="AU79" s="770"/>
      <c r="AV79" s="770"/>
      <c r="AW79" s="770"/>
      <c r="AX79" s="770"/>
      <c r="AY79" s="770"/>
      <c r="AZ79" s="770"/>
      <c r="BA79" s="770"/>
      <c r="BB79" s="770"/>
      <c r="BC79" s="770"/>
      <c r="BD79" s="770"/>
      <c r="BE79" s="770"/>
      <c r="BF79" s="770"/>
      <c r="BG79" s="770"/>
      <c r="BH79" s="770"/>
      <c r="BI79" s="770"/>
      <c r="BJ79" s="770"/>
      <c r="BK79" s="770"/>
      <c r="BL79" s="770"/>
      <c r="BM79" s="770"/>
      <c r="BN79" s="770"/>
      <c r="BO79" s="770"/>
      <c r="BP79" s="770"/>
      <c r="BQ79" s="770"/>
      <c r="BR79" s="770"/>
      <c r="BS79" s="770"/>
      <c r="BT79" s="770"/>
      <c r="BU79" s="770"/>
      <c r="BV79" s="770"/>
      <c r="BW79" s="770"/>
      <c r="BX79" s="770"/>
      <c r="BY79" s="770"/>
      <c r="BZ79" s="770"/>
      <c r="CA79" s="770"/>
      <c r="CB79" s="770"/>
      <c r="CC79" s="770"/>
      <c r="CD79" s="770"/>
      <c r="CE79" s="770"/>
      <c r="CF79" s="770"/>
      <c r="CG79" s="770"/>
      <c r="CH79" s="770"/>
      <c r="CI79" s="770"/>
      <c r="CJ79" s="770"/>
      <c r="CK79" s="770"/>
      <c r="CL79" s="770"/>
    </row>
    <row r="80" spans="1:90">
      <c r="A80" s="770"/>
      <c r="B80" s="770"/>
      <c r="C80" s="770"/>
      <c r="D80" s="770"/>
      <c r="E80" s="770"/>
      <c r="F80" s="770"/>
      <c r="G80" s="770"/>
      <c r="H80" s="770"/>
      <c r="I80" s="770"/>
      <c r="J80" s="770"/>
      <c r="K80" s="770"/>
      <c r="L80" s="771"/>
      <c r="M80" s="771"/>
      <c r="N80" s="771"/>
      <c r="O80" s="771"/>
      <c r="P80" s="771"/>
      <c r="Q80" s="771"/>
      <c r="R80" s="771"/>
      <c r="S80" s="771"/>
      <c r="T80" s="771"/>
      <c r="U80" s="771"/>
      <c r="V80" s="771"/>
      <c r="W80" s="771"/>
      <c r="X80" s="770"/>
      <c r="Y80" s="770"/>
      <c r="Z80" s="770"/>
      <c r="AA80" s="770"/>
      <c r="AB80" s="770"/>
      <c r="AC80" s="770"/>
      <c r="AD80" s="770"/>
      <c r="AE80" s="770"/>
      <c r="AF80" s="770"/>
      <c r="AG80" s="770"/>
      <c r="AH80" s="770"/>
      <c r="AI80" s="770"/>
      <c r="AJ80" s="770"/>
      <c r="AK80" s="770"/>
      <c r="AL80" s="770"/>
      <c r="AM80" s="770"/>
      <c r="AN80" s="770"/>
      <c r="AO80" s="772"/>
      <c r="AP80" s="773"/>
      <c r="AQ80" s="770"/>
      <c r="AR80" s="770"/>
      <c r="AS80" s="770"/>
      <c r="AU80" s="770"/>
      <c r="AV80" s="770"/>
      <c r="AW80" s="770"/>
      <c r="AX80" s="770"/>
      <c r="AY80" s="770"/>
      <c r="AZ80" s="770"/>
      <c r="BA80" s="770"/>
      <c r="BB80" s="770"/>
      <c r="BC80" s="770"/>
      <c r="BD80" s="770"/>
      <c r="BE80" s="770"/>
      <c r="BF80" s="770"/>
      <c r="BG80" s="770"/>
      <c r="BH80" s="770"/>
      <c r="BI80" s="770"/>
      <c r="BJ80" s="770"/>
      <c r="BK80" s="770"/>
      <c r="BL80" s="770"/>
      <c r="BM80" s="770"/>
      <c r="BN80" s="770"/>
      <c r="BO80" s="770"/>
      <c r="BP80" s="770"/>
      <c r="BQ80" s="770"/>
      <c r="BR80" s="770"/>
      <c r="BS80" s="770"/>
      <c r="BT80" s="770"/>
      <c r="BU80" s="770"/>
      <c r="BV80" s="770"/>
      <c r="BW80" s="770"/>
      <c r="BX80" s="770"/>
      <c r="BY80" s="770"/>
      <c r="BZ80" s="770"/>
      <c r="CA80" s="770"/>
      <c r="CB80" s="770"/>
      <c r="CC80" s="770"/>
      <c r="CD80" s="770"/>
      <c r="CE80" s="770"/>
      <c r="CF80" s="770"/>
      <c r="CG80" s="770"/>
      <c r="CH80" s="770"/>
      <c r="CI80" s="770"/>
      <c r="CJ80" s="770"/>
      <c r="CK80" s="770"/>
      <c r="CL80" s="770"/>
    </row>
    <row r="81" spans="1:90">
      <c r="A81" s="770"/>
      <c r="B81" s="770"/>
      <c r="C81" s="770"/>
      <c r="D81" s="770"/>
      <c r="E81" s="770"/>
      <c r="F81" s="770"/>
      <c r="G81" s="770"/>
      <c r="H81" s="770"/>
      <c r="I81" s="770"/>
      <c r="J81" s="770"/>
      <c r="K81" s="770"/>
      <c r="L81" s="771"/>
      <c r="M81" s="771"/>
      <c r="N81" s="771"/>
      <c r="O81" s="771"/>
      <c r="P81" s="771"/>
      <c r="Q81" s="771"/>
      <c r="R81" s="771"/>
      <c r="S81" s="771"/>
      <c r="T81" s="771"/>
      <c r="U81" s="771"/>
      <c r="V81" s="771"/>
      <c r="W81" s="771"/>
      <c r="X81" s="770"/>
      <c r="Y81" s="770"/>
      <c r="Z81" s="770"/>
      <c r="AA81" s="770"/>
      <c r="AB81" s="770"/>
      <c r="AC81" s="770"/>
      <c r="AD81" s="770"/>
      <c r="AE81" s="770"/>
      <c r="AF81" s="770"/>
      <c r="AG81" s="770"/>
      <c r="AH81" s="770"/>
      <c r="AI81" s="770"/>
      <c r="AJ81" s="770"/>
      <c r="AK81" s="770"/>
      <c r="AL81" s="770"/>
      <c r="AM81" s="770"/>
      <c r="AN81" s="770"/>
      <c r="AO81" s="772"/>
      <c r="AP81" s="773"/>
      <c r="AQ81" s="770"/>
      <c r="AR81" s="770"/>
      <c r="AS81" s="770"/>
      <c r="AU81" s="770"/>
      <c r="AV81" s="770"/>
      <c r="AW81" s="770"/>
      <c r="AX81" s="770"/>
      <c r="AY81" s="770"/>
      <c r="AZ81" s="770"/>
      <c r="BA81" s="770"/>
      <c r="BB81" s="770"/>
      <c r="BC81" s="770"/>
      <c r="BD81" s="770"/>
      <c r="BE81" s="770"/>
      <c r="BF81" s="770"/>
      <c r="BG81" s="770"/>
      <c r="BH81" s="770"/>
      <c r="BI81" s="770"/>
      <c r="BJ81" s="770"/>
      <c r="BK81" s="770"/>
      <c r="BL81" s="770"/>
      <c r="BM81" s="770"/>
      <c r="BN81" s="770"/>
      <c r="BO81" s="770"/>
      <c r="BP81" s="770"/>
      <c r="BQ81" s="770"/>
      <c r="BR81" s="770"/>
      <c r="BS81" s="770"/>
      <c r="BT81" s="770"/>
      <c r="BU81" s="770"/>
      <c r="BV81" s="770"/>
      <c r="BW81" s="770"/>
      <c r="BX81" s="770"/>
      <c r="BY81" s="770"/>
      <c r="BZ81" s="770"/>
      <c r="CA81" s="770"/>
      <c r="CB81" s="770"/>
      <c r="CC81" s="770"/>
      <c r="CD81" s="770"/>
      <c r="CE81" s="770"/>
      <c r="CF81" s="770"/>
      <c r="CG81" s="770"/>
      <c r="CH81" s="770"/>
      <c r="CI81" s="770"/>
      <c r="CJ81" s="770"/>
      <c r="CK81" s="770"/>
      <c r="CL81" s="770"/>
    </row>
    <row r="82" spans="1:90">
      <c r="A82" s="770"/>
      <c r="B82" s="770"/>
      <c r="C82" s="770"/>
      <c r="D82" s="770"/>
      <c r="E82" s="770"/>
      <c r="F82" s="770"/>
      <c r="G82" s="770"/>
      <c r="H82" s="770"/>
      <c r="I82" s="770"/>
      <c r="J82" s="770"/>
      <c r="K82" s="770"/>
      <c r="L82" s="771"/>
      <c r="M82" s="771"/>
      <c r="N82" s="771"/>
      <c r="O82" s="771"/>
      <c r="P82" s="771"/>
      <c r="Q82" s="771"/>
      <c r="R82" s="771"/>
      <c r="S82" s="771"/>
      <c r="T82" s="771"/>
      <c r="U82" s="771"/>
      <c r="V82" s="771"/>
      <c r="W82" s="771"/>
      <c r="X82" s="770"/>
      <c r="Y82" s="770"/>
      <c r="Z82" s="770"/>
      <c r="AA82" s="770"/>
      <c r="AB82" s="770"/>
      <c r="AC82" s="770"/>
      <c r="AD82" s="770"/>
      <c r="AE82" s="770"/>
      <c r="AF82" s="770"/>
      <c r="AG82" s="770"/>
      <c r="AH82" s="770"/>
      <c r="AI82" s="770"/>
      <c r="AJ82" s="770"/>
      <c r="AK82" s="770"/>
      <c r="AL82" s="770"/>
      <c r="AM82" s="770"/>
      <c r="AN82" s="770"/>
      <c r="AO82" s="772"/>
      <c r="AP82" s="773"/>
      <c r="AQ82" s="770"/>
      <c r="AR82" s="770"/>
      <c r="AS82" s="770"/>
      <c r="AU82" s="770"/>
      <c r="AV82" s="770"/>
      <c r="AW82" s="770"/>
      <c r="AX82" s="770"/>
      <c r="AY82" s="770"/>
      <c r="AZ82" s="770"/>
      <c r="BA82" s="770"/>
      <c r="BB82" s="770"/>
      <c r="BC82" s="770"/>
      <c r="BD82" s="770"/>
      <c r="BE82" s="770"/>
      <c r="BF82" s="770"/>
      <c r="BG82" s="770"/>
      <c r="BH82" s="770"/>
      <c r="BI82" s="770"/>
      <c r="BJ82" s="770"/>
      <c r="BK82" s="770"/>
      <c r="BL82" s="770"/>
      <c r="BM82" s="770"/>
      <c r="BN82" s="770"/>
      <c r="BO82" s="770"/>
      <c r="BP82" s="770"/>
      <c r="BQ82" s="770"/>
      <c r="BR82" s="770"/>
      <c r="BS82" s="770"/>
      <c r="BT82" s="770"/>
      <c r="BU82" s="770"/>
      <c r="BV82" s="770"/>
      <c r="BW82" s="770"/>
      <c r="BX82" s="770"/>
      <c r="BY82" s="770"/>
      <c r="BZ82" s="770"/>
      <c r="CA82" s="770"/>
      <c r="CB82" s="770"/>
      <c r="CC82" s="770"/>
      <c r="CD82" s="770"/>
      <c r="CE82" s="770"/>
      <c r="CF82" s="770"/>
      <c r="CG82" s="770"/>
      <c r="CH82" s="770"/>
      <c r="CI82" s="770"/>
      <c r="CJ82" s="770"/>
      <c r="CK82" s="770"/>
      <c r="CL82" s="770"/>
    </row>
    <row r="83" spans="1:90">
      <c r="A83" s="770"/>
      <c r="B83" s="770"/>
      <c r="C83" s="770"/>
      <c r="D83" s="770"/>
      <c r="E83" s="770"/>
      <c r="F83" s="770"/>
      <c r="G83" s="770"/>
      <c r="H83" s="770"/>
      <c r="I83" s="770"/>
      <c r="J83" s="770"/>
      <c r="K83" s="770"/>
      <c r="L83" s="771"/>
      <c r="M83" s="771"/>
      <c r="N83" s="771"/>
      <c r="O83" s="771"/>
      <c r="P83" s="771"/>
      <c r="Q83" s="771"/>
      <c r="R83" s="771"/>
      <c r="S83" s="771"/>
      <c r="T83" s="771"/>
      <c r="U83" s="771"/>
      <c r="V83" s="771"/>
      <c r="W83" s="771"/>
      <c r="X83" s="770"/>
      <c r="Y83" s="770"/>
      <c r="Z83" s="770"/>
      <c r="AA83" s="770"/>
      <c r="AB83" s="770"/>
      <c r="AC83" s="770"/>
      <c r="AD83" s="770"/>
      <c r="AE83" s="770"/>
      <c r="AF83" s="770"/>
      <c r="AG83" s="770"/>
      <c r="AH83" s="770"/>
      <c r="AI83" s="770"/>
      <c r="AJ83" s="770"/>
      <c r="AK83" s="770"/>
      <c r="AL83" s="770"/>
      <c r="AM83" s="770"/>
      <c r="AN83" s="770"/>
      <c r="AO83" s="772"/>
      <c r="AP83" s="773"/>
      <c r="AQ83" s="770"/>
      <c r="AR83" s="770"/>
      <c r="AS83" s="770"/>
      <c r="AU83" s="770"/>
      <c r="AV83" s="770"/>
      <c r="AW83" s="770"/>
      <c r="AX83" s="770"/>
      <c r="AY83" s="770"/>
      <c r="AZ83" s="770"/>
      <c r="BA83" s="770"/>
      <c r="BB83" s="770"/>
      <c r="BC83" s="770"/>
      <c r="BD83" s="770"/>
      <c r="BE83" s="770"/>
      <c r="BF83" s="770"/>
      <c r="BG83" s="770"/>
      <c r="BH83" s="770"/>
      <c r="BI83" s="770"/>
      <c r="BJ83" s="770"/>
      <c r="BK83" s="770"/>
      <c r="BL83" s="770"/>
      <c r="BM83" s="770"/>
      <c r="BN83" s="770"/>
      <c r="BO83" s="770"/>
      <c r="BP83" s="770"/>
      <c r="BQ83" s="770"/>
      <c r="BR83" s="770"/>
      <c r="BS83" s="770"/>
      <c r="BT83" s="770"/>
      <c r="BU83" s="770"/>
      <c r="BV83" s="770"/>
      <c r="BW83" s="770"/>
      <c r="BX83" s="770"/>
      <c r="BY83" s="770"/>
      <c r="BZ83" s="770"/>
      <c r="CA83" s="770"/>
      <c r="CB83" s="770"/>
      <c r="CC83" s="770"/>
      <c r="CD83" s="770"/>
      <c r="CE83" s="770"/>
      <c r="CF83" s="770"/>
      <c r="CG83" s="770"/>
      <c r="CH83" s="770"/>
      <c r="CI83" s="770"/>
      <c r="CJ83" s="770"/>
      <c r="CK83" s="770"/>
      <c r="CL83" s="770"/>
    </row>
    <row r="84" spans="1:90">
      <c r="A84" s="770"/>
      <c r="B84" s="770"/>
      <c r="C84" s="770"/>
      <c r="D84" s="770"/>
      <c r="E84" s="770"/>
      <c r="F84" s="770"/>
      <c r="G84" s="770"/>
      <c r="H84" s="770"/>
      <c r="I84" s="770"/>
      <c r="J84" s="770"/>
      <c r="K84" s="770"/>
      <c r="L84" s="771"/>
      <c r="M84" s="771"/>
      <c r="N84" s="771"/>
      <c r="O84" s="771"/>
      <c r="P84" s="771"/>
      <c r="Q84" s="771"/>
      <c r="R84" s="771"/>
      <c r="S84" s="771"/>
      <c r="T84" s="771"/>
      <c r="U84" s="771"/>
      <c r="V84" s="771"/>
      <c r="W84" s="771"/>
      <c r="X84" s="770"/>
      <c r="Y84" s="770"/>
      <c r="Z84" s="770"/>
      <c r="AA84" s="770"/>
      <c r="AB84" s="770"/>
      <c r="AC84" s="770"/>
      <c r="AD84" s="770"/>
      <c r="AE84" s="770"/>
      <c r="AF84" s="770"/>
      <c r="AG84" s="770"/>
      <c r="AH84" s="770"/>
      <c r="AI84" s="770"/>
      <c r="AJ84" s="770"/>
      <c r="AK84" s="770"/>
      <c r="AL84" s="770"/>
      <c r="AM84" s="770"/>
      <c r="AN84" s="770"/>
      <c r="AO84" s="772"/>
      <c r="AP84" s="773"/>
      <c r="AQ84" s="770"/>
      <c r="AR84" s="770"/>
      <c r="AS84" s="770"/>
      <c r="AU84" s="770"/>
      <c r="AV84" s="770"/>
      <c r="AW84" s="770"/>
      <c r="AX84" s="770"/>
      <c r="AY84" s="770"/>
      <c r="AZ84" s="770"/>
      <c r="BA84" s="770"/>
      <c r="BB84" s="770"/>
      <c r="BC84" s="770"/>
      <c r="BD84" s="770"/>
      <c r="BE84" s="770"/>
      <c r="BF84" s="770"/>
      <c r="BG84" s="770"/>
      <c r="BH84" s="770"/>
      <c r="BI84" s="770"/>
      <c r="BJ84" s="770"/>
      <c r="BK84" s="770"/>
      <c r="BL84" s="770"/>
      <c r="BM84" s="770"/>
      <c r="BN84" s="770"/>
      <c r="BO84" s="770"/>
      <c r="BP84" s="770"/>
      <c r="BQ84" s="770"/>
      <c r="BR84" s="770"/>
      <c r="BS84" s="770"/>
      <c r="BT84" s="770"/>
      <c r="BU84" s="770"/>
      <c r="BV84" s="770"/>
      <c r="BW84" s="770"/>
      <c r="BX84" s="770"/>
      <c r="BY84" s="770"/>
      <c r="BZ84" s="770"/>
      <c r="CA84" s="770"/>
      <c r="CB84" s="770"/>
      <c r="CC84" s="770"/>
      <c r="CD84" s="770"/>
      <c r="CE84" s="770"/>
      <c r="CF84" s="770"/>
      <c r="CG84" s="770"/>
      <c r="CH84" s="770"/>
      <c r="CI84" s="770"/>
      <c r="CJ84" s="770"/>
      <c r="CK84" s="770"/>
      <c r="CL84" s="770"/>
    </row>
    <row r="85" spans="1:90">
      <c r="A85" s="770"/>
      <c r="B85" s="770"/>
      <c r="C85" s="770"/>
      <c r="D85" s="770"/>
      <c r="E85" s="770"/>
      <c r="F85" s="770"/>
      <c r="G85" s="770"/>
      <c r="H85" s="770"/>
      <c r="I85" s="770"/>
      <c r="J85" s="770"/>
      <c r="K85" s="770"/>
      <c r="L85" s="771"/>
      <c r="M85" s="771"/>
      <c r="N85" s="771"/>
      <c r="O85" s="771"/>
      <c r="P85" s="771"/>
      <c r="Q85" s="771"/>
      <c r="R85" s="771"/>
      <c r="S85" s="771"/>
      <c r="T85" s="771"/>
      <c r="U85" s="771"/>
      <c r="V85" s="771"/>
      <c r="W85" s="771"/>
      <c r="X85" s="770"/>
      <c r="Y85" s="770"/>
      <c r="Z85" s="770"/>
      <c r="AA85" s="770"/>
      <c r="AB85" s="770"/>
      <c r="AC85" s="770"/>
      <c r="AD85" s="770"/>
      <c r="AE85" s="770"/>
      <c r="AF85" s="770"/>
      <c r="AG85" s="770"/>
      <c r="AH85" s="770"/>
      <c r="AI85" s="770"/>
      <c r="AJ85" s="770"/>
      <c r="AK85" s="770"/>
      <c r="AL85" s="770"/>
      <c r="AM85" s="770"/>
      <c r="AN85" s="770"/>
      <c r="AO85" s="772"/>
      <c r="AP85" s="773"/>
      <c r="AQ85" s="770"/>
      <c r="AR85" s="770"/>
      <c r="AS85" s="770"/>
      <c r="AU85" s="770"/>
      <c r="AV85" s="770"/>
      <c r="AW85" s="770"/>
      <c r="AX85" s="770"/>
      <c r="AY85" s="770"/>
      <c r="AZ85" s="770"/>
      <c r="BA85" s="770"/>
      <c r="BB85" s="770"/>
      <c r="BC85" s="770"/>
      <c r="BD85" s="770"/>
      <c r="BE85" s="770"/>
      <c r="BF85" s="770"/>
      <c r="BG85" s="770"/>
      <c r="BH85" s="770"/>
      <c r="BI85" s="770"/>
      <c r="BJ85" s="770"/>
      <c r="BK85" s="770"/>
      <c r="BL85" s="770"/>
      <c r="BM85" s="770"/>
      <c r="BN85" s="770"/>
      <c r="BO85" s="770"/>
      <c r="BP85" s="770"/>
      <c r="BQ85" s="770"/>
      <c r="BR85" s="770"/>
      <c r="BS85" s="770"/>
      <c r="BT85" s="770"/>
      <c r="BU85" s="770"/>
      <c r="BV85" s="770"/>
      <c r="BW85" s="770"/>
      <c r="BX85" s="770"/>
      <c r="BY85" s="770"/>
      <c r="BZ85" s="770"/>
      <c r="CA85" s="770"/>
      <c r="CB85" s="770"/>
      <c r="CC85" s="770"/>
      <c r="CD85" s="770"/>
      <c r="CE85" s="770"/>
      <c r="CF85" s="770"/>
      <c r="CG85" s="770"/>
      <c r="CH85" s="770"/>
      <c r="CI85" s="770"/>
      <c r="CJ85" s="770"/>
      <c r="CK85" s="770"/>
      <c r="CL85" s="770"/>
    </row>
    <row r="86" spans="1:90">
      <c r="A86" s="770"/>
      <c r="B86" s="770"/>
      <c r="C86" s="770"/>
      <c r="D86" s="770"/>
      <c r="E86" s="770"/>
      <c r="F86" s="770"/>
      <c r="G86" s="770"/>
      <c r="H86" s="770"/>
      <c r="I86" s="770"/>
      <c r="J86" s="770"/>
      <c r="K86" s="770"/>
      <c r="L86" s="771"/>
      <c r="M86" s="771"/>
      <c r="N86" s="771"/>
      <c r="O86" s="771"/>
      <c r="P86" s="771"/>
      <c r="Q86" s="771"/>
      <c r="R86" s="771"/>
      <c r="S86" s="771"/>
      <c r="T86" s="771"/>
      <c r="U86" s="771"/>
      <c r="V86" s="771"/>
      <c r="W86" s="771"/>
      <c r="X86" s="770"/>
      <c r="Y86" s="770"/>
      <c r="Z86" s="770"/>
      <c r="AA86" s="770"/>
      <c r="AB86" s="770"/>
      <c r="AC86" s="770"/>
      <c r="AD86" s="770"/>
      <c r="AE86" s="770"/>
      <c r="AF86" s="770"/>
      <c r="AG86" s="770"/>
      <c r="AH86" s="770"/>
      <c r="AI86" s="770"/>
      <c r="AJ86" s="770"/>
      <c r="AK86" s="770"/>
      <c r="AL86" s="770"/>
      <c r="AM86" s="770"/>
      <c r="AN86" s="770"/>
      <c r="AO86" s="772"/>
      <c r="AP86" s="773"/>
      <c r="AQ86" s="770"/>
      <c r="AR86" s="770"/>
      <c r="AS86" s="770"/>
      <c r="AU86" s="770"/>
      <c r="AV86" s="770"/>
      <c r="AW86" s="770"/>
      <c r="AX86" s="770"/>
      <c r="AY86" s="770"/>
      <c r="AZ86" s="770"/>
      <c r="BA86" s="770"/>
      <c r="BB86" s="770"/>
      <c r="BC86" s="770"/>
      <c r="BD86" s="770"/>
      <c r="BE86" s="770"/>
      <c r="BF86" s="770"/>
      <c r="BG86" s="770"/>
      <c r="BH86" s="770"/>
      <c r="BI86" s="770"/>
      <c r="BJ86" s="770"/>
      <c r="BK86" s="770"/>
      <c r="BL86" s="770"/>
      <c r="BM86" s="770"/>
      <c r="BN86" s="770"/>
      <c r="BO86" s="770"/>
      <c r="BP86" s="770"/>
      <c r="BQ86" s="770"/>
      <c r="BR86" s="770"/>
      <c r="BS86" s="770"/>
      <c r="BT86" s="770"/>
      <c r="BU86" s="770"/>
      <c r="BV86" s="770"/>
      <c r="BW86" s="770"/>
      <c r="BX86" s="770"/>
      <c r="BY86" s="770"/>
      <c r="BZ86" s="770"/>
      <c r="CA86" s="770"/>
      <c r="CB86" s="770"/>
      <c r="CC86" s="770"/>
      <c r="CD86" s="770"/>
      <c r="CE86" s="770"/>
      <c r="CF86" s="770"/>
      <c r="CG86" s="770"/>
      <c r="CH86" s="770"/>
      <c r="CI86" s="770"/>
      <c r="CJ86" s="770"/>
      <c r="CK86" s="770"/>
      <c r="CL86" s="770"/>
    </row>
    <row r="87" spans="1:90">
      <c r="A87" s="770"/>
      <c r="B87" s="770"/>
      <c r="C87" s="770"/>
      <c r="D87" s="770"/>
      <c r="E87" s="770"/>
      <c r="F87" s="770"/>
      <c r="G87" s="770"/>
      <c r="H87" s="770"/>
      <c r="I87" s="770"/>
      <c r="J87" s="770"/>
      <c r="K87" s="770"/>
      <c r="L87" s="771"/>
      <c r="M87" s="771"/>
      <c r="N87" s="771"/>
      <c r="O87" s="771"/>
      <c r="P87" s="771"/>
      <c r="Q87" s="771"/>
      <c r="R87" s="771"/>
      <c r="S87" s="771"/>
      <c r="T87" s="771"/>
      <c r="U87" s="771"/>
      <c r="V87" s="771"/>
      <c r="W87" s="771"/>
      <c r="X87" s="770"/>
      <c r="Y87" s="770"/>
      <c r="Z87" s="770"/>
      <c r="AA87" s="770"/>
      <c r="AB87" s="770"/>
      <c r="AC87" s="770"/>
      <c r="AD87" s="770"/>
      <c r="AE87" s="770"/>
      <c r="AF87" s="770"/>
      <c r="AG87" s="770"/>
      <c r="AH87" s="770"/>
      <c r="AI87" s="770"/>
      <c r="AJ87" s="770"/>
      <c r="AK87" s="770"/>
      <c r="AL87" s="770"/>
      <c r="AM87" s="770"/>
      <c r="AN87" s="770"/>
      <c r="AO87" s="772"/>
      <c r="AP87" s="773"/>
      <c r="AQ87" s="770"/>
      <c r="AR87" s="770"/>
      <c r="AS87" s="770"/>
      <c r="AU87" s="770"/>
      <c r="AV87" s="770"/>
      <c r="AW87" s="770"/>
      <c r="AX87" s="770"/>
      <c r="AY87" s="770"/>
      <c r="AZ87" s="770"/>
      <c r="BA87" s="770"/>
      <c r="BB87" s="770"/>
      <c r="BC87" s="770"/>
      <c r="BD87" s="770"/>
      <c r="BE87" s="770"/>
      <c r="BF87" s="770"/>
      <c r="BG87" s="770"/>
      <c r="BH87" s="770"/>
      <c r="BI87" s="770"/>
      <c r="BJ87" s="770"/>
      <c r="BK87" s="770"/>
      <c r="BL87" s="770"/>
      <c r="BM87" s="770"/>
      <c r="BN87" s="770"/>
      <c r="BO87" s="770"/>
      <c r="BP87" s="770"/>
      <c r="BQ87" s="770"/>
      <c r="BR87" s="770"/>
      <c r="BS87" s="770"/>
      <c r="BT87" s="770"/>
      <c r="BU87" s="770"/>
      <c r="BV87" s="770"/>
      <c r="BW87" s="770"/>
      <c r="BX87" s="770"/>
      <c r="BY87" s="770"/>
      <c r="BZ87" s="770"/>
      <c r="CA87" s="770"/>
      <c r="CB87" s="770"/>
      <c r="CC87" s="770"/>
      <c r="CD87" s="770"/>
      <c r="CE87" s="770"/>
      <c r="CF87" s="770"/>
      <c r="CG87" s="770"/>
      <c r="CH87" s="770"/>
      <c r="CI87" s="770"/>
      <c r="CJ87" s="770"/>
      <c r="CK87" s="770"/>
      <c r="CL87" s="770"/>
    </row>
    <row r="88" spans="1:90">
      <c r="A88" s="770"/>
      <c r="B88" s="770"/>
      <c r="C88" s="770"/>
      <c r="D88" s="770"/>
      <c r="E88" s="770"/>
      <c r="F88" s="770"/>
      <c r="G88" s="770"/>
      <c r="H88" s="770"/>
      <c r="I88" s="770"/>
      <c r="J88" s="770"/>
      <c r="K88" s="770"/>
      <c r="L88" s="771"/>
      <c r="M88" s="771"/>
      <c r="N88" s="771"/>
      <c r="O88" s="771"/>
      <c r="P88" s="771"/>
      <c r="Q88" s="771"/>
      <c r="R88" s="771"/>
      <c r="S88" s="771"/>
      <c r="T88" s="771"/>
      <c r="U88" s="771"/>
      <c r="V88" s="771"/>
      <c r="W88" s="771"/>
      <c r="X88" s="770"/>
      <c r="Y88" s="770"/>
      <c r="Z88" s="770"/>
      <c r="AA88" s="770"/>
      <c r="AB88" s="770"/>
      <c r="AC88" s="770"/>
      <c r="AD88" s="770"/>
      <c r="AE88" s="770"/>
      <c r="AF88" s="770"/>
      <c r="AG88" s="770"/>
      <c r="AH88" s="770"/>
      <c r="AI88" s="770"/>
      <c r="AJ88" s="770"/>
      <c r="AK88" s="770"/>
      <c r="AL88" s="770"/>
      <c r="AM88" s="770"/>
      <c r="AN88" s="770"/>
      <c r="AO88" s="772"/>
      <c r="AP88" s="773"/>
      <c r="AQ88" s="770"/>
      <c r="AR88" s="770"/>
      <c r="AS88" s="770"/>
      <c r="AU88" s="770"/>
      <c r="AV88" s="770"/>
      <c r="AW88" s="770"/>
      <c r="AX88" s="770"/>
      <c r="AY88" s="770"/>
      <c r="AZ88" s="770"/>
      <c r="BA88" s="770"/>
      <c r="BB88" s="770"/>
      <c r="BC88" s="770"/>
      <c r="BD88" s="770"/>
      <c r="BE88" s="770"/>
      <c r="BF88" s="770"/>
      <c r="BG88" s="770"/>
      <c r="BH88" s="770"/>
      <c r="BI88" s="770"/>
      <c r="BJ88" s="770"/>
      <c r="BK88" s="770"/>
      <c r="BL88" s="770"/>
      <c r="BM88" s="770"/>
      <c r="BN88" s="770"/>
      <c r="BO88" s="770"/>
      <c r="BP88" s="770"/>
      <c r="BQ88" s="770"/>
      <c r="BR88" s="770"/>
      <c r="BS88" s="770"/>
      <c r="BT88" s="770"/>
      <c r="BU88" s="770"/>
      <c r="BV88" s="770"/>
      <c r="BW88" s="770"/>
      <c r="BX88" s="770"/>
      <c r="BY88" s="770"/>
      <c r="BZ88" s="770"/>
      <c r="CA88" s="770"/>
      <c r="CB88" s="770"/>
      <c r="CC88" s="770"/>
      <c r="CD88" s="770"/>
      <c r="CE88" s="770"/>
      <c r="CF88" s="770"/>
      <c r="CG88" s="770"/>
      <c r="CH88" s="770"/>
      <c r="CI88" s="770"/>
      <c r="CJ88" s="770"/>
      <c r="CK88" s="770"/>
      <c r="CL88" s="770"/>
    </row>
    <row r="89" spans="1:90">
      <c r="A89" s="770"/>
      <c r="B89" s="770"/>
      <c r="C89" s="770"/>
      <c r="D89" s="770"/>
      <c r="E89" s="770"/>
      <c r="F89" s="770"/>
      <c r="G89" s="770"/>
      <c r="H89" s="770"/>
      <c r="I89" s="770"/>
      <c r="J89" s="770"/>
      <c r="K89" s="770"/>
      <c r="L89" s="771"/>
      <c r="M89" s="771"/>
      <c r="N89" s="771"/>
      <c r="O89" s="771"/>
      <c r="P89" s="771"/>
      <c r="Q89" s="771"/>
      <c r="R89" s="771"/>
      <c r="S89" s="771"/>
      <c r="T89" s="771"/>
      <c r="U89" s="771"/>
      <c r="V89" s="771"/>
      <c r="W89" s="771"/>
      <c r="X89" s="770"/>
      <c r="Y89" s="770"/>
      <c r="Z89" s="770"/>
      <c r="AA89" s="770"/>
      <c r="AB89" s="770"/>
      <c r="AC89" s="770"/>
      <c r="AD89" s="770"/>
      <c r="AE89" s="770"/>
      <c r="AF89" s="770"/>
      <c r="AG89" s="770"/>
      <c r="AH89" s="770"/>
      <c r="AI89" s="770"/>
      <c r="AJ89" s="770"/>
      <c r="AK89" s="770"/>
      <c r="AL89" s="770"/>
      <c r="AM89" s="770"/>
      <c r="AN89" s="770"/>
      <c r="AO89" s="772"/>
      <c r="AP89" s="773"/>
      <c r="AQ89" s="770"/>
      <c r="AR89" s="770"/>
      <c r="AS89" s="770"/>
      <c r="AU89" s="770"/>
      <c r="AV89" s="770"/>
      <c r="AW89" s="770"/>
      <c r="AX89" s="770"/>
      <c r="AY89" s="770"/>
      <c r="AZ89" s="770"/>
      <c r="BA89" s="770"/>
      <c r="BB89" s="770"/>
      <c r="BC89" s="770"/>
      <c r="BD89" s="770"/>
      <c r="BE89" s="770"/>
      <c r="BF89" s="770"/>
      <c r="BG89" s="770"/>
      <c r="BH89" s="770"/>
      <c r="BI89" s="770"/>
      <c r="BJ89" s="770"/>
      <c r="BK89" s="770"/>
      <c r="BL89" s="770"/>
      <c r="BM89" s="770"/>
      <c r="BN89" s="770"/>
      <c r="BO89" s="770"/>
      <c r="BP89" s="770"/>
      <c r="BQ89" s="770"/>
      <c r="BR89" s="770"/>
      <c r="BS89" s="770"/>
      <c r="BT89" s="770"/>
      <c r="BU89" s="770"/>
      <c r="BV89" s="770"/>
      <c r="BW89" s="770"/>
      <c r="BX89" s="770"/>
      <c r="BY89" s="770"/>
      <c r="BZ89" s="770"/>
      <c r="CA89" s="770"/>
      <c r="CB89" s="770"/>
      <c r="CC89" s="770"/>
      <c r="CD89" s="770"/>
      <c r="CE89" s="770"/>
      <c r="CF89" s="770"/>
      <c r="CG89" s="770"/>
      <c r="CH89" s="770"/>
      <c r="CI89" s="770"/>
      <c r="CJ89" s="770"/>
      <c r="CK89" s="770"/>
      <c r="CL89" s="770"/>
    </row>
    <row r="90" spans="1:90">
      <c r="A90" s="770"/>
      <c r="B90" s="770"/>
      <c r="C90" s="770"/>
      <c r="D90" s="770"/>
      <c r="E90" s="770"/>
      <c r="F90" s="770"/>
      <c r="G90" s="770"/>
      <c r="H90" s="770"/>
      <c r="I90" s="770"/>
      <c r="J90" s="770"/>
      <c r="K90" s="770"/>
      <c r="L90" s="771"/>
      <c r="M90" s="771"/>
      <c r="N90" s="771"/>
      <c r="O90" s="771"/>
      <c r="P90" s="771"/>
      <c r="Q90" s="771"/>
      <c r="R90" s="771"/>
      <c r="S90" s="771"/>
      <c r="T90" s="771"/>
      <c r="U90" s="771"/>
      <c r="V90" s="771"/>
      <c r="W90" s="771"/>
      <c r="X90" s="770"/>
      <c r="Y90" s="770"/>
      <c r="Z90" s="770"/>
      <c r="AA90" s="770"/>
      <c r="AB90" s="770"/>
      <c r="AC90" s="770"/>
      <c r="AD90" s="770"/>
      <c r="AE90" s="770"/>
      <c r="AF90" s="770"/>
      <c r="AG90" s="770"/>
      <c r="AH90" s="770"/>
      <c r="AI90" s="770"/>
      <c r="AJ90" s="770"/>
      <c r="AK90" s="770"/>
      <c r="AL90" s="770"/>
      <c r="AM90" s="770"/>
      <c r="AN90" s="770"/>
      <c r="AO90" s="772"/>
      <c r="AP90" s="773"/>
      <c r="AQ90" s="770"/>
      <c r="AR90" s="770"/>
      <c r="AS90" s="770"/>
      <c r="AU90" s="770"/>
      <c r="AV90" s="770"/>
      <c r="AW90" s="770"/>
      <c r="AX90" s="770"/>
      <c r="AY90" s="770"/>
      <c r="AZ90" s="770"/>
      <c r="BA90" s="770"/>
      <c r="BB90" s="770"/>
      <c r="BC90" s="770"/>
      <c r="BD90" s="770"/>
      <c r="BE90" s="770"/>
      <c r="BF90" s="770"/>
      <c r="BG90" s="770"/>
      <c r="BH90" s="770"/>
      <c r="BI90" s="770"/>
      <c r="BJ90" s="770"/>
      <c r="BK90" s="770"/>
      <c r="BL90" s="770"/>
      <c r="BM90" s="770"/>
      <c r="BN90" s="770"/>
      <c r="BO90" s="770"/>
      <c r="BP90" s="770"/>
      <c r="BQ90" s="770"/>
      <c r="BR90" s="770"/>
      <c r="BS90" s="770"/>
      <c r="BT90" s="770"/>
      <c r="BU90" s="770"/>
      <c r="BV90" s="770"/>
      <c r="BW90" s="770"/>
      <c r="BX90" s="770"/>
      <c r="BY90" s="770"/>
      <c r="BZ90" s="770"/>
      <c r="CA90" s="770"/>
      <c r="CB90" s="770"/>
      <c r="CC90" s="770"/>
      <c r="CD90" s="770"/>
      <c r="CE90" s="770"/>
      <c r="CF90" s="770"/>
      <c r="CG90" s="770"/>
      <c r="CH90" s="770"/>
      <c r="CI90" s="770"/>
      <c r="CJ90" s="770"/>
      <c r="CK90" s="770"/>
      <c r="CL90" s="770"/>
    </row>
    <row r="91" spans="1:90">
      <c r="A91" s="770"/>
      <c r="B91" s="770"/>
      <c r="C91" s="770"/>
      <c r="D91" s="770"/>
      <c r="E91" s="770"/>
      <c r="F91" s="770"/>
      <c r="G91" s="770"/>
      <c r="H91" s="770"/>
      <c r="I91" s="770"/>
      <c r="J91" s="770"/>
      <c r="K91" s="770"/>
      <c r="L91" s="771"/>
      <c r="M91" s="771"/>
      <c r="N91" s="771"/>
      <c r="O91" s="771"/>
      <c r="P91" s="771"/>
      <c r="Q91" s="771"/>
      <c r="R91" s="771"/>
      <c r="S91" s="771"/>
      <c r="T91" s="771"/>
      <c r="U91" s="771"/>
      <c r="V91" s="771"/>
      <c r="W91" s="771"/>
      <c r="X91" s="770"/>
      <c r="Y91" s="770"/>
      <c r="Z91" s="770"/>
      <c r="AA91" s="770"/>
      <c r="AB91" s="770"/>
      <c r="AC91" s="770"/>
      <c r="AD91" s="770"/>
      <c r="AE91" s="770"/>
      <c r="AF91" s="770"/>
      <c r="AG91" s="770"/>
      <c r="AH91" s="770"/>
      <c r="AI91" s="770"/>
      <c r="AJ91" s="770"/>
      <c r="AK91" s="770"/>
      <c r="AL91" s="770"/>
      <c r="AM91" s="770"/>
      <c r="AN91" s="770"/>
      <c r="AO91" s="772"/>
      <c r="AP91" s="773"/>
      <c r="AQ91" s="770"/>
      <c r="AR91" s="770"/>
      <c r="AS91" s="770"/>
      <c r="AU91" s="770"/>
      <c r="AV91" s="770"/>
      <c r="AW91" s="770"/>
      <c r="AX91" s="770"/>
      <c r="AY91" s="770"/>
      <c r="AZ91" s="770"/>
      <c r="BA91" s="770"/>
      <c r="BB91" s="770"/>
      <c r="BC91" s="770"/>
      <c r="BD91" s="770"/>
      <c r="BE91" s="770"/>
      <c r="BF91" s="770"/>
      <c r="BG91" s="770"/>
      <c r="BH91" s="770"/>
      <c r="BI91" s="770"/>
      <c r="BJ91" s="770"/>
      <c r="BK91" s="770"/>
      <c r="BL91" s="770"/>
      <c r="BM91" s="770"/>
      <c r="BN91" s="770"/>
      <c r="BO91" s="770"/>
      <c r="BP91" s="770"/>
      <c r="BQ91" s="770"/>
      <c r="BR91" s="770"/>
      <c r="BS91" s="770"/>
      <c r="BT91" s="770"/>
      <c r="BU91" s="770"/>
      <c r="BV91" s="770"/>
      <c r="BW91" s="770"/>
      <c r="BX91" s="770"/>
      <c r="BY91" s="770"/>
      <c r="BZ91" s="770"/>
      <c r="CA91" s="770"/>
      <c r="CB91" s="770"/>
      <c r="CC91" s="770"/>
      <c r="CD91" s="770"/>
      <c r="CE91" s="770"/>
      <c r="CF91" s="770"/>
      <c r="CG91" s="770"/>
      <c r="CH91" s="770"/>
      <c r="CI91" s="770"/>
      <c r="CJ91" s="770"/>
      <c r="CK91" s="770"/>
      <c r="CL91" s="770"/>
    </row>
    <row r="92" spans="1:90">
      <c r="A92" s="770"/>
      <c r="B92" s="770"/>
      <c r="C92" s="770"/>
      <c r="D92" s="770"/>
      <c r="E92" s="770"/>
      <c r="F92" s="770"/>
      <c r="G92" s="770"/>
      <c r="H92" s="770"/>
      <c r="I92" s="770"/>
      <c r="J92" s="770"/>
      <c r="K92" s="770"/>
      <c r="L92" s="771"/>
      <c r="M92" s="771"/>
      <c r="N92" s="771"/>
      <c r="O92" s="771"/>
      <c r="P92" s="771"/>
      <c r="Q92" s="771"/>
      <c r="R92" s="771"/>
      <c r="S92" s="771"/>
      <c r="T92" s="771"/>
      <c r="U92" s="771"/>
      <c r="V92" s="771"/>
      <c r="W92" s="771"/>
      <c r="X92" s="770"/>
      <c r="Y92" s="770"/>
      <c r="Z92" s="770"/>
      <c r="AA92" s="770"/>
      <c r="AB92" s="770"/>
      <c r="AC92" s="770"/>
      <c r="AD92" s="770"/>
      <c r="AE92" s="770"/>
      <c r="AF92" s="770"/>
      <c r="AG92" s="770"/>
      <c r="AH92" s="770"/>
      <c r="AI92" s="770"/>
      <c r="AJ92" s="770"/>
      <c r="AK92" s="770"/>
      <c r="AL92" s="770"/>
      <c r="AM92" s="770"/>
      <c r="AN92" s="770"/>
      <c r="AO92" s="772"/>
      <c r="AP92" s="773"/>
      <c r="AQ92" s="770"/>
      <c r="AR92" s="770"/>
      <c r="AS92" s="770"/>
      <c r="AU92" s="770"/>
      <c r="AV92" s="770"/>
      <c r="AW92" s="770"/>
      <c r="AX92" s="770"/>
      <c r="AY92" s="770"/>
      <c r="AZ92" s="770"/>
      <c r="BA92" s="770"/>
      <c r="BB92" s="770"/>
      <c r="BC92" s="770"/>
      <c r="BD92" s="770"/>
      <c r="BE92" s="770"/>
      <c r="BF92" s="770"/>
      <c r="BG92" s="770"/>
      <c r="BH92" s="770"/>
      <c r="BI92" s="770"/>
      <c r="BJ92" s="770"/>
      <c r="BK92" s="770"/>
      <c r="BL92" s="770"/>
      <c r="BM92" s="770"/>
      <c r="BN92" s="770"/>
      <c r="BO92" s="770"/>
      <c r="BP92" s="770"/>
      <c r="BQ92" s="770"/>
      <c r="BR92" s="770"/>
      <c r="BS92" s="770"/>
      <c r="BT92" s="770"/>
      <c r="BU92" s="770"/>
      <c r="BV92" s="770"/>
      <c r="BW92" s="770"/>
      <c r="BX92" s="770"/>
      <c r="BY92" s="770"/>
      <c r="BZ92" s="770"/>
      <c r="CA92" s="770"/>
      <c r="CB92" s="770"/>
      <c r="CC92" s="770"/>
      <c r="CD92" s="770"/>
      <c r="CE92" s="770"/>
      <c r="CF92" s="770"/>
      <c r="CG92" s="770"/>
      <c r="CH92" s="770"/>
      <c r="CI92" s="770"/>
      <c r="CJ92" s="770"/>
      <c r="CK92" s="770"/>
      <c r="CL92" s="770"/>
    </row>
    <row r="93" spans="1:90">
      <c r="A93" s="770"/>
      <c r="B93" s="770"/>
      <c r="C93" s="770"/>
      <c r="D93" s="770"/>
      <c r="E93" s="770"/>
      <c r="F93" s="770"/>
      <c r="G93" s="770"/>
      <c r="H93" s="770"/>
      <c r="I93" s="770"/>
      <c r="J93" s="770"/>
      <c r="K93" s="770"/>
      <c r="L93" s="771"/>
      <c r="M93" s="771"/>
      <c r="N93" s="771"/>
      <c r="O93" s="771"/>
      <c r="P93" s="771"/>
      <c r="Q93" s="771"/>
      <c r="R93" s="771"/>
      <c r="S93" s="771"/>
      <c r="T93" s="771"/>
      <c r="U93" s="771"/>
      <c r="V93" s="771"/>
      <c r="W93" s="771"/>
      <c r="X93" s="770"/>
      <c r="Y93" s="770"/>
      <c r="Z93" s="770"/>
      <c r="AA93" s="770"/>
      <c r="AB93" s="770"/>
      <c r="AC93" s="770"/>
      <c r="AD93" s="770"/>
      <c r="AE93" s="770"/>
      <c r="AF93" s="770"/>
      <c r="AG93" s="770"/>
      <c r="AH93" s="770"/>
      <c r="AI93" s="770"/>
      <c r="AJ93" s="770"/>
      <c r="AK93" s="770"/>
      <c r="AL93" s="770"/>
      <c r="AM93" s="770"/>
      <c r="AN93" s="770"/>
      <c r="AO93" s="772"/>
      <c r="AP93" s="773"/>
      <c r="AQ93" s="770"/>
      <c r="AR93" s="770"/>
      <c r="AS93" s="770"/>
      <c r="AU93" s="770"/>
      <c r="AV93" s="770"/>
      <c r="AW93" s="770"/>
      <c r="AX93" s="770"/>
      <c r="AY93" s="770"/>
      <c r="AZ93" s="770"/>
      <c r="BA93" s="770"/>
      <c r="BB93" s="770"/>
      <c r="BC93" s="770"/>
      <c r="BD93" s="770"/>
      <c r="BE93" s="770"/>
      <c r="BF93" s="770"/>
      <c r="BG93" s="770"/>
      <c r="BH93" s="770"/>
      <c r="BI93" s="770"/>
      <c r="BJ93" s="770"/>
      <c r="BK93" s="770"/>
      <c r="BL93" s="770"/>
      <c r="BM93" s="770"/>
      <c r="BN93" s="770"/>
      <c r="BO93" s="770"/>
      <c r="BP93" s="770"/>
      <c r="BQ93" s="770"/>
      <c r="BR93" s="770"/>
      <c r="BS93" s="770"/>
      <c r="BT93" s="770"/>
      <c r="BU93" s="770"/>
      <c r="BV93" s="770"/>
      <c r="BW93" s="770"/>
      <c r="BX93" s="770"/>
      <c r="BY93" s="770"/>
      <c r="BZ93" s="770"/>
      <c r="CA93" s="770"/>
      <c r="CB93" s="770"/>
      <c r="CC93" s="770"/>
      <c r="CD93" s="770"/>
      <c r="CE93" s="770"/>
      <c r="CF93" s="770"/>
      <c r="CG93" s="770"/>
      <c r="CH93" s="770"/>
      <c r="CI93" s="770"/>
      <c r="CJ93" s="770"/>
      <c r="CK93" s="770"/>
      <c r="CL93" s="770"/>
    </row>
    <row r="94" spans="1:90">
      <c r="A94" s="770"/>
      <c r="B94" s="770"/>
      <c r="C94" s="770"/>
      <c r="D94" s="770"/>
      <c r="E94" s="770"/>
      <c r="F94" s="770"/>
      <c r="G94" s="770"/>
      <c r="H94" s="770"/>
      <c r="I94" s="770"/>
      <c r="J94" s="770"/>
      <c r="K94" s="770"/>
      <c r="L94" s="771"/>
      <c r="M94" s="771"/>
      <c r="N94" s="771"/>
      <c r="O94" s="771"/>
      <c r="P94" s="771"/>
      <c r="Q94" s="771"/>
      <c r="R94" s="771"/>
      <c r="S94" s="771"/>
      <c r="T94" s="771"/>
      <c r="U94" s="771"/>
      <c r="V94" s="771"/>
      <c r="W94" s="771"/>
      <c r="X94" s="770"/>
      <c r="Y94" s="770"/>
      <c r="Z94" s="770"/>
      <c r="AA94" s="770"/>
      <c r="AB94" s="770"/>
      <c r="AC94" s="770"/>
      <c r="AD94" s="770"/>
      <c r="AE94" s="770"/>
      <c r="AF94" s="770"/>
      <c r="AG94" s="770"/>
      <c r="AH94" s="770"/>
      <c r="AI94" s="770"/>
      <c r="AJ94" s="770"/>
      <c r="AK94" s="770"/>
      <c r="AL94" s="770"/>
      <c r="AM94" s="770"/>
      <c r="AN94" s="770"/>
      <c r="AO94" s="772"/>
      <c r="AP94" s="773"/>
      <c r="AQ94" s="770"/>
      <c r="AR94" s="770"/>
      <c r="AS94" s="770"/>
      <c r="AU94" s="770"/>
      <c r="AV94" s="770"/>
      <c r="AW94" s="770"/>
      <c r="AX94" s="770"/>
      <c r="AY94" s="770"/>
      <c r="AZ94" s="770"/>
      <c r="BA94" s="770"/>
      <c r="BB94" s="770"/>
      <c r="BC94" s="770"/>
      <c r="BD94" s="770"/>
      <c r="BE94" s="770"/>
      <c r="BF94" s="770"/>
      <c r="BG94" s="770"/>
      <c r="BH94" s="770"/>
      <c r="BI94" s="770"/>
      <c r="BJ94" s="770"/>
      <c r="BK94" s="770"/>
      <c r="BL94" s="770"/>
      <c r="BM94" s="770"/>
      <c r="BN94" s="770"/>
      <c r="BO94" s="770"/>
      <c r="BP94" s="770"/>
      <c r="BQ94" s="770"/>
      <c r="BR94" s="770"/>
      <c r="BS94" s="770"/>
      <c r="BT94" s="770"/>
      <c r="BU94" s="770"/>
      <c r="BV94" s="770"/>
      <c r="BW94" s="770"/>
      <c r="BX94" s="770"/>
      <c r="BY94" s="770"/>
      <c r="BZ94" s="770"/>
      <c r="CA94" s="770"/>
      <c r="CB94" s="770"/>
      <c r="CC94" s="770"/>
      <c r="CD94" s="770"/>
      <c r="CE94" s="770"/>
      <c r="CF94" s="770"/>
      <c r="CG94" s="770"/>
      <c r="CH94" s="770"/>
      <c r="CI94" s="770"/>
      <c r="CJ94" s="770"/>
      <c r="CK94" s="770"/>
      <c r="CL94" s="770"/>
    </row>
    <row r="95" spans="1:90">
      <c r="A95" s="770"/>
      <c r="B95" s="770"/>
      <c r="C95" s="770"/>
      <c r="D95" s="770"/>
      <c r="E95" s="770"/>
      <c r="F95" s="770"/>
      <c r="G95" s="770"/>
      <c r="H95" s="770"/>
      <c r="I95" s="770"/>
      <c r="J95" s="770"/>
      <c r="K95" s="770"/>
      <c r="L95" s="771"/>
      <c r="M95" s="771"/>
      <c r="N95" s="771"/>
      <c r="O95" s="771"/>
      <c r="P95" s="771"/>
      <c r="Q95" s="771"/>
      <c r="R95" s="771"/>
      <c r="S95" s="771"/>
      <c r="T95" s="771"/>
      <c r="U95" s="771"/>
      <c r="V95" s="771"/>
      <c r="W95" s="771"/>
      <c r="X95" s="770"/>
      <c r="Y95" s="770"/>
      <c r="Z95" s="770"/>
      <c r="AA95" s="770"/>
      <c r="AB95" s="770"/>
      <c r="AC95" s="770"/>
      <c r="AD95" s="770"/>
      <c r="AE95" s="770"/>
      <c r="AF95" s="770"/>
      <c r="AG95" s="770"/>
      <c r="AH95" s="770"/>
      <c r="AI95" s="770"/>
      <c r="AJ95" s="770"/>
      <c r="AK95" s="770"/>
      <c r="AL95" s="770"/>
      <c r="AM95" s="770"/>
      <c r="AN95" s="770"/>
      <c r="AO95" s="772"/>
      <c r="AP95" s="773"/>
      <c r="AQ95" s="770"/>
      <c r="AR95" s="770"/>
      <c r="AS95" s="770"/>
      <c r="AU95" s="770"/>
      <c r="AV95" s="770"/>
      <c r="AW95" s="770"/>
      <c r="AX95" s="770"/>
      <c r="AY95" s="770"/>
      <c r="AZ95" s="770"/>
      <c r="BA95" s="770"/>
      <c r="BB95" s="770"/>
      <c r="BC95" s="770"/>
      <c r="BD95" s="770"/>
      <c r="BE95" s="770"/>
      <c r="BF95" s="770"/>
      <c r="BG95" s="770"/>
      <c r="BH95" s="770"/>
      <c r="BI95" s="770"/>
      <c r="BJ95" s="770"/>
      <c r="BK95" s="770"/>
      <c r="BL95" s="770"/>
      <c r="BM95" s="770"/>
      <c r="BN95" s="770"/>
      <c r="BO95" s="770"/>
      <c r="BP95" s="770"/>
      <c r="BQ95" s="770"/>
      <c r="BR95" s="770"/>
      <c r="BS95" s="770"/>
      <c r="BT95" s="770"/>
      <c r="BU95" s="770"/>
      <c r="BV95" s="770"/>
      <c r="BW95" s="770"/>
      <c r="BX95" s="770"/>
      <c r="BY95" s="770"/>
      <c r="BZ95" s="770"/>
      <c r="CA95" s="770"/>
      <c r="CB95" s="770"/>
      <c r="CC95" s="770"/>
      <c r="CD95" s="770"/>
      <c r="CE95" s="770"/>
      <c r="CF95" s="770"/>
      <c r="CG95" s="770"/>
      <c r="CH95" s="770"/>
      <c r="CI95" s="770"/>
      <c r="CJ95" s="770"/>
      <c r="CK95" s="770"/>
      <c r="CL95" s="770"/>
    </row>
    <row r="96" spans="1:90">
      <c r="A96" s="770"/>
      <c r="B96" s="770"/>
      <c r="C96" s="770"/>
      <c r="D96" s="770"/>
      <c r="E96" s="770"/>
      <c r="F96" s="770"/>
      <c r="G96" s="770"/>
      <c r="H96" s="770"/>
      <c r="I96" s="770"/>
      <c r="J96" s="770"/>
      <c r="K96" s="770"/>
      <c r="L96" s="771"/>
      <c r="M96" s="771"/>
      <c r="N96" s="771"/>
      <c r="O96" s="771"/>
      <c r="P96" s="771"/>
      <c r="Q96" s="771"/>
      <c r="R96" s="771"/>
      <c r="S96" s="771"/>
      <c r="T96" s="771"/>
      <c r="U96" s="771"/>
      <c r="V96" s="771"/>
      <c r="W96" s="771"/>
      <c r="X96" s="770"/>
      <c r="Y96" s="770"/>
      <c r="Z96" s="770"/>
      <c r="AA96" s="770"/>
      <c r="AB96" s="770"/>
      <c r="AC96" s="770"/>
      <c r="AD96" s="770"/>
      <c r="AE96" s="770"/>
      <c r="AF96" s="770"/>
      <c r="AG96" s="770"/>
      <c r="AH96" s="770"/>
      <c r="AI96" s="770"/>
      <c r="AJ96" s="770"/>
      <c r="AK96" s="770"/>
      <c r="AL96" s="770"/>
      <c r="AM96" s="770"/>
      <c r="AN96" s="770"/>
      <c r="AO96" s="772"/>
      <c r="AP96" s="773"/>
      <c r="AQ96" s="770"/>
      <c r="AR96" s="770"/>
      <c r="AS96" s="770"/>
      <c r="AU96" s="770"/>
      <c r="AV96" s="770"/>
      <c r="AW96" s="770"/>
      <c r="AX96" s="770"/>
      <c r="AY96" s="770"/>
      <c r="AZ96" s="770"/>
      <c r="BA96" s="770"/>
      <c r="BB96" s="770"/>
      <c r="BC96" s="770"/>
      <c r="BD96" s="770"/>
      <c r="BE96" s="770"/>
      <c r="BF96" s="770"/>
      <c r="BG96" s="770"/>
      <c r="BH96" s="770"/>
      <c r="BI96" s="770"/>
      <c r="BJ96" s="770"/>
      <c r="BK96" s="770"/>
      <c r="BL96" s="770"/>
      <c r="BM96" s="770"/>
      <c r="BN96" s="770"/>
      <c r="BO96" s="770"/>
      <c r="BP96" s="770"/>
      <c r="BQ96" s="770"/>
      <c r="BR96" s="770"/>
      <c r="BS96" s="770"/>
      <c r="BT96" s="770"/>
      <c r="BU96" s="770"/>
      <c r="BV96" s="770"/>
      <c r="BW96" s="770"/>
      <c r="BX96" s="770"/>
      <c r="BY96" s="770"/>
      <c r="BZ96" s="770"/>
      <c r="CA96" s="770"/>
      <c r="CB96" s="770"/>
      <c r="CC96" s="770"/>
      <c r="CD96" s="770"/>
      <c r="CE96" s="770"/>
      <c r="CF96" s="770"/>
      <c r="CG96" s="770"/>
      <c r="CH96" s="770"/>
      <c r="CI96" s="770"/>
      <c r="CJ96" s="770"/>
      <c r="CK96" s="770"/>
      <c r="CL96" s="770"/>
    </row>
    <row r="97" spans="1:90">
      <c r="A97" s="770"/>
      <c r="B97" s="770"/>
      <c r="C97" s="770"/>
      <c r="D97" s="770"/>
      <c r="E97" s="770"/>
      <c r="F97" s="770"/>
      <c r="G97" s="770"/>
      <c r="H97" s="770"/>
      <c r="I97" s="770"/>
      <c r="J97" s="770"/>
      <c r="K97" s="770"/>
      <c r="L97" s="771"/>
      <c r="M97" s="771"/>
      <c r="N97" s="771"/>
      <c r="O97" s="771"/>
      <c r="P97" s="771"/>
      <c r="Q97" s="771"/>
      <c r="R97" s="771"/>
      <c r="S97" s="771"/>
      <c r="T97" s="771"/>
      <c r="U97" s="771"/>
      <c r="V97" s="771"/>
      <c r="W97" s="771"/>
      <c r="X97" s="770"/>
      <c r="Y97" s="770"/>
      <c r="Z97" s="770"/>
      <c r="AA97" s="770"/>
      <c r="AB97" s="770"/>
      <c r="AC97" s="770"/>
      <c r="AD97" s="770"/>
      <c r="AE97" s="770"/>
      <c r="AF97" s="770"/>
      <c r="AG97" s="770"/>
      <c r="AH97" s="770"/>
      <c r="AI97" s="770"/>
      <c r="AJ97" s="770"/>
      <c r="AK97" s="770"/>
      <c r="AL97" s="770"/>
      <c r="AM97" s="770"/>
      <c r="AN97" s="770"/>
      <c r="AO97" s="772"/>
      <c r="AP97" s="773"/>
      <c r="AQ97" s="770"/>
      <c r="AR97" s="770"/>
      <c r="AS97" s="770"/>
      <c r="AU97" s="770"/>
      <c r="AV97" s="770"/>
      <c r="AW97" s="770"/>
      <c r="AX97" s="770"/>
      <c r="AY97" s="770"/>
      <c r="AZ97" s="770"/>
      <c r="BA97" s="770"/>
      <c r="BB97" s="770"/>
      <c r="BC97" s="770"/>
      <c r="BD97" s="770"/>
      <c r="BE97" s="770"/>
      <c r="BF97" s="770"/>
      <c r="BG97" s="770"/>
      <c r="BH97" s="770"/>
      <c r="BI97" s="770"/>
      <c r="BJ97" s="770"/>
      <c r="BK97" s="770"/>
      <c r="BL97" s="770"/>
      <c r="BM97" s="770"/>
      <c r="BN97" s="770"/>
      <c r="BO97" s="770"/>
      <c r="BP97" s="770"/>
      <c r="BQ97" s="770"/>
      <c r="BR97" s="770"/>
      <c r="BS97" s="770"/>
      <c r="BT97" s="770"/>
      <c r="BU97" s="770"/>
      <c r="BV97" s="770"/>
      <c r="BW97" s="770"/>
      <c r="BX97" s="770"/>
      <c r="BY97" s="770"/>
      <c r="BZ97" s="770"/>
      <c r="CA97" s="770"/>
      <c r="CB97" s="770"/>
      <c r="CC97" s="770"/>
      <c r="CD97" s="770"/>
      <c r="CE97" s="770"/>
      <c r="CF97" s="770"/>
      <c r="CG97" s="770"/>
      <c r="CH97" s="770"/>
      <c r="CI97" s="770"/>
      <c r="CJ97" s="770"/>
      <c r="CK97" s="770"/>
      <c r="CL97" s="770"/>
    </row>
    <row r="98" spans="1:90">
      <c r="A98" s="770"/>
      <c r="B98" s="770"/>
      <c r="C98" s="770"/>
      <c r="D98" s="770"/>
      <c r="E98" s="770"/>
      <c r="F98" s="770"/>
      <c r="G98" s="770"/>
      <c r="H98" s="770"/>
      <c r="I98" s="770"/>
      <c r="J98" s="770"/>
      <c r="K98" s="770"/>
      <c r="L98" s="771"/>
      <c r="M98" s="771"/>
      <c r="N98" s="771"/>
      <c r="O98" s="771"/>
      <c r="P98" s="771"/>
      <c r="Q98" s="771"/>
      <c r="R98" s="771"/>
      <c r="S98" s="771"/>
      <c r="T98" s="771"/>
      <c r="U98" s="771"/>
      <c r="V98" s="771"/>
      <c r="W98" s="771"/>
      <c r="X98" s="770"/>
      <c r="Y98" s="770"/>
      <c r="Z98" s="770"/>
      <c r="AA98" s="770"/>
      <c r="AB98" s="770"/>
      <c r="AC98" s="770"/>
      <c r="AD98" s="770"/>
      <c r="AE98" s="770"/>
      <c r="AF98" s="770"/>
      <c r="AG98" s="770"/>
      <c r="AH98" s="770"/>
      <c r="AI98" s="770"/>
      <c r="AJ98" s="770"/>
      <c r="AK98" s="770"/>
      <c r="AL98" s="770"/>
      <c r="AM98" s="770"/>
      <c r="AN98" s="770"/>
      <c r="AO98" s="772"/>
      <c r="AP98" s="773"/>
      <c r="AQ98" s="770"/>
      <c r="AR98" s="770"/>
      <c r="AS98" s="770"/>
      <c r="AU98" s="770"/>
      <c r="AV98" s="770"/>
      <c r="AW98" s="770"/>
      <c r="AX98" s="770"/>
      <c r="AY98" s="770"/>
      <c r="AZ98" s="770"/>
      <c r="BA98" s="770"/>
      <c r="BB98" s="770"/>
      <c r="BC98" s="770"/>
      <c r="BD98" s="770"/>
      <c r="BE98" s="770"/>
      <c r="BF98" s="770"/>
      <c r="BG98" s="770"/>
      <c r="BH98" s="770"/>
      <c r="BI98" s="770"/>
      <c r="BJ98" s="770"/>
      <c r="BK98" s="770"/>
      <c r="BL98" s="770"/>
      <c r="BM98" s="770"/>
      <c r="BN98" s="770"/>
      <c r="BO98" s="770"/>
      <c r="BP98" s="770"/>
      <c r="BQ98" s="770"/>
      <c r="BR98" s="770"/>
      <c r="BS98" s="770"/>
      <c r="BT98" s="770"/>
      <c r="BU98" s="770"/>
      <c r="BV98" s="770"/>
      <c r="BW98" s="770"/>
      <c r="BX98" s="770"/>
      <c r="BY98" s="770"/>
      <c r="BZ98" s="770"/>
      <c r="CA98" s="770"/>
      <c r="CB98" s="770"/>
      <c r="CC98" s="770"/>
      <c r="CD98" s="770"/>
      <c r="CE98" s="770"/>
      <c r="CF98" s="770"/>
      <c r="CG98" s="770"/>
      <c r="CH98" s="770"/>
      <c r="CI98" s="770"/>
      <c r="CJ98" s="770"/>
      <c r="CK98" s="770"/>
      <c r="CL98" s="770"/>
    </row>
    <row r="99" spans="1:90">
      <c r="A99" s="770"/>
      <c r="B99" s="770"/>
      <c r="C99" s="770"/>
      <c r="D99" s="770"/>
      <c r="E99" s="770"/>
      <c r="F99" s="770"/>
      <c r="G99" s="770"/>
      <c r="H99" s="770"/>
      <c r="I99" s="770"/>
      <c r="J99" s="770"/>
      <c r="K99" s="770"/>
      <c r="L99" s="771"/>
      <c r="M99" s="771"/>
      <c r="N99" s="771"/>
      <c r="O99" s="771"/>
      <c r="P99" s="771"/>
      <c r="Q99" s="771"/>
      <c r="R99" s="771"/>
      <c r="S99" s="771"/>
      <c r="T99" s="771"/>
      <c r="U99" s="771"/>
      <c r="V99" s="771"/>
      <c r="W99" s="771"/>
      <c r="X99" s="770"/>
      <c r="Y99" s="770"/>
      <c r="Z99" s="770"/>
      <c r="AA99" s="770"/>
      <c r="AB99" s="770"/>
      <c r="AC99" s="770"/>
      <c r="AD99" s="770"/>
      <c r="AE99" s="770"/>
      <c r="AF99" s="770"/>
      <c r="AG99" s="770"/>
      <c r="AH99" s="770"/>
      <c r="AI99" s="770"/>
      <c r="AJ99" s="770"/>
      <c r="AK99" s="770"/>
      <c r="AL99" s="770"/>
      <c r="AM99" s="770"/>
      <c r="AN99" s="770"/>
      <c r="AO99" s="772"/>
      <c r="AP99" s="773"/>
      <c r="AQ99" s="770"/>
      <c r="AR99" s="770"/>
      <c r="AS99" s="770"/>
      <c r="AU99" s="770"/>
      <c r="AV99" s="770"/>
      <c r="AW99" s="770"/>
      <c r="AX99" s="770"/>
      <c r="AY99" s="770"/>
      <c r="AZ99" s="770"/>
      <c r="BA99" s="770"/>
      <c r="BB99" s="770"/>
      <c r="BC99" s="770"/>
      <c r="BD99" s="770"/>
      <c r="BE99" s="770"/>
      <c r="BF99" s="770"/>
      <c r="BG99" s="770"/>
      <c r="BH99" s="770"/>
      <c r="BI99" s="770"/>
      <c r="BJ99" s="770"/>
      <c r="BK99" s="770"/>
      <c r="BL99" s="770"/>
      <c r="BM99" s="770"/>
      <c r="BN99" s="770"/>
      <c r="BO99" s="770"/>
      <c r="BP99" s="770"/>
      <c r="BQ99" s="770"/>
      <c r="BR99" s="770"/>
      <c r="BS99" s="770"/>
      <c r="BT99" s="770"/>
      <c r="BU99" s="770"/>
      <c r="BV99" s="770"/>
      <c r="BW99" s="770"/>
      <c r="BX99" s="770"/>
      <c r="BY99" s="770"/>
      <c r="BZ99" s="770"/>
      <c r="CA99" s="770"/>
      <c r="CB99" s="770"/>
      <c r="CC99" s="770"/>
      <c r="CD99" s="770"/>
      <c r="CE99" s="770"/>
      <c r="CF99" s="770"/>
      <c r="CG99" s="770"/>
      <c r="CH99" s="770"/>
      <c r="CI99" s="770"/>
      <c r="CJ99" s="770"/>
      <c r="CK99" s="770"/>
      <c r="CL99" s="770"/>
    </row>
    <row r="100" spans="1:90">
      <c r="A100" s="770"/>
      <c r="B100" s="770"/>
      <c r="C100" s="770"/>
      <c r="D100" s="770"/>
      <c r="E100" s="770"/>
      <c r="F100" s="770"/>
      <c r="G100" s="770"/>
      <c r="H100" s="770"/>
      <c r="I100" s="770"/>
      <c r="J100" s="770"/>
      <c r="K100" s="770"/>
      <c r="L100" s="771"/>
      <c r="M100" s="771"/>
      <c r="N100" s="771"/>
      <c r="O100" s="771"/>
      <c r="P100" s="771"/>
      <c r="Q100" s="771"/>
      <c r="R100" s="771"/>
      <c r="S100" s="771"/>
      <c r="T100" s="771"/>
      <c r="U100" s="771"/>
      <c r="V100" s="771"/>
      <c r="W100" s="771"/>
      <c r="X100" s="770"/>
      <c r="Y100" s="770"/>
      <c r="Z100" s="770"/>
      <c r="AA100" s="770"/>
      <c r="AB100" s="770"/>
      <c r="AC100" s="770"/>
      <c r="AD100" s="770"/>
      <c r="AE100" s="770"/>
      <c r="AF100" s="770"/>
      <c r="AG100" s="770"/>
      <c r="AH100" s="770"/>
      <c r="AI100" s="770"/>
      <c r="AJ100" s="770"/>
      <c r="AK100" s="770"/>
      <c r="AL100" s="770"/>
      <c r="AM100" s="770"/>
      <c r="AN100" s="770"/>
      <c r="AO100" s="772"/>
      <c r="AP100" s="773"/>
      <c r="AQ100" s="770"/>
      <c r="AR100" s="770"/>
      <c r="AS100" s="770"/>
      <c r="AU100" s="770"/>
      <c r="AV100" s="770"/>
      <c r="AW100" s="770"/>
      <c r="AX100" s="770"/>
      <c r="AY100" s="770"/>
      <c r="AZ100" s="770"/>
      <c r="BA100" s="770"/>
      <c r="BB100" s="770"/>
      <c r="BC100" s="770"/>
      <c r="BD100" s="770"/>
      <c r="BE100" s="770"/>
      <c r="BF100" s="770"/>
      <c r="BG100" s="770"/>
      <c r="BH100" s="770"/>
      <c r="BI100" s="770"/>
      <c r="BJ100" s="770"/>
      <c r="BK100" s="770"/>
      <c r="BL100" s="770"/>
      <c r="BM100" s="770"/>
      <c r="BN100" s="770"/>
      <c r="BO100" s="770"/>
      <c r="BP100" s="770"/>
      <c r="BQ100" s="770"/>
      <c r="BR100" s="770"/>
      <c r="BS100" s="770"/>
      <c r="BT100" s="770"/>
      <c r="BU100" s="770"/>
      <c r="BV100" s="770"/>
      <c r="BW100" s="770"/>
      <c r="BX100" s="770"/>
      <c r="BY100" s="770"/>
      <c r="BZ100" s="770"/>
      <c r="CA100" s="770"/>
      <c r="CB100" s="770"/>
      <c r="CC100" s="770"/>
      <c r="CD100" s="770"/>
      <c r="CE100" s="770"/>
      <c r="CF100" s="770"/>
      <c r="CG100" s="770"/>
      <c r="CH100" s="770"/>
      <c r="CI100" s="770"/>
      <c r="CJ100" s="770"/>
      <c r="CK100" s="770"/>
      <c r="CL100" s="770"/>
    </row>
    <row r="101" spans="1:90">
      <c r="A101" s="770"/>
      <c r="B101" s="770"/>
      <c r="C101" s="770"/>
      <c r="D101" s="770"/>
      <c r="E101" s="770"/>
      <c r="F101" s="770"/>
      <c r="G101" s="770"/>
      <c r="H101" s="770"/>
      <c r="I101" s="770"/>
      <c r="J101" s="770"/>
      <c r="K101" s="770"/>
      <c r="L101" s="771"/>
      <c r="M101" s="771"/>
      <c r="N101" s="771"/>
      <c r="O101" s="771"/>
      <c r="P101" s="771"/>
      <c r="Q101" s="771"/>
      <c r="R101" s="771"/>
      <c r="S101" s="771"/>
      <c r="T101" s="771"/>
      <c r="U101" s="771"/>
      <c r="V101" s="771"/>
      <c r="W101" s="771"/>
      <c r="X101" s="770"/>
      <c r="Y101" s="770"/>
      <c r="Z101" s="770"/>
      <c r="AA101" s="770"/>
      <c r="AB101" s="770"/>
      <c r="AC101" s="770"/>
      <c r="AD101" s="770"/>
      <c r="AE101" s="770"/>
      <c r="AF101" s="770"/>
      <c r="AG101" s="770"/>
      <c r="AH101" s="770"/>
      <c r="AI101" s="770"/>
      <c r="AJ101" s="770"/>
      <c r="AK101" s="770"/>
      <c r="AL101" s="770"/>
      <c r="AM101" s="770"/>
      <c r="AN101" s="770"/>
      <c r="AO101" s="772"/>
      <c r="AP101" s="773"/>
      <c r="AQ101" s="770"/>
      <c r="AR101" s="770"/>
      <c r="AS101" s="770"/>
      <c r="AU101" s="770"/>
      <c r="AV101" s="770"/>
      <c r="AW101" s="770"/>
      <c r="AX101" s="770"/>
      <c r="AY101" s="770"/>
      <c r="AZ101" s="770"/>
      <c r="BA101" s="770"/>
      <c r="BB101" s="770"/>
      <c r="BC101" s="770"/>
      <c r="BD101" s="770"/>
      <c r="BE101" s="770"/>
      <c r="BF101" s="770"/>
      <c r="BG101" s="770"/>
      <c r="BH101" s="770"/>
      <c r="BI101" s="770"/>
      <c r="BJ101" s="770"/>
      <c r="BK101" s="770"/>
      <c r="BL101" s="770"/>
      <c r="BM101" s="770"/>
      <c r="BN101" s="770"/>
      <c r="BO101" s="770"/>
      <c r="BP101" s="770"/>
      <c r="BQ101" s="770"/>
      <c r="BR101" s="770"/>
      <c r="BS101" s="770"/>
      <c r="BT101" s="770"/>
      <c r="BU101" s="770"/>
      <c r="BV101" s="770"/>
      <c r="BW101" s="770"/>
      <c r="BX101" s="770"/>
      <c r="BY101" s="770"/>
      <c r="BZ101" s="770"/>
      <c r="CA101" s="770"/>
      <c r="CB101" s="770"/>
      <c r="CC101" s="770"/>
      <c r="CD101" s="770"/>
      <c r="CE101" s="770"/>
      <c r="CF101" s="770"/>
      <c r="CG101" s="770"/>
      <c r="CH101" s="770"/>
      <c r="CI101" s="770"/>
      <c r="CJ101" s="770"/>
      <c r="CK101" s="770"/>
      <c r="CL101" s="770"/>
    </row>
    <row r="102" spans="1:90">
      <c r="A102" s="770"/>
      <c r="B102" s="770"/>
      <c r="C102" s="770"/>
      <c r="D102" s="770"/>
      <c r="E102" s="770"/>
      <c r="F102" s="770"/>
      <c r="G102" s="770"/>
      <c r="H102" s="770"/>
      <c r="I102" s="770"/>
      <c r="J102" s="770"/>
      <c r="K102" s="770"/>
      <c r="L102" s="771"/>
      <c r="M102" s="771"/>
      <c r="N102" s="771"/>
      <c r="O102" s="771"/>
      <c r="P102" s="771"/>
      <c r="Q102" s="771"/>
      <c r="R102" s="771"/>
      <c r="S102" s="771"/>
      <c r="T102" s="771"/>
      <c r="U102" s="771"/>
      <c r="V102" s="771"/>
      <c r="W102" s="771"/>
      <c r="X102" s="770"/>
      <c r="Y102" s="770"/>
      <c r="Z102" s="770"/>
      <c r="AA102" s="770"/>
      <c r="AB102" s="770"/>
      <c r="AC102" s="770"/>
      <c r="AD102" s="770"/>
      <c r="AE102" s="770"/>
      <c r="AF102" s="770"/>
      <c r="AG102" s="770"/>
      <c r="AH102" s="770"/>
      <c r="AI102" s="770"/>
      <c r="AJ102" s="770"/>
      <c r="AK102" s="770"/>
      <c r="AL102" s="770"/>
      <c r="AM102" s="770"/>
      <c r="AN102" s="770"/>
      <c r="AO102" s="772"/>
      <c r="AP102" s="773"/>
      <c r="AQ102" s="770"/>
      <c r="AR102" s="770"/>
      <c r="AS102" s="770"/>
      <c r="AU102" s="770"/>
      <c r="AV102" s="770"/>
      <c r="AW102" s="770"/>
      <c r="AX102" s="770"/>
      <c r="AY102" s="770"/>
      <c r="AZ102" s="770"/>
      <c r="BA102" s="770"/>
      <c r="BB102" s="770"/>
      <c r="BC102" s="770"/>
      <c r="BD102" s="770"/>
      <c r="BE102" s="770"/>
      <c r="BF102" s="770"/>
      <c r="BG102" s="770"/>
      <c r="BH102" s="770"/>
      <c r="BI102" s="770"/>
      <c r="BJ102" s="770"/>
      <c r="BK102" s="770"/>
      <c r="BL102" s="770"/>
      <c r="BM102" s="770"/>
      <c r="BN102" s="770"/>
      <c r="BO102" s="770"/>
      <c r="BP102" s="770"/>
      <c r="BQ102" s="770"/>
      <c r="BR102" s="770"/>
      <c r="BS102" s="770"/>
      <c r="BT102" s="770"/>
      <c r="BU102" s="770"/>
      <c r="BV102" s="770"/>
      <c r="BW102" s="770"/>
      <c r="BX102" s="770"/>
      <c r="BY102" s="770"/>
      <c r="BZ102" s="770"/>
      <c r="CA102" s="770"/>
      <c r="CB102" s="770"/>
      <c r="CC102" s="770"/>
      <c r="CD102" s="770"/>
      <c r="CE102" s="770"/>
      <c r="CF102" s="770"/>
      <c r="CG102" s="770"/>
      <c r="CH102" s="770"/>
      <c r="CI102" s="770"/>
      <c r="CJ102" s="770"/>
      <c r="CK102" s="770"/>
      <c r="CL102" s="770"/>
    </row>
    <row r="103" spans="1:90">
      <c r="A103" s="770"/>
      <c r="B103" s="770"/>
      <c r="C103" s="770"/>
      <c r="D103" s="770"/>
      <c r="E103" s="770"/>
      <c r="F103" s="770"/>
      <c r="G103" s="770"/>
      <c r="H103" s="770"/>
      <c r="I103" s="770"/>
      <c r="J103" s="770"/>
      <c r="K103" s="770"/>
      <c r="L103" s="771"/>
      <c r="M103" s="771"/>
      <c r="N103" s="771"/>
      <c r="O103" s="771"/>
      <c r="P103" s="771"/>
      <c r="Q103" s="771"/>
      <c r="R103" s="771"/>
      <c r="S103" s="771"/>
      <c r="T103" s="771"/>
      <c r="U103" s="771"/>
      <c r="V103" s="771"/>
      <c r="W103" s="771"/>
      <c r="X103" s="770"/>
      <c r="Y103" s="770"/>
      <c r="Z103" s="770"/>
      <c r="AA103" s="770"/>
      <c r="AB103" s="770"/>
      <c r="AC103" s="770"/>
      <c r="AD103" s="770"/>
      <c r="AE103" s="770"/>
      <c r="AF103" s="770"/>
      <c r="AG103" s="770"/>
      <c r="AH103" s="770"/>
      <c r="AI103" s="770"/>
      <c r="AJ103" s="770"/>
      <c r="AK103" s="770"/>
      <c r="AL103" s="770"/>
      <c r="AM103" s="770"/>
      <c r="AN103" s="770"/>
      <c r="AO103" s="772"/>
      <c r="AP103" s="773"/>
      <c r="AQ103" s="770"/>
      <c r="AR103" s="770"/>
      <c r="AS103" s="770"/>
      <c r="AU103" s="770"/>
      <c r="AV103" s="770"/>
      <c r="AW103" s="770"/>
      <c r="AX103" s="770"/>
      <c r="AY103" s="770"/>
      <c r="AZ103" s="770"/>
      <c r="BA103" s="770"/>
      <c r="BB103" s="770"/>
      <c r="BC103" s="770"/>
      <c r="BD103" s="770"/>
      <c r="BE103" s="770"/>
      <c r="BF103" s="770"/>
      <c r="BG103" s="770"/>
      <c r="BH103" s="770"/>
      <c r="BI103" s="770"/>
      <c r="BJ103" s="770"/>
      <c r="BK103" s="770"/>
      <c r="BL103" s="770"/>
      <c r="BM103" s="770"/>
      <c r="BN103" s="770"/>
      <c r="BO103" s="770"/>
      <c r="BP103" s="770"/>
      <c r="BQ103" s="770"/>
      <c r="BR103" s="770"/>
      <c r="BS103" s="770"/>
      <c r="BT103" s="770"/>
      <c r="BU103" s="770"/>
      <c r="BV103" s="770"/>
      <c r="BW103" s="770"/>
      <c r="BX103" s="770"/>
      <c r="BY103" s="770"/>
      <c r="BZ103" s="770"/>
      <c r="CA103" s="770"/>
      <c r="CB103" s="770"/>
      <c r="CC103" s="770"/>
      <c r="CD103" s="770"/>
      <c r="CE103" s="770"/>
      <c r="CF103" s="770"/>
      <c r="CG103" s="770"/>
      <c r="CH103" s="770"/>
      <c r="CI103" s="770"/>
      <c r="CJ103" s="770"/>
      <c r="CK103" s="770"/>
      <c r="CL103" s="770"/>
    </row>
    <row r="104" spans="1:90">
      <c r="A104" s="770"/>
      <c r="B104" s="770"/>
      <c r="C104" s="770"/>
      <c r="D104" s="770"/>
      <c r="E104" s="770"/>
      <c r="F104" s="770"/>
      <c r="G104" s="770"/>
      <c r="H104" s="770"/>
      <c r="I104" s="770"/>
      <c r="J104" s="770"/>
      <c r="K104" s="770"/>
      <c r="L104" s="771"/>
      <c r="M104" s="771"/>
      <c r="N104" s="771"/>
      <c r="O104" s="771"/>
      <c r="P104" s="771"/>
      <c r="Q104" s="771"/>
      <c r="R104" s="771"/>
      <c r="S104" s="771"/>
      <c r="T104" s="771"/>
      <c r="U104" s="771"/>
      <c r="V104" s="771"/>
      <c r="W104" s="771"/>
      <c r="X104" s="770"/>
      <c r="Y104" s="770"/>
      <c r="Z104" s="770"/>
      <c r="AA104" s="770"/>
      <c r="AB104" s="770"/>
      <c r="AC104" s="770"/>
      <c r="AD104" s="770"/>
      <c r="AE104" s="770"/>
      <c r="AF104" s="770"/>
      <c r="AG104" s="770"/>
      <c r="AH104" s="770"/>
      <c r="AI104" s="770"/>
      <c r="AJ104" s="770"/>
      <c r="AK104" s="770"/>
      <c r="AL104" s="770"/>
      <c r="AM104" s="770"/>
      <c r="AN104" s="770"/>
      <c r="AO104" s="772"/>
      <c r="AP104" s="773"/>
      <c r="AQ104" s="770"/>
      <c r="AR104" s="770"/>
      <c r="AS104" s="770"/>
      <c r="AU104" s="770"/>
      <c r="AV104" s="770"/>
      <c r="AW104" s="770"/>
      <c r="AX104" s="770"/>
      <c r="AY104" s="770"/>
      <c r="AZ104" s="770"/>
      <c r="BA104" s="770"/>
      <c r="BB104" s="770"/>
      <c r="BC104" s="770"/>
      <c r="BD104" s="770"/>
      <c r="BE104" s="770"/>
      <c r="BF104" s="770"/>
      <c r="BG104" s="770"/>
      <c r="BH104" s="770"/>
      <c r="BI104" s="770"/>
      <c r="BJ104" s="770"/>
      <c r="BK104" s="770"/>
      <c r="BL104" s="770"/>
      <c r="BM104" s="770"/>
      <c r="BN104" s="770"/>
      <c r="BO104" s="770"/>
      <c r="BP104" s="770"/>
      <c r="BQ104" s="770"/>
      <c r="BR104" s="770"/>
      <c r="BS104" s="770"/>
      <c r="BT104" s="770"/>
      <c r="BU104" s="770"/>
      <c r="BV104" s="770"/>
      <c r="BW104" s="770"/>
      <c r="BX104" s="770"/>
      <c r="BY104" s="770"/>
      <c r="BZ104" s="770"/>
      <c r="CA104" s="770"/>
      <c r="CB104" s="770"/>
      <c r="CC104" s="770"/>
      <c r="CD104" s="770"/>
      <c r="CE104" s="770"/>
      <c r="CF104" s="770"/>
      <c r="CG104" s="770"/>
      <c r="CH104" s="770"/>
      <c r="CI104" s="770"/>
      <c r="CJ104" s="770"/>
      <c r="CK104" s="770"/>
      <c r="CL104" s="770"/>
    </row>
    <row r="105" spans="1:90">
      <c r="A105" s="770"/>
      <c r="B105" s="770"/>
      <c r="C105" s="770"/>
      <c r="D105" s="770"/>
      <c r="E105" s="770"/>
      <c r="F105" s="770"/>
      <c r="G105" s="770"/>
      <c r="H105" s="770"/>
      <c r="I105" s="770"/>
      <c r="J105" s="770"/>
      <c r="K105" s="770"/>
      <c r="L105" s="771"/>
      <c r="M105" s="771"/>
      <c r="N105" s="771"/>
      <c r="O105" s="771"/>
      <c r="P105" s="771"/>
      <c r="Q105" s="771"/>
      <c r="R105" s="771"/>
      <c r="S105" s="771"/>
      <c r="T105" s="771"/>
      <c r="U105" s="771"/>
      <c r="V105" s="771"/>
      <c r="W105" s="771"/>
      <c r="X105" s="770"/>
      <c r="Y105" s="770"/>
      <c r="Z105" s="770"/>
      <c r="AA105" s="770"/>
      <c r="AB105" s="770"/>
      <c r="AC105" s="770"/>
      <c r="AD105" s="770"/>
      <c r="AE105" s="770"/>
      <c r="AF105" s="770"/>
      <c r="AG105" s="770"/>
      <c r="AH105" s="770"/>
      <c r="AI105" s="770"/>
      <c r="AJ105" s="770"/>
      <c r="AK105" s="770"/>
      <c r="AL105" s="770"/>
      <c r="AM105" s="770"/>
      <c r="AN105" s="770"/>
      <c r="AO105" s="772"/>
      <c r="AP105" s="773"/>
      <c r="AQ105" s="770"/>
      <c r="AR105" s="770"/>
      <c r="AS105" s="770"/>
      <c r="AU105" s="770"/>
      <c r="AV105" s="770"/>
      <c r="AW105" s="770"/>
      <c r="AX105" s="770"/>
      <c r="AY105" s="770"/>
      <c r="AZ105" s="770"/>
      <c r="BA105" s="770"/>
      <c r="BB105" s="770"/>
      <c r="BC105" s="770"/>
      <c r="BD105" s="770"/>
      <c r="BE105" s="770"/>
      <c r="BF105" s="770"/>
      <c r="BG105" s="770"/>
      <c r="BH105" s="770"/>
      <c r="BI105" s="770"/>
      <c r="BJ105" s="770"/>
      <c r="BK105" s="770"/>
      <c r="BL105" s="770"/>
      <c r="BM105" s="770"/>
      <c r="BN105" s="770"/>
      <c r="BO105" s="770"/>
      <c r="BP105" s="770"/>
      <c r="BQ105" s="770"/>
      <c r="BR105" s="770"/>
      <c r="BS105" s="770"/>
      <c r="BT105" s="770"/>
      <c r="BU105" s="770"/>
      <c r="BV105" s="770"/>
      <c r="BW105" s="770"/>
      <c r="BX105" s="770"/>
      <c r="BY105" s="770"/>
      <c r="BZ105" s="770"/>
      <c r="CA105" s="770"/>
      <c r="CB105" s="770"/>
      <c r="CC105" s="770"/>
      <c r="CD105" s="770"/>
      <c r="CE105" s="770"/>
      <c r="CF105" s="770"/>
      <c r="CG105" s="770"/>
      <c r="CH105" s="770"/>
      <c r="CI105" s="770"/>
      <c r="CJ105" s="770"/>
      <c r="CK105" s="770"/>
      <c r="CL105" s="770"/>
    </row>
    <row r="106" spans="1:90">
      <c r="A106" s="770"/>
      <c r="B106" s="770"/>
      <c r="C106" s="770"/>
      <c r="D106" s="770"/>
      <c r="E106" s="770"/>
      <c r="F106" s="770"/>
      <c r="G106" s="770"/>
      <c r="H106" s="770"/>
      <c r="I106" s="770"/>
      <c r="J106" s="770"/>
      <c r="K106" s="770"/>
      <c r="L106" s="771"/>
      <c r="M106" s="771"/>
      <c r="N106" s="771"/>
      <c r="O106" s="771"/>
      <c r="P106" s="771"/>
      <c r="Q106" s="771"/>
      <c r="R106" s="771"/>
      <c r="S106" s="771"/>
      <c r="T106" s="771"/>
      <c r="U106" s="771"/>
      <c r="V106" s="771"/>
      <c r="W106" s="771"/>
      <c r="X106" s="770"/>
      <c r="Y106" s="770"/>
      <c r="Z106" s="770"/>
      <c r="AA106" s="770"/>
      <c r="AB106" s="770"/>
      <c r="AC106" s="770"/>
      <c r="AD106" s="770"/>
      <c r="AE106" s="770"/>
      <c r="AF106" s="770"/>
      <c r="AG106" s="770"/>
      <c r="AH106" s="770"/>
      <c r="AI106" s="770"/>
      <c r="AJ106" s="770"/>
      <c r="AK106" s="770"/>
      <c r="AL106" s="770"/>
      <c r="AM106" s="770"/>
      <c r="AN106" s="770"/>
      <c r="AO106" s="772"/>
      <c r="AP106" s="773"/>
      <c r="AQ106" s="770"/>
      <c r="AR106" s="770"/>
      <c r="AS106" s="770"/>
      <c r="AU106" s="770"/>
      <c r="AV106" s="770"/>
      <c r="AW106" s="770"/>
      <c r="AX106" s="770"/>
      <c r="AY106" s="770"/>
      <c r="AZ106" s="770"/>
      <c r="BA106" s="770"/>
      <c r="BB106" s="770"/>
      <c r="BC106" s="770"/>
      <c r="BD106" s="770"/>
      <c r="BE106" s="770"/>
      <c r="BF106" s="770"/>
      <c r="BG106" s="770"/>
      <c r="BH106" s="770"/>
      <c r="BI106" s="770"/>
      <c r="BJ106" s="770"/>
      <c r="BK106" s="770"/>
      <c r="BL106" s="770"/>
      <c r="BM106" s="770"/>
      <c r="BN106" s="770"/>
      <c r="BO106" s="770"/>
      <c r="BP106" s="770"/>
      <c r="BQ106" s="770"/>
      <c r="BR106" s="770"/>
      <c r="BS106" s="770"/>
      <c r="BT106" s="770"/>
      <c r="BU106" s="770"/>
      <c r="BV106" s="770"/>
      <c r="BW106" s="770"/>
      <c r="BX106" s="770"/>
      <c r="BY106" s="770"/>
      <c r="BZ106" s="770"/>
      <c r="CA106" s="770"/>
      <c r="CB106" s="770"/>
      <c r="CC106" s="770"/>
      <c r="CD106" s="770"/>
      <c r="CE106" s="770"/>
      <c r="CF106" s="770"/>
      <c r="CG106" s="770"/>
      <c r="CH106" s="770"/>
      <c r="CI106" s="770"/>
      <c r="CJ106" s="770"/>
      <c r="CK106" s="770"/>
      <c r="CL106" s="770"/>
    </row>
    <row r="107" spans="1:90">
      <c r="A107" s="770"/>
      <c r="B107" s="770"/>
      <c r="C107" s="770"/>
      <c r="D107" s="770"/>
      <c r="E107" s="770"/>
      <c r="F107" s="770"/>
      <c r="G107" s="770"/>
      <c r="H107" s="770"/>
      <c r="I107" s="770"/>
      <c r="J107" s="770"/>
      <c r="K107" s="770"/>
      <c r="L107" s="771"/>
      <c r="M107" s="771"/>
      <c r="N107" s="771"/>
      <c r="O107" s="771"/>
      <c r="P107" s="771"/>
      <c r="Q107" s="771"/>
      <c r="R107" s="771"/>
      <c r="S107" s="771"/>
      <c r="T107" s="771"/>
      <c r="U107" s="771"/>
      <c r="V107" s="771"/>
      <c r="W107" s="771"/>
      <c r="X107" s="770"/>
      <c r="Y107" s="770"/>
      <c r="Z107" s="770"/>
      <c r="AA107" s="770"/>
      <c r="AB107" s="770"/>
      <c r="AC107" s="770"/>
      <c r="AD107" s="770"/>
      <c r="AE107" s="770"/>
      <c r="AF107" s="770"/>
      <c r="AG107" s="770"/>
      <c r="AH107" s="770"/>
      <c r="AI107" s="770"/>
      <c r="AJ107" s="770"/>
      <c r="AK107" s="770"/>
      <c r="AL107" s="770"/>
      <c r="AM107" s="770"/>
      <c r="AN107" s="770"/>
      <c r="AO107" s="772"/>
      <c r="AP107" s="773"/>
      <c r="AQ107" s="770"/>
      <c r="AR107" s="770"/>
      <c r="AS107" s="770"/>
      <c r="AU107" s="770"/>
      <c r="AV107" s="770"/>
      <c r="AW107" s="770"/>
      <c r="AX107" s="770"/>
      <c r="AY107" s="770"/>
      <c r="AZ107" s="770"/>
      <c r="BA107" s="770"/>
      <c r="BB107" s="770"/>
      <c r="BC107" s="770"/>
      <c r="BD107" s="770"/>
      <c r="BE107" s="770"/>
      <c r="BF107" s="770"/>
      <c r="BG107" s="770"/>
      <c r="BH107" s="770"/>
      <c r="BI107" s="770"/>
      <c r="BJ107" s="770"/>
      <c r="BK107" s="770"/>
      <c r="BL107" s="770"/>
      <c r="BM107" s="770"/>
      <c r="BN107" s="770"/>
      <c r="BO107" s="770"/>
      <c r="BP107" s="770"/>
      <c r="BQ107" s="770"/>
      <c r="BR107" s="770"/>
      <c r="BS107" s="770"/>
      <c r="BT107" s="770"/>
      <c r="BU107" s="770"/>
      <c r="BV107" s="770"/>
      <c r="BW107" s="770"/>
      <c r="BX107" s="770"/>
      <c r="BY107" s="770"/>
      <c r="BZ107" s="770"/>
      <c r="CA107" s="770"/>
      <c r="CB107" s="770"/>
      <c r="CC107" s="770"/>
      <c r="CD107" s="770"/>
      <c r="CE107" s="770"/>
      <c r="CF107" s="770"/>
      <c r="CG107" s="770"/>
      <c r="CH107" s="770"/>
      <c r="CI107" s="770"/>
      <c r="CJ107" s="770"/>
      <c r="CK107" s="770"/>
      <c r="CL107" s="770"/>
    </row>
    <row r="108" spans="1:90">
      <c r="A108" s="770"/>
      <c r="B108" s="770"/>
      <c r="C108" s="770"/>
      <c r="D108" s="770"/>
      <c r="E108" s="770"/>
      <c r="F108" s="770"/>
      <c r="G108" s="770"/>
      <c r="H108" s="770"/>
      <c r="I108" s="770"/>
      <c r="J108" s="770"/>
      <c r="K108" s="770"/>
      <c r="L108" s="771"/>
      <c r="M108" s="771"/>
      <c r="N108" s="771"/>
      <c r="O108" s="771"/>
      <c r="P108" s="771"/>
      <c r="Q108" s="771"/>
      <c r="R108" s="771"/>
      <c r="S108" s="771"/>
      <c r="T108" s="771"/>
      <c r="U108" s="771"/>
      <c r="V108" s="771"/>
      <c r="W108" s="771"/>
      <c r="X108" s="770"/>
      <c r="Y108" s="770"/>
      <c r="Z108" s="770"/>
      <c r="AA108" s="770"/>
      <c r="AB108" s="770"/>
      <c r="AC108" s="770"/>
      <c r="AD108" s="770"/>
      <c r="AE108" s="770"/>
      <c r="AF108" s="770"/>
      <c r="AG108" s="770"/>
      <c r="AH108" s="770"/>
      <c r="AI108" s="770"/>
      <c r="AJ108" s="770"/>
      <c r="AK108" s="770"/>
      <c r="AL108" s="770"/>
      <c r="AM108" s="770"/>
      <c r="AN108" s="770"/>
      <c r="AO108" s="772"/>
      <c r="AP108" s="773"/>
      <c r="AQ108" s="770"/>
      <c r="AR108" s="770"/>
      <c r="AS108" s="770"/>
      <c r="AU108" s="770"/>
      <c r="AV108" s="770"/>
      <c r="AW108" s="770"/>
      <c r="AX108" s="770"/>
      <c r="AY108" s="770"/>
      <c r="AZ108" s="770"/>
      <c r="BA108" s="770"/>
      <c r="BB108" s="770"/>
      <c r="BC108" s="770"/>
      <c r="BD108" s="770"/>
      <c r="BE108" s="770"/>
      <c r="BF108" s="770"/>
      <c r="BG108" s="770"/>
      <c r="BH108" s="770"/>
      <c r="BI108" s="770"/>
      <c r="BJ108" s="770"/>
      <c r="BK108" s="770"/>
      <c r="BL108" s="770"/>
      <c r="BM108" s="770"/>
      <c r="BN108" s="770"/>
      <c r="BO108" s="770"/>
      <c r="BP108" s="770"/>
      <c r="BQ108" s="770"/>
      <c r="BR108" s="770"/>
      <c r="BS108" s="770"/>
      <c r="BT108" s="770"/>
      <c r="BU108" s="770"/>
      <c r="BV108" s="770"/>
      <c r="BW108" s="770"/>
      <c r="BX108" s="770"/>
      <c r="BY108" s="770"/>
      <c r="BZ108" s="770"/>
      <c r="CA108" s="770"/>
      <c r="CB108" s="770"/>
      <c r="CC108" s="770"/>
      <c r="CD108" s="770"/>
      <c r="CE108" s="770"/>
      <c r="CF108" s="770"/>
      <c r="CG108" s="770"/>
      <c r="CH108" s="770"/>
      <c r="CI108" s="770"/>
      <c r="CJ108" s="770"/>
      <c r="CK108" s="770"/>
      <c r="CL108" s="770"/>
    </row>
    <row r="109" spans="1:90">
      <c r="A109" s="770"/>
      <c r="B109" s="770"/>
      <c r="C109" s="770"/>
      <c r="D109" s="770"/>
      <c r="E109" s="770"/>
      <c r="F109" s="770"/>
      <c r="G109" s="770"/>
      <c r="H109" s="770"/>
      <c r="I109" s="770"/>
      <c r="J109" s="770"/>
      <c r="K109" s="770"/>
      <c r="L109" s="771"/>
      <c r="M109" s="771"/>
      <c r="N109" s="771"/>
      <c r="O109" s="771"/>
      <c r="P109" s="771"/>
      <c r="Q109" s="771"/>
      <c r="R109" s="771"/>
      <c r="S109" s="771"/>
      <c r="T109" s="771"/>
      <c r="U109" s="771"/>
      <c r="V109" s="771"/>
      <c r="W109" s="771"/>
      <c r="X109" s="770"/>
      <c r="Y109" s="770"/>
      <c r="Z109" s="770"/>
      <c r="AA109" s="770"/>
      <c r="AB109" s="770"/>
      <c r="AC109" s="770"/>
      <c r="AD109" s="770"/>
      <c r="AE109" s="770"/>
      <c r="AF109" s="770"/>
      <c r="AG109" s="770"/>
      <c r="AH109" s="770"/>
      <c r="AI109" s="770"/>
      <c r="AJ109" s="770"/>
      <c r="AK109" s="770"/>
      <c r="AL109" s="770"/>
      <c r="AM109" s="770"/>
      <c r="AN109" s="770"/>
      <c r="AO109" s="772"/>
      <c r="AP109" s="773"/>
      <c r="AQ109" s="770"/>
      <c r="AR109" s="770"/>
      <c r="AS109" s="770"/>
      <c r="AU109" s="770"/>
      <c r="AV109" s="770"/>
      <c r="AW109" s="770"/>
      <c r="AX109" s="770"/>
      <c r="AY109" s="770"/>
      <c r="AZ109" s="770"/>
      <c r="BA109" s="770"/>
      <c r="BB109" s="770"/>
      <c r="BC109" s="770"/>
      <c r="BD109" s="770"/>
      <c r="BE109" s="770"/>
      <c r="BF109" s="770"/>
      <c r="BG109" s="770"/>
      <c r="BH109" s="770"/>
      <c r="BI109" s="770"/>
      <c r="BJ109" s="770"/>
      <c r="BK109" s="770"/>
      <c r="BL109" s="770"/>
      <c r="BM109" s="770"/>
      <c r="BN109" s="770"/>
      <c r="BO109" s="770"/>
      <c r="BP109" s="770"/>
      <c r="BQ109" s="770"/>
      <c r="BR109" s="770"/>
      <c r="BS109" s="770"/>
      <c r="BT109" s="770"/>
      <c r="BU109" s="770"/>
      <c r="BV109" s="770"/>
      <c r="BW109" s="770"/>
      <c r="BX109" s="770"/>
      <c r="BY109" s="770"/>
      <c r="BZ109" s="770"/>
      <c r="CA109" s="770"/>
      <c r="CB109" s="770"/>
      <c r="CC109" s="770"/>
      <c r="CD109" s="770"/>
      <c r="CE109" s="770"/>
      <c r="CF109" s="770"/>
      <c r="CG109" s="770"/>
      <c r="CH109" s="770"/>
      <c r="CI109" s="770"/>
      <c r="CJ109" s="770"/>
      <c r="CK109" s="770"/>
      <c r="CL109" s="770"/>
    </row>
    <row r="110" spans="1:90">
      <c r="A110" s="770"/>
      <c r="B110" s="770"/>
      <c r="C110" s="770"/>
      <c r="D110" s="770"/>
      <c r="E110" s="770"/>
      <c r="F110" s="770"/>
      <c r="G110" s="770"/>
      <c r="H110" s="770"/>
      <c r="I110" s="770"/>
      <c r="J110" s="770"/>
      <c r="K110" s="770"/>
      <c r="L110" s="771"/>
      <c r="M110" s="771"/>
      <c r="N110" s="771"/>
      <c r="O110" s="771"/>
      <c r="P110" s="771"/>
      <c r="Q110" s="771"/>
      <c r="R110" s="771"/>
      <c r="S110" s="771"/>
      <c r="T110" s="771"/>
      <c r="U110" s="771"/>
      <c r="V110" s="771"/>
      <c r="W110" s="771"/>
      <c r="X110" s="770"/>
      <c r="Y110" s="770"/>
      <c r="Z110" s="770"/>
      <c r="AA110" s="770"/>
      <c r="AB110" s="770"/>
      <c r="AC110" s="770"/>
      <c r="AD110" s="770"/>
      <c r="AE110" s="770"/>
      <c r="AF110" s="770"/>
      <c r="AG110" s="770"/>
      <c r="AH110" s="770"/>
      <c r="AI110" s="770"/>
      <c r="AJ110" s="770"/>
      <c r="AK110" s="770"/>
      <c r="AL110" s="770"/>
      <c r="AM110" s="770"/>
      <c r="AN110" s="770"/>
      <c r="AO110" s="772"/>
      <c r="AP110" s="773"/>
      <c r="AQ110" s="770"/>
      <c r="AR110" s="770"/>
      <c r="AS110" s="770"/>
      <c r="AU110" s="770"/>
      <c r="AV110" s="770"/>
      <c r="AW110" s="770"/>
      <c r="AX110" s="770"/>
      <c r="AY110" s="770"/>
      <c r="AZ110" s="770"/>
      <c r="BA110" s="770"/>
      <c r="BB110" s="770"/>
      <c r="BC110" s="770"/>
      <c r="BD110" s="770"/>
      <c r="BE110" s="770"/>
      <c r="BF110" s="770"/>
      <c r="BG110" s="770"/>
      <c r="BH110" s="770"/>
      <c r="BI110" s="770"/>
      <c r="BJ110" s="770"/>
      <c r="BK110" s="770"/>
      <c r="BL110" s="770"/>
      <c r="BM110" s="770"/>
      <c r="BN110" s="770"/>
      <c r="BO110" s="770"/>
      <c r="BP110" s="770"/>
      <c r="BQ110" s="770"/>
      <c r="BR110" s="770"/>
      <c r="BS110" s="770"/>
      <c r="BT110" s="770"/>
      <c r="BU110" s="770"/>
      <c r="BV110" s="770"/>
      <c r="BW110" s="770"/>
      <c r="BX110" s="770"/>
      <c r="BY110" s="770"/>
      <c r="BZ110" s="770"/>
      <c r="CA110" s="770"/>
      <c r="CB110" s="770"/>
      <c r="CC110" s="770"/>
      <c r="CD110" s="770"/>
      <c r="CE110" s="770"/>
      <c r="CF110" s="770"/>
      <c r="CG110" s="770"/>
      <c r="CH110" s="770"/>
      <c r="CI110" s="770"/>
      <c r="CJ110" s="770"/>
      <c r="CK110" s="770"/>
      <c r="CL110" s="770"/>
    </row>
    <row r="111" spans="1:90">
      <c r="A111" s="770"/>
      <c r="B111" s="770"/>
      <c r="C111" s="770"/>
      <c r="D111" s="770"/>
      <c r="E111" s="770"/>
      <c r="F111" s="770"/>
      <c r="G111" s="770"/>
      <c r="H111" s="770"/>
      <c r="I111" s="770"/>
      <c r="J111" s="770"/>
      <c r="K111" s="770"/>
      <c r="L111" s="771"/>
      <c r="M111" s="771"/>
      <c r="N111" s="771"/>
      <c r="O111" s="771"/>
      <c r="P111" s="771"/>
      <c r="Q111" s="771"/>
      <c r="R111" s="771"/>
      <c r="S111" s="771"/>
      <c r="T111" s="771"/>
      <c r="U111" s="771"/>
      <c r="V111" s="771"/>
      <c r="W111" s="771"/>
      <c r="X111" s="770"/>
      <c r="Y111" s="770"/>
      <c r="Z111" s="770"/>
      <c r="AA111" s="770"/>
      <c r="AB111" s="770"/>
      <c r="AC111" s="770"/>
      <c r="AD111" s="770"/>
      <c r="AE111" s="770"/>
      <c r="AF111" s="770"/>
      <c r="AG111" s="770"/>
      <c r="AH111" s="770"/>
      <c r="AI111" s="770"/>
      <c r="AJ111" s="770"/>
      <c r="AK111" s="770"/>
      <c r="AL111" s="770"/>
      <c r="AM111" s="770"/>
      <c r="AN111" s="770"/>
      <c r="AO111" s="772"/>
      <c r="AP111" s="773"/>
      <c r="AQ111" s="770"/>
      <c r="AR111" s="770"/>
      <c r="AS111" s="770"/>
      <c r="AU111" s="770"/>
      <c r="AV111" s="770"/>
      <c r="AW111" s="770"/>
      <c r="AX111" s="770"/>
      <c r="AY111" s="770"/>
      <c r="AZ111" s="770"/>
      <c r="BA111" s="770"/>
      <c r="BB111" s="770"/>
      <c r="BC111" s="770"/>
      <c r="BD111" s="770"/>
      <c r="BE111" s="770"/>
      <c r="BF111" s="770"/>
      <c r="BG111" s="770"/>
      <c r="BH111" s="770"/>
      <c r="BI111" s="770"/>
      <c r="BJ111" s="770"/>
      <c r="BK111" s="770"/>
      <c r="BL111" s="770"/>
      <c r="BM111" s="770"/>
      <c r="BN111" s="770"/>
      <c r="BO111" s="770"/>
      <c r="BP111" s="770"/>
      <c r="BQ111" s="770"/>
      <c r="BR111" s="770"/>
      <c r="BS111" s="770"/>
      <c r="BT111" s="770"/>
      <c r="BU111" s="770"/>
      <c r="BV111" s="770"/>
      <c r="BW111" s="770"/>
      <c r="BX111" s="770"/>
      <c r="BY111" s="770"/>
      <c r="BZ111" s="770"/>
      <c r="CA111" s="770"/>
      <c r="CB111" s="770"/>
      <c r="CC111" s="770"/>
      <c r="CD111" s="770"/>
      <c r="CE111" s="770"/>
      <c r="CF111" s="770"/>
      <c r="CG111" s="770"/>
      <c r="CH111" s="770"/>
      <c r="CI111" s="770"/>
      <c r="CJ111" s="770"/>
      <c r="CK111" s="770"/>
      <c r="CL111" s="770"/>
    </row>
    <row r="112" spans="1:90">
      <c r="A112" s="770"/>
      <c r="B112" s="770"/>
      <c r="C112" s="770"/>
      <c r="D112" s="770"/>
      <c r="E112" s="770"/>
      <c r="F112" s="770"/>
      <c r="G112" s="770"/>
      <c r="H112" s="770"/>
      <c r="I112" s="770"/>
      <c r="J112" s="770"/>
      <c r="K112" s="770"/>
      <c r="L112" s="771"/>
      <c r="M112" s="771"/>
      <c r="N112" s="771"/>
      <c r="O112" s="771"/>
      <c r="P112" s="771"/>
      <c r="Q112" s="771"/>
      <c r="R112" s="771"/>
      <c r="S112" s="771"/>
      <c r="T112" s="771"/>
      <c r="U112" s="771"/>
      <c r="V112" s="771"/>
      <c r="W112" s="771"/>
      <c r="X112" s="770"/>
      <c r="Y112" s="770"/>
      <c r="Z112" s="770"/>
      <c r="AA112" s="770"/>
      <c r="AB112" s="770"/>
      <c r="AC112" s="770"/>
      <c r="AD112" s="770"/>
      <c r="AE112" s="770"/>
      <c r="AF112" s="770"/>
      <c r="AG112" s="770"/>
      <c r="AH112" s="770"/>
      <c r="AI112" s="770"/>
      <c r="AJ112" s="770"/>
      <c r="AK112" s="770"/>
      <c r="AL112" s="770"/>
      <c r="AM112" s="770"/>
      <c r="AN112" s="770"/>
      <c r="AO112" s="772"/>
      <c r="AP112" s="773"/>
      <c r="AQ112" s="770"/>
      <c r="AR112" s="770"/>
      <c r="AS112" s="770"/>
      <c r="AU112" s="770"/>
      <c r="AV112" s="770"/>
      <c r="AW112" s="770"/>
      <c r="AX112" s="770"/>
      <c r="AY112" s="770"/>
      <c r="AZ112" s="770"/>
      <c r="BA112" s="770"/>
      <c r="BB112" s="770"/>
      <c r="BC112" s="770"/>
      <c r="BD112" s="770"/>
      <c r="BE112" s="770"/>
      <c r="BF112" s="770"/>
      <c r="BG112" s="770"/>
      <c r="BH112" s="770"/>
      <c r="BI112" s="770"/>
      <c r="BJ112" s="770"/>
      <c r="BK112" s="770"/>
      <c r="BL112" s="770"/>
      <c r="BM112" s="770"/>
      <c r="BN112" s="770"/>
      <c r="BO112" s="770"/>
      <c r="BP112" s="770"/>
      <c r="BQ112" s="770"/>
      <c r="BR112" s="770"/>
      <c r="BS112" s="770"/>
      <c r="BT112" s="770"/>
      <c r="BU112" s="770"/>
      <c r="BV112" s="770"/>
      <c r="BW112" s="770"/>
      <c r="BX112" s="770"/>
      <c r="BY112" s="770"/>
      <c r="BZ112" s="770"/>
      <c r="CA112" s="770"/>
      <c r="CB112" s="770"/>
      <c r="CC112" s="770"/>
      <c r="CD112" s="770"/>
      <c r="CE112" s="770"/>
      <c r="CF112" s="770"/>
      <c r="CG112" s="770"/>
      <c r="CH112" s="770"/>
      <c r="CI112" s="770"/>
      <c r="CJ112" s="770"/>
      <c r="CK112" s="770"/>
      <c r="CL112" s="770"/>
    </row>
    <row r="113" spans="1:90">
      <c r="A113" s="770"/>
      <c r="B113" s="770"/>
      <c r="C113" s="770"/>
      <c r="D113" s="770"/>
      <c r="E113" s="770"/>
      <c r="F113" s="770"/>
      <c r="G113" s="770"/>
      <c r="H113" s="770"/>
      <c r="I113" s="770"/>
      <c r="J113" s="770"/>
      <c r="K113" s="770"/>
      <c r="L113" s="771"/>
      <c r="M113" s="771"/>
      <c r="N113" s="771"/>
      <c r="O113" s="771"/>
      <c r="P113" s="771"/>
      <c r="Q113" s="771"/>
      <c r="R113" s="771"/>
      <c r="S113" s="771"/>
      <c r="T113" s="771"/>
      <c r="U113" s="771"/>
      <c r="V113" s="771"/>
      <c r="W113" s="771"/>
      <c r="X113" s="770"/>
      <c r="Y113" s="770"/>
      <c r="Z113" s="770"/>
      <c r="AA113" s="770"/>
      <c r="AB113" s="770"/>
      <c r="AC113" s="770"/>
      <c r="AD113" s="770"/>
      <c r="AE113" s="770"/>
      <c r="AF113" s="770"/>
      <c r="AG113" s="770"/>
      <c r="AH113" s="770"/>
      <c r="AI113" s="770"/>
      <c r="AJ113" s="770"/>
      <c r="AK113" s="770"/>
      <c r="AL113" s="770"/>
      <c r="AM113" s="770"/>
      <c r="AN113" s="770"/>
      <c r="AO113" s="772"/>
      <c r="AP113" s="773"/>
      <c r="AQ113" s="770"/>
      <c r="AR113" s="770"/>
      <c r="AS113" s="770"/>
      <c r="AU113" s="770"/>
      <c r="AV113" s="770"/>
      <c r="AW113" s="770"/>
      <c r="AX113" s="770"/>
      <c r="AY113" s="770"/>
      <c r="AZ113" s="770"/>
      <c r="BA113" s="770"/>
      <c r="BB113" s="770"/>
      <c r="BC113" s="770"/>
      <c r="BD113" s="770"/>
      <c r="BE113" s="770"/>
      <c r="BF113" s="770"/>
      <c r="BG113" s="770"/>
      <c r="BH113" s="770"/>
      <c r="BI113" s="770"/>
      <c r="BJ113" s="770"/>
      <c r="BK113" s="770"/>
      <c r="BL113" s="770"/>
      <c r="BM113" s="770"/>
      <c r="BN113" s="770"/>
      <c r="BO113" s="770"/>
      <c r="BP113" s="770"/>
      <c r="BQ113" s="770"/>
      <c r="BR113" s="770"/>
      <c r="BS113" s="770"/>
      <c r="BT113" s="770"/>
      <c r="BU113" s="770"/>
      <c r="BV113" s="770"/>
      <c r="BW113" s="770"/>
      <c r="BX113" s="770"/>
      <c r="BY113" s="770"/>
      <c r="BZ113" s="770"/>
      <c r="CA113" s="770"/>
      <c r="CB113" s="770"/>
      <c r="CC113" s="770"/>
      <c r="CD113" s="770"/>
      <c r="CE113" s="770"/>
      <c r="CF113" s="770"/>
      <c r="CG113" s="770"/>
      <c r="CH113" s="770"/>
      <c r="CI113" s="770"/>
      <c r="CJ113" s="770"/>
      <c r="CK113" s="770"/>
      <c r="CL113" s="770"/>
    </row>
    <row r="114" spans="1:90">
      <c r="A114" s="770"/>
      <c r="B114" s="770"/>
      <c r="C114" s="770"/>
      <c r="D114" s="770"/>
      <c r="E114" s="770"/>
      <c r="F114" s="770"/>
      <c r="G114" s="770"/>
      <c r="H114" s="770"/>
      <c r="I114" s="770"/>
      <c r="J114" s="770"/>
      <c r="K114" s="770"/>
      <c r="L114" s="771"/>
      <c r="M114" s="771"/>
      <c r="N114" s="771"/>
      <c r="O114" s="771"/>
      <c r="P114" s="771"/>
      <c r="Q114" s="771"/>
      <c r="R114" s="771"/>
      <c r="S114" s="771"/>
      <c r="T114" s="771"/>
      <c r="U114" s="771"/>
      <c r="V114" s="771"/>
      <c r="W114" s="771"/>
      <c r="X114" s="770"/>
      <c r="Y114" s="770"/>
      <c r="Z114" s="770"/>
      <c r="AA114" s="770"/>
      <c r="AB114" s="770"/>
      <c r="AC114" s="770"/>
      <c r="AD114" s="770"/>
      <c r="AE114" s="770"/>
      <c r="AF114" s="770"/>
      <c r="AG114" s="770"/>
      <c r="AH114" s="770"/>
      <c r="AI114" s="770"/>
      <c r="AJ114" s="770"/>
      <c r="AK114" s="770"/>
      <c r="AL114" s="770"/>
      <c r="AM114" s="770"/>
      <c r="AN114" s="770"/>
      <c r="AO114" s="772"/>
      <c r="AP114" s="773"/>
      <c r="AQ114" s="770"/>
      <c r="AR114" s="770"/>
      <c r="AS114" s="770"/>
      <c r="AU114" s="770"/>
      <c r="AV114" s="770"/>
      <c r="AW114" s="770"/>
      <c r="AX114" s="770"/>
      <c r="AY114" s="770"/>
      <c r="AZ114" s="770"/>
      <c r="BA114" s="770"/>
      <c r="BB114" s="770"/>
      <c r="BC114" s="770"/>
      <c r="BD114" s="770"/>
      <c r="BE114" s="770"/>
      <c r="BF114" s="770"/>
      <c r="BG114" s="770"/>
      <c r="BH114" s="770"/>
      <c r="BI114" s="770"/>
      <c r="BJ114" s="770"/>
      <c r="BK114" s="770"/>
      <c r="BL114" s="770"/>
      <c r="BM114" s="770"/>
      <c r="BN114" s="770"/>
      <c r="BO114" s="770"/>
      <c r="BP114" s="770"/>
      <c r="BQ114" s="770"/>
      <c r="BR114" s="770"/>
      <c r="BS114" s="770"/>
      <c r="BT114" s="770"/>
      <c r="BU114" s="770"/>
      <c r="BV114" s="770"/>
      <c r="BW114" s="770"/>
      <c r="BX114" s="770"/>
      <c r="BY114" s="770"/>
      <c r="BZ114" s="770"/>
      <c r="CA114" s="770"/>
      <c r="CB114" s="770"/>
      <c r="CC114" s="770"/>
      <c r="CD114" s="770"/>
      <c r="CE114" s="770"/>
      <c r="CF114" s="770"/>
      <c r="CG114" s="770"/>
      <c r="CH114" s="770"/>
      <c r="CI114" s="770"/>
      <c r="CJ114" s="770"/>
      <c r="CK114" s="770"/>
      <c r="CL114" s="770"/>
    </row>
    <row r="115" spans="1:90">
      <c r="A115" s="770"/>
      <c r="B115" s="770"/>
      <c r="C115" s="770"/>
      <c r="D115" s="770"/>
      <c r="E115" s="770"/>
      <c r="F115" s="770"/>
      <c r="G115" s="770"/>
      <c r="H115" s="770"/>
      <c r="I115" s="770"/>
      <c r="J115" s="770"/>
      <c r="K115" s="770"/>
      <c r="L115" s="771"/>
      <c r="M115" s="771"/>
      <c r="N115" s="771"/>
      <c r="O115" s="771"/>
      <c r="P115" s="771"/>
      <c r="Q115" s="771"/>
      <c r="R115" s="771"/>
      <c r="S115" s="771"/>
      <c r="T115" s="771"/>
      <c r="U115" s="771"/>
      <c r="V115" s="771"/>
      <c r="W115" s="771"/>
      <c r="X115" s="770"/>
      <c r="Y115" s="770"/>
      <c r="Z115" s="770"/>
      <c r="AA115" s="770"/>
      <c r="AB115" s="770"/>
      <c r="AC115" s="770"/>
      <c r="AD115" s="770"/>
      <c r="AE115" s="770"/>
      <c r="AF115" s="770"/>
      <c r="AG115" s="770"/>
      <c r="AH115" s="770"/>
      <c r="AI115" s="770"/>
      <c r="AJ115" s="770"/>
      <c r="AK115" s="770"/>
      <c r="AL115" s="770"/>
      <c r="AM115" s="770"/>
      <c r="AN115" s="770"/>
      <c r="AO115" s="772"/>
      <c r="AP115" s="773"/>
      <c r="AQ115" s="770"/>
      <c r="AR115" s="770"/>
      <c r="AS115" s="770"/>
      <c r="AU115" s="770"/>
      <c r="AV115" s="770"/>
      <c r="AW115" s="770"/>
      <c r="AX115" s="770"/>
      <c r="AY115" s="770"/>
      <c r="AZ115" s="770"/>
      <c r="BA115" s="770"/>
      <c r="BB115" s="770"/>
      <c r="BC115" s="770"/>
      <c r="BD115" s="770"/>
      <c r="BE115" s="770"/>
      <c r="BF115" s="770"/>
      <c r="BG115" s="770"/>
      <c r="BH115" s="770"/>
      <c r="BI115" s="770"/>
      <c r="BJ115" s="770"/>
      <c r="BK115" s="770"/>
      <c r="BL115" s="770"/>
      <c r="BM115" s="770"/>
      <c r="BN115" s="770"/>
      <c r="BO115" s="770"/>
      <c r="BP115" s="770"/>
      <c r="BQ115" s="770"/>
      <c r="BR115" s="770"/>
      <c r="BS115" s="770"/>
      <c r="BT115" s="770"/>
      <c r="BU115" s="770"/>
      <c r="BV115" s="770"/>
      <c r="BW115" s="770"/>
      <c r="BX115" s="770"/>
      <c r="BY115" s="770"/>
      <c r="BZ115" s="770"/>
      <c r="CA115" s="770"/>
      <c r="CB115" s="770"/>
      <c r="CC115" s="770"/>
      <c r="CD115" s="770"/>
      <c r="CE115" s="770"/>
      <c r="CF115" s="770"/>
      <c r="CG115" s="770"/>
      <c r="CH115" s="770"/>
      <c r="CI115" s="770"/>
      <c r="CJ115" s="770"/>
      <c r="CK115" s="770"/>
      <c r="CL115" s="770"/>
    </row>
    <row r="116" spans="1:90">
      <c r="A116" s="770"/>
      <c r="B116" s="770"/>
      <c r="C116" s="770"/>
      <c r="D116" s="770"/>
      <c r="E116" s="770"/>
      <c r="F116" s="770"/>
      <c r="G116" s="770"/>
      <c r="H116" s="770"/>
      <c r="I116" s="770"/>
      <c r="J116" s="770"/>
      <c r="K116" s="770"/>
      <c r="L116" s="771"/>
      <c r="M116" s="771"/>
      <c r="N116" s="771"/>
      <c r="O116" s="771"/>
      <c r="P116" s="771"/>
      <c r="Q116" s="771"/>
      <c r="R116" s="771"/>
      <c r="S116" s="771"/>
      <c r="T116" s="771"/>
      <c r="U116" s="771"/>
      <c r="V116" s="771"/>
      <c r="W116" s="771"/>
      <c r="X116" s="770"/>
      <c r="Y116" s="770"/>
      <c r="Z116" s="770"/>
      <c r="AA116" s="770"/>
      <c r="AB116" s="770"/>
      <c r="AC116" s="770"/>
      <c r="AD116" s="770"/>
      <c r="AE116" s="770"/>
      <c r="AF116" s="770"/>
      <c r="AG116" s="770"/>
      <c r="AH116" s="770"/>
      <c r="AI116" s="770"/>
      <c r="AJ116" s="770"/>
      <c r="AK116" s="770"/>
      <c r="AL116" s="770"/>
      <c r="AM116" s="770"/>
      <c r="AN116" s="770"/>
      <c r="AO116" s="772"/>
      <c r="AP116" s="773"/>
      <c r="AQ116" s="770"/>
      <c r="AR116" s="770"/>
      <c r="AS116" s="770"/>
      <c r="AU116" s="770"/>
      <c r="AV116" s="770"/>
      <c r="AW116" s="770"/>
      <c r="AX116" s="770"/>
      <c r="AY116" s="770"/>
      <c r="AZ116" s="770"/>
      <c r="BA116" s="770"/>
      <c r="BB116" s="770"/>
      <c r="BC116" s="770"/>
      <c r="BD116" s="770"/>
      <c r="BE116" s="770"/>
      <c r="BF116" s="770"/>
      <c r="BG116" s="770"/>
      <c r="BH116" s="770"/>
      <c r="BI116" s="770"/>
      <c r="BJ116" s="770"/>
      <c r="BK116" s="770"/>
      <c r="BL116" s="770"/>
      <c r="BM116" s="770"/>
      <c r="BN116" s="770"/>
      <c r="BO116" s="770"/>
      <c r="BP116" s="770"/>
      <c r="BQ116" s="770"/>
      <c r="BR116" s="770"/>
      <c r="BS116" s="770"/>
      <c r="BT116" s="770"/>
      <c r="BU116" s="770"/>
      <c r="BV116" s="770"/>
      <c r="BW116" s="770"/>
      <c r="BX116" s="770"/>
      <c r="BY116" s="770"/>
      <c r="BZ116" s="770"/>
      <c r="CA116" s="770"/>
      <c r="CB116" s="770"/>
      <c r="CC116" s="770"/>
      <c r="CD116" s="770"/>
      <c r="CE116" s="770"/>
      <c r="CF116" s="770"/>
      <c r="CG116" s="770"/>
      <c r="CH116" s="770"/>
      <c r="CI116" s="770"/>
      <c r="CJ116" s="770"/>
      <c r="CK116" s="770"/>
      <c r="CL116" s="770"/>
    </row>
    <row r="117" spans="1:90">
      <c r="A117" s="770"/>
      <c r="B117" s="770"/>
      <c r="C117" s="770"/>
      <c r="D117" s="770"/>
      <c r="E117" s="770"/>
      <c r="F117" s="770"/>
      <c r="G117" s="770"/>
      <c r="H117" s="770"/>
      <c r="I117" s="770"/>
      <c r="J117" s="770"/>
      <c r="K117" s="770"/>
      <c r="L117" s="771"/>
      <c r="M117" s="771"/>
      <c r="N117" s="771"/>
      <c r="O117" s="771"/>
      <c r="P117" s="771"/>
      <c r="Q117" s="771"/>
      <c r="R117" s="771"/>
      <c r="S117" s="771"/>
      <c r="T117" s="771"/>
      <c r="U117" s="771"/>
      <c r="V117" s="771"/>
      <c r="W117" s="771"/>
      <c r="X117" s="770"/>
      <c r="Y117" s="770"/>
      <c r="Z117" s="770"/>
      <c r="AA117" s="770"/>
      <c r="AB117" s="770"/>
      <c r="AC117" s="770"/>
      <c r="AD117" s="770"/>
      <c r="AE117" s="770"/>
      <c r="AF117" s="770"/>
      <c r="AG117" s="770"/>
      <c r="AH117" s="770"/>
      <c r="AI117" s="770"/>
      <c r="AJ117" s="770"/>
      <c r="AK117" s="770"/>
      <c r="AL117" s="770"/>
      <c r="AM117" s="770"/>
      <c r="AN117" s="770"/>
      <c r="AO117" s="772"/>
      <c r="AP117" s="773"/>
      <c r="AQ117" s="770"/>
      <c r="AR117" s="770"/>
      <c r="AS117" s="770"/>
      <c r="AU117" s="770"/>
      <c r="AV117" s="770"/>
      <c r="AW117" s="770"/>
      <c r="AX117" s="770"/>
      <c r="AY117" s="770"/>
      <c r="AZ117" s="770"/>
      <c r="BA117" s="770"/>
      <c r="BB117" s="770"/>
      <c r="BC117" s="770"/>
      <c r="BD117" s="770"/>
      <c r="BE117" s="770"/>
      <c r="BF117" s="770"/>
      <c r="BG117" s="770"/>
      <c r="BH117" s="770"/>
      <c r="BI117" s="770"/>
      <c r="BJ117" s="770"/>
      <c r="BK117" s="770"/>
      <c r="BL117" s="770"/>
      <c r="BM117" s="770"/>
      <c r="BN117" s="770"/>
      <c r="BO117" s="770"/>
      <c r="BP117" s="770"/>
      <c r="BQ117" s="770"/>
      <c r="BR117" s="770"/>
      <c r="BS117" s="770"/>
      <c r="BT117" s="770"/>
      <c r="BU117" s="770"/>
      <c r="BV117" s="770"/>
      <c r="BW117" s="770"/>
      <c r="BX117" s="770"/>
      <c r="BY117" s="770"/>
      <c r="BZ117" s="770"/>
      <c r="CA117" s="770"/>
      <c r="CB117" s="770"/>
      <c r="CC117" s="770"/>
      <c r="CD117" s="770"/>
      <c r="CE117" s="770"/>
      <c r="CF117" s="770"/>
      <c r="CG117" s="770"/>
      <c r="CH117" s="770"/>
      <c r="CI117" s="770"/>
      <c r="CJ117" s="770"/>
      <c r="CK117" s="770"/>
      <c r="CL117" s="770"/>
    </row>
    <row r="118" spans="1:90">
      <c r="A118" s="770"/>
      <c r="B118" s="770"/>
      <c r="C118" s="770"/>
      <c r="D118" s="770"/>
      <c r="E118" s="770"/>
      <c r="F118" s="770"/>
      <c r="G118" s="770"/>
      <c r="H118" s="770"/>
      <c r="I118" s="770"/>
      <c r="J118" s="770"/>
      <c r="K118" s="770"/>
      <c r="L118" s="771"/>
      <c r="M118" s="771"/>
      <c r="N118" s="771"/>
      <c r="O118" s="771"/>
      <c r="P118" s="771"/>
      <c r="Q118" s="771"/>
      <c r="R118" s="771"/>
      <c r="S118" s="771"/>
      <c r="T118" s="771"/>
      <c r="U118" s="771"/>
      <c r="V118" s="771"/>
      <c r="W118" s="771"/>
      <c r="X118" s="770"/>
      <c r="Y118" s="770"/>
      <c r="Z118" s="770"/>
      <c r="AA118" s="770"/>
      <c r="AB118" s="770"/>
      <c r="AC118" s="770"/>
      <c r="AD118" s="770"/>
      <c r="AE118" s="770"/>
      <c r="AF118" s="770"/>
      <c r="AG118" s="770"/>
      <c r="AH118" s="770"/>
      <c r="AI118" s="770"/>
      <c r="AJ118" s="770"/>
      <c r="AK118" s="770"/>
      <c r="AL118" s="770"/>
      <c r="AM118" s="770"/>
      <c r="AN118" s="770"/>
      <c r="AO118" s="772"/>
      <c r="AP118" s="773"/>
      <c r="AQ118" s="770"/>
      <c r="AR118" s="770"/>
      <c r="AS118" s="770"/>
      <c r="AU118" s="770"/>
      <c r="AV118" s="770"/>
      <c r="AW118" s="770"/>
      <c r="AX118" s="770"/>
      <c r="AY118" s="770"/>
      <c r="AZ118" s="770"/>
      <c r="BA118" s="770"/>
      <c r="BB118" s="770"/>
      <c r="BC118" s="770"/>
      <c r="BD118" s="770"/>
      <c r="BE118" s="770"/>
      <c r="BF118" s="770"/>
      <c r="BG118" s="770"/>
      <c r="BH118" s="770"/>
      <c r="BI118" s="770"/>
      <c r="BJ118" s="770"/>
      <c r="BK118" s="770"/>
      <c r="BL118" s="770"/>
      <c r="BM118" s="770"/>
      <c r="BN118" s="770"/>
      <c r="BO118" s="770"/>
      <c r="BP118" s="770"/>
      <c r="BQ118" s="770"/>
      <c r="BR118" s="770"/>
      <c r="BS118" s="770"/>
      <c r="BT118" s="770"/>
      <c r="BU118" s="770"/>
      <c r="BV118" s="770"/>
      <c r="BW118" s="770"/>
      <c r="BX118" s="770"/>
      <c r="BY118" s="770"/>
      <c r="BZ118" s="770"/>
      <c r="CA118" s="770"/>
      <c r="CB118" s="770"/>
      <c r="CC118" s="770"/>
      <c r="CD118" s="770"/>
      <c r="CE118" s="770"/>
      <c r="CF118" s="770"/>
      <c r="CG118" s="770"/>
      <c r="CH118" s="770"/>
      <c r="CI118" s="770"/>
      <c r="CJ118" s="770"/>
      <c r="CK118" s="770"/>
      <c r="CL118" s="770"/>
    </row>
    <row r="119" spans="1:90">
      <c r="A119" s="770"/>
      <c r="B119" s="770"/>
      <c r="C119" s="770"/>
      <c r="D119" s="770"/>
      <c r="E119" s="770"/>
      <c r="F119" s="770"/>
      <c r="G119" s="770"/>
      <c r="H119" s="770"/>
      <c r="I119" s="770"/>
      <c r="J119" s="770"/>
      <c r="K119" s="770"/>
      <c r="L119" s="771"/>
      <c r="M119" s="771"/>
      <c r="N119" s="771"/>
      <c r="O119" s="771"/>
      <c r="P119" s="771"/>
      <c r="Q119" s="771"/>
      <c r="R119" s="771"/>
      <c r="S119" s="771"/>
      <c r="T119" s="771"/>
      <c r="U119" s="771"/>
      <c r="V119" s="771"/>
      <c r="W119" s="771"/>
      <c r="X119" s="770"/>
      <c r="Y119" s="770"/>
      <c r="Z119" s="770"/>
      <c r="AA119" s="770"/>
      <c r="AB119" s="770"/>
      <c r="AC119" s="770"/>
      <c r="AD119" s="770"/>
      <c r="AE119" s="770"/>
      <c r="AF119" s="770"/>
      <c r="AG119" s="770"/>
      <c r="AH119" s="770"/>
      <c r="AI119" s="770"/>
      <c r="AJ119" s="770"/>
      <c r="AK119" s="770"/>
      <c r="AL119" s="770"/>
      <c r="AM119" s="770"/>
      <c r="AN119" s="770"/>
      <c r="AO119" s="772"/>
      <c r="AP119" s="773"/>
      <c r="AQ119" s="770"/>
      <c r="AR119" s="770"/>
      <c r="AS119" s="770"/>
      <c r="AU119" s="770"/>
      <c r="AV119" s="770"/>
      <c r="AW119" s="770"/>
      <c r="AX119" s="770"/>
      <c r="AY119" s="770"/>
      <c r="AZ119" s="770"/>
      <c r="BA119" s="770"/>
      <c r="BB119" s="770"/>
      <c r="BC119" s="770"/>
      <c r="BD119" s="770"/>
      <c r="BE119" s="770"/>
      <c r="BF119" s="770"/>
      <c r="BG119" s="770"/>
      <c r="BH119" s="770"/>
      <c r="BI119" s="770"/>
      <c r="BJ119" s="770"/>
      <c r="BK119" s="770"/>
      <c r="BL119" s="770"/>
      <c r="BM119" s="770"/>
      <c r="BN119" s="770"/>
      <c r="BO119" s="770"/>
      <c r="BP119" s="770"/>
      <c r="BQ119" s="770"/>
      <c r="BR119" s="770"/>
      <c r="BS119" s="770"/>
      <c r="BT119" s="770"/>
      <c r="BU119" s="770"/>
      <c r="BV119" s="770"/>
      <c r="BW119" s="770"/>
      <c r="BX119" s="770"/>
      <c r="BY119" s="770"/>
      <c r="BZ119" s="770"/>
      <c r="CA119" s="770"/>
      <c r="CB119" s="770"/>
      <c r="CC119" s="770"/>
      <c r="CD119" s="770"/>
      <c r="CE119" s="770"/>
      <c r="CF119" s="770"/>
      <c r="CG119" s="770"/>
      <c r="CH119" s="770"/>
      <c r="CI119" s="770"/>
      <c r="CJ119" s="770"/>
      <c r="CK119" s="770"/>
      <c r="CL119" s="770"/>
    </row>
    <row r="120" spans="1:90">
      <c r="A120" s="770"/>
      <c r="B120" s="770"/>
      <c r="C120" s="770"/>
      <c r="D120" s="770"/>
      <c r="E120" s="770"/>
      <c r="F120" s="770"/>
      <c r="G120" s="770"/>
      <c r="H120" s="770"/>
      <c r="I120" s="770"/>
      <c r="J120" s="770"/>
      <c r="K120" s="770"/>
      <c r="L120" s="771"/>
      <c r="M120" s="771"/>
      <c r="N120" s="771"/>
      <c r="O120" s="771"/>
      <c r="P120" s="771"/>
      <c r="Q120" s="771"/>
      <c r="R120" s="771"/>
      <c r="S120" s="771"/>
      <c r="T120" s="771"/>
      <c r="U120" s="771"/>
      <c r="V120" s="771"/>
      <c r="W120" s="771"/>
      <c r="X120" s="770"/>
      <c r="Y120" s="770"/>
      <c r="Z120" s="770"/>
      <c r="AA120" s="770"/>
      <c r="AB120" s="770"/>
      <c r="AC120" s="770"/>
      <c r="AD120" s="770"/>
      <c r="AE120" s="770"/>
      <c r="AF120" s="770"/>
      <c r="AG120" s="770"/>
      <c r="AH120" s="770"/>
      <c r="AI120" s="770"/>
      <c r="AJ120" s="770"/>
      <c r="AK120" s="770"/>
      <c r="AL120" s="770"/>
      <c r="AM120" s="770"/>
      <c r="AN120" s="770"/>
      <c r="AO120" s="772"/>
      <c r="AP120" s="773"/>
      <c r="AQ120" s="770"/>
      <c r="AR120" s="770"/>
      <c r="AS120" s="770"/>
      <c r="AU120" s="770"/>
      <c r="AV120" s="770"/>
      <c r="AW120" s="770"/>
      <c r="AX120" s="770"/>
      <c r="AY120" s="770"/>
      <c r="AZ120" s="770"/>
      <c r="BA120" s="770"/>
      <c r="BB120" s="770"/>
      <c r="BC120" s="770"/>
      <c r="BD120" s="770"/>
      <c r="BE120" s="770"/>
      <c r="BF120" s="770"/>
      <c r="BG120" s="770"/>
      <c r="BH120" s="770"/>
      <c r="BI120" s="770"/>
      <c r="BJ120" s="770"/>
      <c r="BK120" s="770"/>
      <c r="BL120" s="770"/>
      <c r="BM120" s="770"/>
      <c r="BN120" s="770"/>
      <c r="BO120" s="770"/>
      <c r="BP120" s="770"/>
      <c r="BQ120" s="770"/>
      <c r="BR120" s="770"/>
      <c r="BS120" s="770"/>
      <c r="BT120" s="770"/>
      <c r="BU120" s="770"/>
      <c r="BV120" s="770"/>
      <c r="BW120" s="770"/>
      <c r="BX120" s="770"/>
      <c r="BY120" s="770"/>
      <c r="BZ120" s="770"/>
      <c r="CA120" s="770"/>
      <c r="CB120" s="770"/>
      <c r="CC120" s="770"/>
      <c r="CD120" s="770"/>
      <c r="CE120" s="770"/>
      <c r="CF120" s="770"/>
      <c r="CG120" s="770"/>
      <c r="CH120" s="770"/>
      <c r="CI120" s="770"/>
      <c r="CJ120" s="770"/>
      <c r="CK120" s="770"/>
      <c r="CL120" s="770"/>
    </row>
    <row r="121" spans="1:90">
      <c r="A121" s="770"/>
      <c r="B121" s="770"/>
      <c r="C121" s="770"/>
      <c r="D121" s="770"/>
      <c r="E121" s="770"/>
      <c r="F121" s="770"/>
      <c r="G121" s="770"/>
      <c r="H121" s="770"/>
      <c r="I121" s="770"/>
      <c r="J121" s="770"/>
      <c r="K121" s="770"/>
      <c r="L121" s="771"/>
      <c r="M121" s="771"/>
      <c r="N121" s="771"/>
      <c r="O121" s="771"/>
      <c r="P121" s="771"/>
      <c r="Q121" s="771"/>
      <c r="R121" s="771"/>
      <c r="S121" s="771"/>
      <c r="T121" s="771"/>
      <c r="U121" s="771"/>
      <c r="V121" s="771"/>
      <c r="W121" s="771"/>
      <c r="X121" s="770"/>
      <c r="Y121" s="770"/>
      <c r="Z121" s="770"/>
      <c r="AA121" s="770"/>
      <c r="AB121" s="770"/>
      <c r="AC121" s="770"/>
      <c r="AD121" s="770"/>
      <c r="AE121" s="770"/>
      <c r="AF121" s="770"/>
      <c r="AG121" s="770"/>
      <c r="AH121" s="770"/>
      <c r="AI121" s="770"/>
      <c r="AJ121" s="770"/>
      <c r="AK121" s="770"/>
      <c r="AL121" s="770"/>
      <c r="AM121" s="770"/>
      <c r="AN121" s="770"/>
      <c r="AO121" s="772"/>
      <c r="AP121" s="773"/>
      <c r="AQ121" s="770"/>
      <c r="AR121" s="770"/>
      <c r="AS121" s="770"/>
      <c r="AU121" s="770"/>
      <c r="AV121" s="770"/>
      <c r="AW121" s="770"/>
      <c r="AX121" s="770"/>
      <c r="AY121" s="770"/>
      <c r="AZ121" s="770"/>
      <c r="BA121" s="770"/>
      <c r="BB121" s="770"/>
      <c r="BC121" s="770"/>
      <c r="BD121" s="770"/>
      <c r="BE121" s="770"/>
      <c r="BF121" s="770"/>
      <c r="BG121" s="770"/>
      <c r="BH121" s="770"/>
      <c r="BI121" s="770"/>
      <c r="BJ121" s="770"/>
      <c r="BK121" s="770"/>
      <c r="BL121" s="770"/>
      <c r="BM121" s="770"/>
      <c r="BN121" s="770"/>
      <c r="BO121" s="770"/>
      <c r="BP121" s="770"/>
      <c r="BQ121" s="770"/>
      <c r="BR121" s="770"/>
      <c r="BS121" s="770"/>
      <c r="BT121" s="770"/>
      <c r="BU121" s="770"/>
      <c r="BV121" s="770"/>
      <c r="BW121" s="770"/>
      <c r="BX121" s="770"/>
      <c r="BY121" s="770"/>
      <c r="BZ121" s="770"/>
      <c r="CA121" s="770"/>
      <c r="CB121" s="770"/>
      <c r="CC121" s="770"/>
      <c r="CD121" s="770"/>
      <c r="CE121" s="770"/>
      <c r="CF121" s="770"/>
      <c r="CG121" s="770"/>
      <c r="CH121" s="770"/>
      <c r="CI121" s="770"/>
      <c r="CJ121" s="770"/>
      <c r="CK121" s="770"/>
      <c r="CL121" s="770"/>
    </row>
    <row r="122" spans="1:90">
      <c r="A122" s="770"/>
      <c r="B122" s="770"/>
      <c r="C122" s="770"/>
      <c r="D122" s="770"/>
      <c r="E122" s="770"/>
      <c r="F122" s="770"/>
      <c r="G122" s="770"/>
      <c r="H122" s="770"/>
      <c r="I122" s="770"/>
      <c r="J122" s="770"/>
      <c r="K122" s="770"/>
      <c r="L122" s="771"/>
      <c r="M122" s="771"/>
      <c r="N122" s="771"/>
      <c r="O122" s="771"/>
      <c r="P122" s="771"/>
      <c r="Q122" s="771"/>
      <c r="R122" s="771"/>
      <c r="S122" s="771"/>
      <c r="T122" s="771"/>
      <c r="U122" s="771"/>
      <c r="V122" s="771"/>
      <c r="W122" s="771"/>
      <c r="X122" s="770"/>
      <c r="Y122" s="770"/>
      <c r="Z122" s="770"/>
      <c r="AA122" s="770"/>
      <c r="AB122" s="770"/>
      <c r="AC122" s="770"/>
      <c r="AD122" s="770"/>
      <c r="AE122" s="770"/>
      <c r="AF122" s="770"/>
      <c r="AG122" s="770"/>
      <c r="AH122" s="770"/>
      <c r="AI122" s="770"/>
      <c r="AJ122" s="770"/>
      <c r="AK122" s="770"/>
      <c r="AL122" s="770"/>
      <c r="AM122" s="770"/>
      <c r="AN122" s="770"/>
      <c r="AO122" s="772"/>
      <c r="AP122" s="773"/>
      <c r="AQ122" s="770"/>
      <c r="AR122" s="770"/>
      <c r="AS122" s="770"/>
      <c r="AU122" s="770"/>
      <c r="AV122" s="770"/>
      <c r="AW122" s="770"/>
      <c r="AX122" s="770"/>
      <c r="AY122" s="770"/>
      <c r="AZ122" s="770"/>
      <c r="BA122" s="770"/>
      <c r="BB122" s="770"/>
      <c r="BC122" s="770"/>
      <c r="BD122" s="770"/>
      <c r="BE122" s="770"/>
      <c r="BF122" s="770"/>
      <c r="BG122" s="770"/>
      <c r="BH122" s="770"/>
      <c r="BI122" s="770"/>
      <c r="BJ122" s="770"/>
      <c r="BK122" s="770"/>
      <c r="BL122" s="770"/>
      <c r="BM122" s="770"/>
      <c r="BN122" s="770"/>
      <c r="BO122" s="770"/>
      <c r="BP122" s="770"/>
      <c r="BQ122" s="770"/>
      <c r="BR122" s="770"/>
      <c r="BS122" s="770"/>
      <c r="BT122" s="770"/>
      <c r="BU122" s="770"/>
      <c r="BV122" s="770"/>
      <c r="BW122" s="770"/>
      <c r="BX122" s="770"/>
      <c r="BY122" s="770"/>
      <c r="BZ122" s="770"/>
      <c r="CA122" s="770"/>
      <c r="CB122" s="770"/>
      <c r="CC122" s="770"/>
      <c r="CD122" s="770"/>
      <c r="CE122" s="770"/>
      <c r="CF122" s="770"/>
      <c r="CG122" s="770"/>
      <c r="CH122" s="770"/>
      <c r="CI122" s="770"/>
      <c r="CJ122" s="770"/>
      <c r="CK122" s="770"/>
      <c r="CL122" s="770"/>
    </row>
    <row r="123" spans="1:90">
      <c r="A123" s="770"/>
      <c r="B123" s="770"/>
      <c r="C123" s="770"/>
      <c r="D123" s="770"/>
      <c r="E123" s="770"/>
      <c r="F123" s="770"/>
      <c r="G123" s="770"/>
      <c r="H123" s="770"/>
      <c r="I123" s="770"/>
      <c r="J123" s="770"/>
      <c r="K123" s="770"/>
      <c r="L123" s="771"/>
      <c r="M123" s="771"/>
      <c r="N123" s="771"/>
      <c r="O123" s="771"/>
      <c r="P123" s="771"/>
      <c r="Q123" s="771"/>
      <c r="R123" s="771"/>
      <c r="S123" s="771"/>
      <c r="T123" s="771"/>
      <c r="U123" s="771"/>
      <c r="V123" s="771"/>
      <c r="W123" s="771"/>
      <c r="X123" s="770"/>
      <c r="Y123" s="770"/>
      <c r="Z123" s="770"/>
      <c r="AA123" s="770"/>
      <c r="AB123" s="770"/>
      <c r="AC123" s="770"/>
      <c r="AD123" s="770"/>
      <c r="AE123" s="770"/>
      <c r="AF123" s="770"/>
      <c r="AG123" s="770"/>
      <c r="AH123" s="770"/>
      <c r="AI123" s="770"/>
      <c r="AJ123" s="770"/>
      <c r="AK123" s="770"/>
      <c r="AL123" s="770"/>
      <c r="AM123" s="770"/>
      <c r="AN123" s="770"/>
      <c r="AO123" s="772"/>
      <c r="AP123" s="773"/>
      <c r="AQ123" s="770"/>
      <c r="AR123" s="770"/>
      <c r="AS123" s="770"/>
      <c r="AU123" s="770"/>
      <c r="AV123" s="770"/>
      <c r="AW123" s="770"/>
      <c r="AX123" s="770"/>
      <c r="AY123" s="770"/>
      <c r="AZ123" s="770"/>
      <c r="BA123" s="770"/>
      <c r="BB123" s="770"/>
      <c r="BC123" s="770"/>
      <c r="BD123" s="770"/>
      <c r="BE123" s="770"/>
      <c r="BF123" s="770"/>
      <c r="BG123" s="770"/>
      <c r="BH123" s="770"/>
      <c r="BI123" s="770"/>
      <c r="BJ123" s="770"/>
      <c r="BK123" s="770"/>
      <c r="BL123" s="770"/>
      <c r="BM123" s="770"/>
      <c r="BN123" s="770"/>
      <c r="BO123" s="770"/>
      <c r="BP123" s="770"/>
      <c r="BQ123" s="770"/>
      <c r="BR123" s="770"/>
      <c r="BS123" s="770"/>
      <c r="BT123" s="770"/>
      <c r="BU123" s="770"/>
      <c r="BV123" s="770"/>
      <c r="BW123" s="770"/>
      <c r="BX123" s="770"/>
      <c r="BY123" s="770"/>
      <c r="BZ123" s="770"/>
      <c r="CA123" s="770"/>
      <c r="CB123" s="770"/>
      <c r="CC123" s="770"/>
      <c r="CD123" s="770"/>
      <c r="CE123" s="770"/>
      <c r="CF123" s="770"/>
      <c r="CG123" s="770"/>
      <c r="CH123" s="770"/>
      <c r="CI123" s="770"/>
      <c r="CJ123" s="770"/>
      <c r="CK123" s="770"/>
      <c r="CL123" s="770"/>
    </row>
    <row r="124" spans="1:90">
      <c r="A124" s="770"/>
      <c r="B124" s="770"/>
      <c r="C124" s="770"/>
      <c r="D124" s="770"/>
      <c r="E124" s="770"/>
      <c r="F124" s="770"/>
      <c r="G124" s="770"/>
      <c r="H124" s="770"/>
      <c r="I124" s="770"/>
      <c r="J124" s="770"/>
      <c r="K124" s="770"/>
      <c r="L124" s="771"/>
      <c r="M124" s="771"/>
      <c r="N124" s="771"/>
      <c r="O124" s="771"/>
      <c r="P124" s="771"/>
      <c r="Q124" s="771"/>
      <c r="R124" s="771"/>
      <c r="S124" s="771"/>
      <c r="T124" s="771"/>
      <c r="U124" s="771"/>
      <c r="V124" s="771"/>
      <c r="W124" s="771"/>
      <c r="X124" s="770"/>
      <c r="Y124" s="770"/>
      <c r="Z124" s="770"/>
      <c r="AA124" s="770"/>
      <c r="AB124" s="770"/>
      <c r="AC124" s="770"/>
      <c r="AD124" s="770"/>
      <c r="AE124" s="770"/>
      <c r="AF124" s="770"/>
      <c r="AG124" s="770"/>
      <c r="AH124" s="770"/>
      <c r="AI124" s="770"/>
      <c r="AJ124" s="770"/>
      <c r="AK124" s="770"/>
      <c r="AL124" s="770"/>
      <c r="AM124" s="770"/>
      <c r="AN124" s="770"/>
      <c r="AO124" s="772"/>
      <c r="AP124" s="773"/>
      <c r="AQ124" s="770"/>
      <c r="AR124" s="770"/>
      <c r="AS124" s="770"/>
      <c r="AU124" s="770"/>
      <c r="AV124" s="770"/>
      <c r="AW124" s="770"/>
      <c r="AX124" s="770"/>
      <c r="AY124" s="770"/>
      <c r="AZ124" s="770"/>
      <c r="BA124" s="770"/>
      <c r="BB124" s="770"/>
      <c r="BC124" s="770"/>
      <c r="BD124" s="770"/>
      <c r="BE124" s="770"/>
      <c r="BF124" s="770"/>
      <c r="BG124" s="770"/>
      <c r="BH124" s="770"/>
      <c r="BI124" s="770"/>
      <c r="BJ124" s="770"/>
      <c r="BK124" s="770"/>
      <c r="BL124" s="770"/>
      <c r="BM124" s="770"/>
      <c r="BN124" s="770"/>
      <c r="BO124" s="770"/>
      <c r="BP124" s="770"/>
      <c r="BQ124" s="770"/>
      <c r="BR124" s="770"/>
      <c r="BS124" s="770"/>
      <c r="BT124" s="770"/>
      <c r="BU124" s="770"/>
      <c r="BV124" s="770"/>
      <c r="BW124" s="770"/>
      <c r="BX124" s="770"/>
      <c r="BY124" s="770"/>
      <c r="BZ124" s="770"/>
      <c r="CA124" s="770"/>
      <c r="CB124" s="770"/>
      <c r="CC124" s="770"/>
      <c r="CD124" s="770"/>
      <c r="CE124" s="770"/>
      <c r="CF124" s="770"/>
      <c r="CG124" s="770"/>
      <c r="CH124" s="770"/>
      <c r="CI124" s="770"/>
      <c r="CJ124" s="770"/>
      <c r="CK124" s="770"/>
      <c r="CL124" s="770"/>
    </row>
    <row r="125" spans="1:90">
      <c r="A125" s="770"/>
      <c r="B125" s="770"/>
      <c r="C125" s="770"/>
      <c r="D125" s="770"/>
      <c r="E125" s="770"/>
      <c r="F125" s="770"/>
      <c r="G125" s="770"/>
      <c r="H125" s="770"/>
      <c r="I125" s="770"/>
      <c r="J125" s="770"/>
      <c r="K125" s="770"/>
      <c r="L125" s="771"/>
      <c r="M125" s="771"/>
      <c r="N125" s="771"/>
      <c r="O125" s="771"/>
      <c r="P125" s="771"/>
      <c r="Q125" s="771"/>
      <c r="R125" s="771"/>
      <c r="S125" s="771"/>
      <c r="T125" s="771"/>
      <c r="U125" s="771"/>
      <c r="V125" s="771"/>
      <c r="W125" s="771"/>
      <c r="X125" s="770"/>
      <c r="Y125" s="770"/>
      <c r="Z125" s="770"/>
      <c r="AA125" s="770"/>
      <c r="AB125" s="770"/>
      <c r="AC125" s="770"/>
      <c r="AD125" s="770"/>
      <c r="AE125" s="770"/>
      <c r="AF125" s="770"/>
      <c r="AG125" s="770"/>
      <c r="AH125" s="770"/>
      <c r="AI125" s="770"/>
      <c r="AJ125" s="770"/>
      <c r="AK125" s="770"/>
      <c r="AL125" s="770"/>
      <c r="AM125" s="770"/>
      <c r="AN125" s="770"/>
      <c r="AO125" s="772"/>
      <c r="AP125" s="773"/>
      <c r="AQ125" s="770"/>
      <c r="AR125" s="770"/>
      <c r="AS125" s="770"/>
      <c r="AU125" s="770"/>
      <c r="AV125" s="770"/>
      <c r="AW125" s="770"/>
      <c r="AX125" s="770"/>
      <c r="AY125" s="770"/>
      <c r="AZ125" s="770"/>
      <c r="BA125" s="770"/>
      <c r="BB125" s="770"/>
      <c r="BC125" s="770"/>
      <c r="BD125" s="770"/>
      <c r="BE125" s="770"/>
      <c r="BF125" s="770"/>
      <c r="BG125" s="770"/>
      <c r="BH125" s="770"/>
      <c r="BI125" s="770"/>
      <c r="BJ125" s="770"/>
      <c r="BK125" s="770"/>
      <c r="BL125" s="770"/>
      <c r="BM125" s="770"/>
      <c r="BN125" s="770"/>
      <c r="BO125" s="770"/>
      <c r="BP125" s="770"/>
      <c r="BQ125" s="770"/>
      <c r="BR125" s="770"/>
      <c r="BS125" s="770"/>
      <c r="BT125" s="770"/>
      <c r="BU125" s="770"/>
      <c r="BV125" s="770"/>
      <c r="BW125" s="770"/>
      <c r="BX125" s="770"/>
      <c r="BY125" s="770"/>
      <c r="BZ125" s="770"/>
      <c r="CA125" s="770"/>
      <c r="CB125" s="770"/>
      <c r="CC125" s="770"/>
      <c r="CD125" s="770"/>
      <c r="CE125" s="770"/>
      <c r="CF125" s="770"/>
      <c r="CG125" s="770"/>
      <c r="CH125" s="770"/>
      <c r="CI125" s="770"/>
      <c r="CJ125" s="770"/>
      <c r="CK125" s="770"/>
      <c r="CL125" s="770"/>
    </row>
    <row r="126" spans="1:90">
      <c r="A126" s="770"/>
      <c r="B126" s="770"/>
      <c r="C126" s="770"/>
      <c r="D126" s="770"/>
      <c r="E126" s="770"/>
      <c r="F126" s="770"/>
      <c r="G126" s="770"/>
      <c r="H126" s="770"/>
      <c r="I126" s="770"/>
      <c r="J126" s="770"/>
      <c r="K126" s="770"/>
      <c r="L126" s="771"/>
      <c r="M126" s="771"/>
      <c r="N126" s="771"/>
      <c r="O126" s="771"/>
      <c r="P126" s="771"/>
      <c r="Q126" s="771"/>
      <c r="R126" s="771"/>
      <c r="S126" s="771"/>
      <c r="T126" s="771"/>
      <c r="U126" s="771"/>
      <c r="V126" s="771"/>
      <c r="W126" s="771"/>
      <c r="X126" s="770"/>
      <c r="Y126" s="770"/>
      <c r="Z126" s="770"/>
      <c r="AA126" s="770"/>
      <c r="AB126" s="770"/>
      <c r="AC126" s="770"/>
      <c r="AD126" s="770"/>
      <c r="AE126" s="770"/>
      <c r="AF126" s="770"/>
      <c r="AG126" s="770"/>
      <c r="AH126" s="770"/>
      <c r="AI126" s="770"/>
      <c r="AJ126" s="770"/>
      <c r="AK126" s="770"/>
      <c r="AL126" s="770"/>
      <c r="AM126" s="770"/>
      <c r="AN126" s="770"/>
      <c r="AO126" s="772"/>
      <c r="AP126" s="773"/>
      <c r="AQ126" s="770"/>
      <c r="AR126" s="770"/>
      <c r="AS126" s="770"/>
      <c r="AU126" s="770"/>
      <c r="AV126" s="770"/>
      <c r="AW126" s="770"/>
      <c r="AX126" s="770"/>
      <c r="AY126" s="770"/>
      <c r="AZ126" s="770"/>
      <c r="BA126" s="770"/>
      <c r="BB126" s="770"/>
      <c r="BC126" s="770"/>
      <c r="BD126" s="770"/>
      <c r="BE126" s="770"/>
      <c r="BF126" s="770"/>
      <c r="BG126" s="770"/>
      <c r="BH126" s="770"/>
      <c r="BI126" s="770"/>
      <c r="BJ126" s="770"/>
      <c r="BK126" s="770"/>
      <c r="BL126" s="770"/>
      <c r="BM126" s="770"/>
      <c r="BN126" s="770"/>
      <c r="BO126" s="770"/>
      <c r="BP126" s="770"/>
      <c r="BQ126" s="770"/>
      <c r="BR126" s="770"/>
      <c r="BS126" s="770"/>
      <c r="BT126" s="770"/>
      <c r="BU126" s="770"/>
      <c r="BV126" s="770"/>
      <c r="BW126" s="770"/>
      <c r="BX126" s="770"/>
      <c r="BY126" s="770"/>
      <c r="BZ126" s="770"/>
      <c r="CA126" s="770"/>
      <c r="CB126" s="770"/>
      <c r="CC126" s="770"/>
      <c r="CD126" s="770"/>
      <c r="CE126" s="770"/>
      <c r="CF126" s="770"/>
      <c r="CG126" s="770"/>
      <c r="CH126" s="770"/>
      <c r="CI126" s="770"/>
      <c r="CJ126" s="770"/>
      <c r="CK126" s="770"/>
      <c r="CL126" s="770"/>
    </row>
    <row r="127" spans="1:90">
      <c r="A127" s="770"/>
      <c r="B127" s="770"/>
      <c r="C127" s="770"/>
      <c r="D127" s="770"/>
      <c r="E127" s="770"/>
      <c r="F127" s="770"/>
      <c r="G127" s="770"/>
      <c r="H127" s="770"/>
      <c r="I127" s="770"/>
      <c r="J127" s="770"/>
      <c r="K127" s="770"/>
      <c r="L127" s="771"/>
      <c r="M127" s="771"/>
      <c r="N127" s="771"/>
      <c r="O127" s="771"/>
      <c r="P127" s="771"/>
      <c r="Q127" s="771"/>
      <c r="R127" s="771"/>
      <c r="S127" s="771"/>
      <c r="T127" s="771"/>
      <c r="U127" s="771"/>
      <c r="V127" s="771"/>
      <c r="W127" s="771"/>
      <c r="X127" s="770"/>
      <c r="Y127" s="770"/>
      <c r="Z127" s="770"/>
      <c r="AA127" s="770"/>
      <c r="AB127" s="770"/>
      <c r="AC127" s="770"/>
      <c r="AD127" s="770"/>
      <c r="AE127" s="770"/>
      <c r="AF127" s="770"/>
      <c r="AG127" s="770"/>
      <c r="AH127" s="770"/>
      <c r="AI127" s="770"/>
      <c r="AJ127" s="770"/>
      <c r="AK127" s="770"/>
      <c r="AL127" s="770"/>
      <c r="AM127" s="770"/>
      <c r="AN127" s="770"/>
      <c r="AO127" s="772"/>
      <c r="AP127" s="773"/>
      <c r="AQ127" s="770"/>
      <c r="AR127" s="770"/>
      <c r="AS127" s="770"/>
      <c r="AU127" s="770"/>
      <c r="AV127" s="770"/>
      <c r="AW127" s="770"/>
      <c r="AX127" s="770"/>
      <c r="AY127" s="770"/>
      <c r="AZ127" s="770"/>
      <c r="BA127" s="770"/>
      <c r="BB127" s="770"/>
      <c r="BC127" s="770"/>
      <c r="BD127" s="770"/>
      <c r="BE127" s="770"/>
      <c r="BF127" s="770"/>
      <c r="BG127" s="770"/>
      <c r="BH127" s="770"/>
      <c r="BI127" s="770"/>
      <c r="BJ127" s="770"/>
      <c r="BK127" s="770"/>
      <c r="BL127" s="770"/>
      <c r="BM127" s="770"/>
      <c r="BN127" s="770"/>
      <c r="BO127" s="770"/>
      <c r="BP127" s="770"/>
      <c r="BQ127" s="770"/>
      <c r="BR127" s="770"/>
      <c r="BS127" s="770"/>
      <c r="BT127" s="770"/>
      <c r="BU127" s="770"/>
      <c r="BV127" s="770"/>
      <c r="BW127" s="770"/>
      <c r="BX127" s="770"/>
      <c r="BY127" s="770"/>
      <c r="BZ127" s="770"/>
      <c r="CA127" s="770"/>
      <c r="CB127" s="770"/>
      <c r="CC127" s="770"/>
      <c r="CD127" s="770"/>
      <c r="CE127" s="770"/>
      <c r="CF127" s="770"/>
      <c r="CG127" s="770"/>
      <c r="CH127" s="770"/>
      <c r="CI127" s="770"/>
      <c r="CJ127" s="770"/>
      <c r="CK127" s="770"/>
      <c r="CL127" s="770"/>
    </row>
    <row r="128" spans="1:90">
      <c r="A128" s="770"/>
      <c r="B128" s="770"/>
      <c r="C128" s="770"/>
      <c r="D128" s="770"/>
      <c r="E128" s="770"/>
      <c r="F128" s="770"/>
      <c r="G128" s="770"/>
      <c r="H128" s="770"/>
      <c r="I128" s="770"/>
      <c r="J128" s="770"/>
      <c r="K128" s="770"/>
      <c r="L128" s="771"/>
      <c r="M128" s="771"/>
      <c r="N128" s="771"/>
      <c r="O128" s="771"/>
      <c r="P128" s="771"/>
      <c r="Q128" s="771"/>
      <c r="R128" s="771"/>
      <c r="S128" s="771"/>
      <c r="T128" s="771"/>
      <c r="U128" s="771"/>
      <c r="V128" s="771"/>
      <c r="W128" s="771"/>
      <c r="X128" s="770"/>
      <c r="Y128" s="770"/>
      <c r="Z128" s="770"/>
      <c r="AA128" s="770"/>
      <c r="AB128" s="770"/>
      <c r="AC128" s="770"/>
      <c r="AD128" s="770"/>
      <c r="AE128" s="770"/>
      <c r="AF128" s="770"/>
      <c r="AG128" s="770"/>
      <c r="AH128" s="770"/>
      <c r="AI128" s="770"/>
      <c r="AJ128" s="770"/>
      <c r="AK128" s="770"/>
      <c r="AL128" s="770"/>
      <c r="AM128" s="770"/>
      <c r="AN128" s="770"/>
      <c r="AO128" s="772"/>
      <c r="AP128" s="773"/>
      <c r="AQ128" s="770"/>
      <c r="AR128" s="770"/>
      <c r="AS128" s="770"/>
      <c r="AU128" s="770"/>
      <c r="AV128" s="770"/>
      <c r="AW128" s="770"/>
      <c r="AX128" s="770"/>
      <c r="AY128" s="770"/>
      <c r="AZ128" s="770"/>
      <c r="BA128" s="770"/>
      <c r="BB128" s="770"/>
      <c r="BC128" s="770"/>
      <c r="BD128" s="770"/>
      <c r="BE128" s="770"/>
      <c r="BF128" s="770"/>
      <c r="BG128" s="770"/>
      <c r="BH128" s="770"/>
      <c r="BI128" s="770"/>
      <c r="BJ128" s="770"/>
      <c r="BK128" s="770"/>
      <c r="BL128" s="770"/>
      <c r="BM128" s="770"/>
      <c r="BN128" s="770"/>
      <c r="BO128" s="770"/>
      <c r="BP128" s="770"/>
      <c r="BQ128" s="770"/>
      <c r="BR128" s="770"/>
      <c r="BS128" s="770"/>
      <c r="BT128" s="770"/>
      <c r="BU128" s="770"/>
      <c r="BV128" s="770"/>
      <c r="BW128" s="770"/>
      <c r="BX128" s="770"/>
      <c r="BY128" s="770"/>
      <c r="BZ128" s="770"/>
      <c r="CA128" s="770"/>
      <c r="CB128" s="770"/>
      <c r="CC128" s="770"/>
      <c r="CD128" s="770"/>
      <c r="CE128" s="770"/>
      <c r="CF128" s="770"/>
      <c r="CG128" s="770"/>
      <c r="CH128" s="770"/>
      <c r="CI128" s="770"/>
      <c r="CJ128" s="770"/>
      <c r="CK128" s="770"/>
      <c r="CL128" s="770"/>
    </row>
    <row r="129" spans="1:90">
      <c r="A129" s="770"/>
      <c r="B129" s="770"/>
      <c r="C129" s="770"/>
      <c r="D129" s="770"/>
      <c r="E129" s="770"/>
      <c r="F129" s="770"/>
      <c r="G129" s="770"/>
      <c r="H129" s="770"/>
      <c r="I129" s="770"/>
      <c r="J129" s="770"/>
      <c r="K129" s="770"/>
      <c r="L129" s="771"/>
      <c r="M129" s="771"/>
      <c r="N129" s="771"/>
      <c r="O129" s="771"/>
      <c r="P129" s="771"/>
      <c r="Q129" s="771"/>
      <c r="R129" s="771"/>
      <c r="S129" s="771"/>
      <c r="T129" s="771"/>
      <c r="U129" s="771"/>
      <c r="V129" s="771"/>
      <c r="W129" s="771"/>
      <c r="X129" s="770"/>
      <c r="Y129" s="770"/>
      <c r="Z129" s="770"/>
      <c r="AA129" s="770"/>
      <c r="AB129" s="770"/>
      <c r="AC129" s="770"/>
      <c r="AD129" s="770"/>
      <c r="AE129" s="770"/>
      <c r="AF129" s="770"/>
      <c r="AG129" s="770"/>
      <c r="AH129" s="770"/>
      <c r="AI129" s="770"/>
      <c r="AJ129" s="770"/>
      <c r="AK129" s="770"/>
      <c r="AL129" s="770"/>
      <c r="AM129" s="770"/>
      <c r="AN129" s="770"/>
      <c r="AO129" s="772"/>
      <c r="AP129" s="773"/>
      <c r="AQ129" s="770"/>
      <c r="AR129" s="770"/>
      <c r="AS129" s="770"/>
      <c r="AU129" s="770"/>
      <c r="AV129" s="770"/>
      <c r="AW129" s="770"/>
      <c r="AX129" s="770"/>
      <c r="AY129" s="770"/>
      <c r="AZ129" s="770"/>
      <c r="BA129" s="770"/>
      <c r="BB129" s="770"/>
      <c r="BC129" s="770"/>
      <c r="BD129" s="770"/>
      <c r="BE129" s="770"/>
      <c r="BF129" s="770"/>
      <c r="BG129" s="770"/>
      <c r="BH129" s="770"/>
      <c r="BI129" s="770"/>
      <c r="BJ129" s="770"/>
      <c r="BK129" s="770"/>
      <c r="BL129" s="770"/>
      <c r="BM129" s="770"/>
      <c r="BN129" s="770"/>
      <c r="BO129" s="770"/>
      <c r="BP129" s="770"/>
      <c r="BQ129" s="770"/>
      <c r="BR129" s="770"/>
      <c r="BS129" s="770"/>
      <c r="BT129" s="770"/>
      <c r="BU129" s="770"/>
      <c r="BV129" s="770"/>
      <c r="BW129" s="770"/>
      <c r="BX129" s="770"/>
      <c r="BY129" s="770"/>
      <c r="BZ129" s="770"/>
      <c r="CA129" s="770"/>
      <c r="CB129" s="770"/>
      <c r="CC129" s="770"/>
      <c r="CD129" s="770"/>
      <c r="CE129" s="770"/>
      <c r="CF129" s="770"/>
      <c r="CG129" s="770"/>
      <c r="CH129" s="770"/>
      <c r="CI129" s="770"/>
      <c r="CJ129" s="770"/>
      <c r="CK129" s="770"/>
      <c r="CL129" s="770"/>
    </row>
  </sheetData>
  <sheetProtection sheet="1" sort="0" autoFilter="0"/>
  <mergeCells count="4">
    <mergeCell ref="B4:AK5"/>
    <mergeCell ref="Y2:AG2"/>
    <mergeCell ref="D29:G29"/>
    <mergeCell ref="B32:AK32"/>
  </mergeCells>
  <dataValidations count="3">
    <dataValidation type="list" allowBlank="1" showInputMessage="1" showErrorMessage="1" sqref="AF3">
      <formula1>$AP$22:$AP$22</formula1>
    </dataValidation>
    <dataValidation type="list" allowBlank="1" showInputMessage="1" showErrorMessage="1" sqref="AH2">
      <formula1>$AP$22:$AP$22</formula1>
    </dataValidation>
    <dataValidation type="list" allowBlank="1" showInputMessage="1" showErrorMessage="1" sqref="AM7">
      <formula1>$AM$8:$AM$24</formula1>
    </dataValidation>
  </dataValidations>
  <printOptions horizontalCentered="1" verticalCentered="1"/>
  <pageMargins left="0.11811023622047245" right="0.11811023622047245" top="0.11811023622047245" bottom="0.11811023622047245" header="0.11811023622047245" footer="0.11811023622047245"/>
  <pageSetup paperSize="9" scale="83" orientation="landscape"/>
  <headerFooter alignWithMargins="0"/>
  <drawing r:id="rId1"/>
  <legacyDrawing r:id="rId2"/>
</worksheet>
</file>

<file path=xl/worksheets/sheet4.xml><?xml version="1.0" encoding="utf-8"?>
<worksheet xmlns="http://schemas.openxmlformats.org/spreadsheetml/2006/main" xmlns:r="http://schemas.openxmlformats.org/officeDocument/2006/relationships">
  <sheetPr>
    <tabColor rgb="FF1F4A7E"/>
  </sheetPr>
  <dimension ref="A1:CD313"/>
  <sheetViews>
    <sheetView showGridLines="0" showRowColHeaders="0" tabSelected="1" workbookViewId="0">
      <selection activeCell="D43" sqref="D43:I43"/>
    </sheetView>
  </sheetViews>
  <sheetFormatPr defaultColWidth="9.42578125" defaultRowHeight="15"/>
  <cols>
    <col min="1" max="1" width="4.5703125" style="766" customWidth="1"/>
    <col min="2" max="2" width="4.42578125" style="766" customWidth="1"/>
    <col min="3" max="3" width="5.7109375" style="766" customWidth="1"/>
    <col min="4" max="4" width="7" style="766" customWidth="1"/>
    <col min="5" max="5" width="9.140625" style="766" customWidth="1"/>
    <col min="6" max="6" width="10.28515625" style="766" customWidth="1"/>
    <col min="7" max="7" width="9.85546875" style="766" customWidth="1"/>
    <col min="8" max="8" width="14" style="766" customWidth="1"/>
    <col min="9" max="9" width="13.28515625" style="766" customWidth="1"/>
    <col min="10" max="10" width="4.85546875" style="766" customWidth="1"/>
    <col min="11" max="11" width="13.85546875" style="766" customWidth="1"/>
    <col min="12" max="12" width="15.5703125" style="875" customWidth="1"/>
    <col min="13" max="13" width="9.42578125" style="766"/>
    <col min="14" max="14" width="9.85546875" style="766" customWidth="1"/>
    <col min="15" max="15" width="10.140625" style="766" customWidth="1"/>
    <col min="16" max="16" width="11.7109375" style="766" customWidth="1"/>
    <col min="17" max="17" width="10.7109375" style="766" customWidth="1"/>
    <col min="18" max="18" width="10.7109375" style="766" hidden="1" customWidth="1"/>
    <col min="19" max="19" width="11.28515625" style="766" hidden="1" customWidth="1"/>
    <col min="20" max="20" width="14.28515625" style="766" hidden="1" customWidth="1"/>
    <col min="21" max="22" width="10.7109375" style="766" hidden="1" customWidth="1"/>
    <col min="23" max="23" width="11.42578125" style="766" hidden="1" customWidth="1"/>
    <col min="24" max="30" width="9.42578125" style="766" hidden="1" customWidth="1"/>
    <col min="31" max="31" width="18.28515625" style="766" hidden="1" customWidth="1"/>
    <col min="32" max="32" width="9.42578125" style="766" hidden="1" customWidth="1"/>
    <col min="33" max="34" width="10.5703125" style="766" hidden="1" customWidth="1"/>
    <col min="35" max="35" width="11.5703125" style="766" hidden="1" customWidth="1"/>
    <col min="36" max="39" width="9.42578125" style="766" hidden="1" customWidth="1"/>
    <col min="40" max="16384" width="9.42578125" style="766"/>
  </cols>
  <sheetData>
    <row r="1" spans="1:82">
      <c r="A1" s="770"/>
      <c r="B1" s="770"/>
      <c r="C1" s="770"/>
      <c r="D1" s="770"/>
      <c r="E1" s="770"/>
      <c r="F1" s="770"/>
      <c r="G1" s="770"/>
      <c r="H1" s="770"/>
      <c r="I1" s="770"/>
      <c r="J1" s="770"/>
      <c r="K1" s="770"/>
      <c r="L1" s="876"/>
      <c r="M1" s="770"/>
      <c r="N1" s="770"/>
      <c r="O1" s="770"/>
      <c r="P1" s="770"/>
      <c r="Q1" s="770"/>
      <c r="R1" s="770"/>
      <c r="S1" s="770"/>
      <c r="T1" s="770"/>
      <c r="U1" s="770"/>
      <c r="V1" s="770"/>
      <c r="W1" s="770"/>
      <c r="X1" s="770"/>
      <c r="Y1" s="770"/>
      <c r="Z1" s="770"/>
      <c r="AA1" s="770"/>
      <c r="AB1" s="770"/>
      <c r="AC1" s="770"/>
      <c r="AD1" s="770"/>
      <c r="AE1" s="770"/>
      <c r="AF1" s="770"/>
      <c r="AG1" s="770"/>
      <c r="AH1" s="770"/>
      <c r="AI1" s="770"/>
      <c r="AJ1" s="770"/>
      <c r="AK1" s="770"/>
      <c r="AL1" s="770"/>
      <c r="AM1" s="770"/>
      <c r="AN1" s="770"/>
      <c r="AO1" s="770"/>
      <c r="AP1" s="770"/>
      <c r="AQ1" s="770"/>
      <c r="AR1" s="770"/>
      <c r="AS1" s="770"/>
      <c r="AT1" s="770"/>
      <c r="AU1" s="770"/>
      <c r="AV1" s="770"/>
      <c r="AW1" s="770"/>
      <c r="AX1" s="770"/>
      <c r="AY1" s="770"/>
      <c r="AZ1" s="770"/>
      <c r="BA1" s="770"/>
      <c r="BB1" s="770"/>
      <c r="BC1" s="770"/>
      <c r="BD1" s="770"/>
      <c r="BE1" s="770"/>
      <c r="BF1" s="770"/>
      <c r="BG1" s="770"/>
      <c r="BH1" s="770"/>
      <c r="BI1" s="770"/>
      <c r="BJ1" s="770"/>
      <c r="BK1" s="770"/>
      <c r="BL1" s="770"/>
      <c r="BM1" s="770"/>
      <c r="BN1" s="770"/>
      <c r="BO1" s="770"/>
      <c r="BP1" s="770"/>
      <c r="BQ1" s="770"/>
      <c r="BR1" s="770"/>
      <c r="BS1" s="770"/>
      <c r="BT1" s="770"/>
      <c r="BU1" s="770"/>
      <c r="BV1" s="770"/>
      <c r="BW1" s="770"/>
      <c r="BX1" s="770"/>
      <c r="BY1" s="770"/>
      <c r="BZ1" s="770"/>
      <c r="CA1" s="770"/>
      <c r="CB1" s="770"/>
    </row>
    <row r="2" spans="1:82" ht="20.25">
      <c r="A2" s="770"/>
      <c r="B2" s="2106" t="str">
        <f>IF(DATA!$AH$49=2,"Old Tax IT Calculation","New Tax IT Calculation")</f>
        <v>Old Tax IT Calculation</v>
      </c>
      <c r="C2" s="2106"/>
      <c r="D2" s="2106"/>
      <c r="E2" s="2106"/>
      <c r="F2" s="2106"/>
      <c r="G2" s="2106"/>
      <c r="H2" s="2106"/>
      <c r="I2" s="2106"/>
      <c r="J2" s="2106"/>
      <c r="K2" s="2106"/>
      <c r="L2" s="2106"/>
      <c r="M2" s="770"/>
      <c r="N2" s="770"/>
      <c r="O2" s="770"/>
      <c r="P2" s="770"/>
      <c r="Q2" s="770"/>
      <c r="R2" s="770"/>
      <c r="S2" s="770"/>
      <c r="T2" s="770"/>
      <c r="U2" s="770"/>
      <c r="V2" s="770"/>
      <c r="W2" s="770"/>
      <c r="X2" s="770"/>
      <c r="Y2" s="770"/>
      <c r="Z2" s="770"/>
      <c r="AA2" s="770"/>
      <c r="AB2" s="770"/>
      <c r="AC2" s="770"/>
      <c r="AD2" s="770"/>
      <c r="AE2" s="770"/>
      <c r="AF2" s="770"/>
      <c r="AG2" s="770"/>
      <c r="AH2" s="770"/>
      <c r="AI2" s="770"/>
      <c r="AJ2" s="770"/>
      <c r="AK2" s="770"/>
      <c r="AL2" s="770"/>
      <c r="AM2" s="770"/>
      <c r="AN2" s="770"/>
      <c r="AO2" s="770"/>
      <c r="AP2" s="770"/>
      <c r="AQ2" s="770"/>
      <c r="AR2" s="770"/>
      <c r="AS2" s="770"/>
      <c r="AT2" s="770"/>
      <c r="AU2" s="770"/>
      <c r="AV2" s="770"/>
      <c r="AW2" s="770"/>
      <c r="AX2" s="770"/>
      <c r="AY2" s="770"/>
      <c r="AZ2" s="770"/>
      <c r="BA2" s="770"/>
      <c r="BB2" s="770"/>
      <c r="BC2" s="770"/>
      <c r="BD2" s="770"/>
      <c r="BE2" s="770"/>
      <c r="BF2" s="770"/>
      <c r="BG2" s="770"/>
      <c r="BH2" s="770"/>
      <c r="BI2" s="770"/>
      <c r="BJ2" s="770"/>
      <c r="BK2" s="770"/>
      <c r="BL2" s="770"/>
      <c r="BM2" s="770"/>
      <c r="BN2" s="770"/>
      <c r="BO2" s="770"/>
      <c r="BP2" s="770"/>
      <c r="BQ2" s="770"/>
      <c r="BR2" s="770"/>
      <c r="BS2" s="770"/>
      <c r="BT2" s="770"/>
      <c r="BU2" s="770"/>
      <c r="BV2" s="770"/>
      <c r="BW2" s="770"/>
      <c r="BX2" s="770"/>
      <c r="BY2" s="770"/>
      <c r="BZ2" s="770"/>
      <c r="CA2" s="770"/>
      <c r="CB2" s="770"/>
    </row>
    <row r="3" spans="1:82">
      <c r="A3" s="770"/>
      <c r="B3" s="877"/>
      <c r="C3" s="877"/>
      <c r="D3" s="877"/>
      <c r="E3" s="877"/>
      <c r="F3" s="877"/>
      <c r="G3" s="877"/>
      <c r="H3" s="877"/>
      <c r="I3" s="877"/>
      <c r="J3" s="877"/>
      <c r="K3" s="877"/>
      <c r="L3" s="878"/>
      <c r="M3" s="770"/>
      <c r="N3" s="770"/>
      <c r="O3" s="770"/>
      <c r="P3" s="770"/>
      <c r="Q3" s="770"/>
      <c r="R3" s="770"/>
      <c r="S3" s="770"/>
      <c r="T3" s="770"/>
      <c r="U3" s="770"/>
      <c r="V3" s="770"/>
      <c r="W3" s="770"/>
      <c r="X3" s="770"/>
      <c r="Y3" s="770"/>
      <c r="Z3" s="770"/>
      <c r="AA3" s="770"/>
      <c r="AB3" s="770"/>
      <c r="AC3" s="770"/>
      <c r="AD3" s="770"/>
      <c r="AE3" s="770"/>
      <c r="AF3" s="770"/>
      <c r="AG3" s="770"/>
      <c r="AH3" s="770"/>
      <c r="AI3" s="770"/>
      <c r="AJ3" s="770"/>
      <c r="AK3" s="770"/>
      <c r="AL3" s="770"/>
      <c r="AM3" s="770"/>
      <c r="AN3" s="770"/>
      <c r="AO3" s="770"/>
      <c r="AP3" s="770"/>
      <c r="AQ3" s="770"/>
      <c r="AR3" s="770"/>
      <c r="AS3" s="770"/>
      <c r="AT3" s="770"/>
      <c r="AU3" s="770"/>
      <c r="AV3" s="770"/>
      <c r="AW3" s="770"/>
      <c r="AX3" s="770"/>
      <c r="AY3" s="770"/>
      <c r="AZ3" s="770"/>
      <c r="BA3" s="770"/>
      <c r="BB3" s="770"/>
      <c r="BC3" s="770"/>
      <c r="BD3" s="770"/>
      <c r="BE3" s="770"/>
      <c r="BF3" s="770"/>
      <c r="BG3" s="770"/>
      <c r="BH3" s="770"/>
      <c r="BI3" s="770"/>
      <c r="BJ3" s="770"/>
      <c r="BK3" s="770"/>
      <c r="BL3" s="770"/>
      <c r="BM3" s="770"/>
      <c r="BN3" s="770"/>
      <c r="BO3" s="770"/>
      <c r="BP3" s="770"/>
      <c r="BQ3" s="770"/>
      <c r="BR3" s="770"/>
      <c r="BS3" s="770"/>
      <c r="BT3" s="770"/>
      <c r="BU3" s="770"/>
      <c r="BV3" s="770"/>
      <c r="BW3" s="770"/>
      <c r="BX3" s="770"/>
      <c r="BY3" s="770"/>
      <c r="BZ3" s="770"/>
      <c r="CA3" s="770"/>
      <c r="CB3" s="770"/>
      <c r="CC3" s="879"/>
      <c r="CD3" s="879"/>
    </row>
    <row r="4" spans="1:82" ht="15" customHeight="1">
      <c r="A4" s="770"/>
      <c r="B4" s="2120" t="s">
        <v>974</v>
      </c>
      <c r="C4" s="2121"/>
      <c r="D4" s="2121"/>
      <c r="E4" s="2121"/>
      <c r="F4" s="880"/>
      <c r="G4" s="2104" t="s">
        <v>262</v>
      </c>
      <c r="H4" s="2104"/>
      <c r="I4" s="880"/>
      <c r="J4" s="880"/>
      <c r="K4" s="2064" t="s">
        <v>975</v>
      </c>
      <c r="L4" s="2065"/>
      <c r="M4" s="770"/>
      <c r="N4" s="770"/>
      <c r="O4" s="770"/>
      <c r="P4" s="770"/>
      <c r="Q4" s="770"/>
      <c r="R4" s="770"/>
      <c r="S4" s="770"/>
      <c r="T4" s="770"/>
      <c r="U4" s="770"/>
      <c r="V4" s="770"/>
      <c r="W4" s="770"/>
      <c r="X4" s="770"/>
      <c r="Y4" s="770"/>
      <c r="Z4" s="770"/>
      <c r="AA4" s="770"/>
      <c r="AB4" s="770"/>
      <c r="AC4" s="770"/>
      <c r="AD4" s="770"/>
      <c r="AE4" s="770"/>
      <c r="AF4" s="770"/>
      <c r="AG4" s="770"/>
      <c r="AH4" s="770"/>
      <c r="AI4" s="770"/>
      <c r="AJ4" s="770"/>
      <c r="AK4" s="770"/>
      <c r="AL4" s="770"/>
      <c r="AM4" s="770"/>
      <c r="AN4" s="770"/>
      <c r="AO4" s="770"/>
      <c r="AP4" s="770"/>
      <c r="AQ4" s="770"/>
      <c r="AR4" s="770"/>
      <c r="AS4" s="770"/>
      <c r="AT4" s="770"/>
      <c r="AU4" s="770"/>
      <c r="AV4" s="770"/>
      <c r="AW4" s="770"/>
      <c r="AX4" s="770"/>
      <c r="AY4" s="770"/>
      <c r="AZ4" s="770"/>
      <c r="BA4" s="770"/>
      <c r="BB4" s="770"/>
      <c r="BC4" s="770"/>
      <c r="BD4" s="770"/>
      <c r="BE4" s="770"/>
      <c r="BF4" s="770"/>
      <c r="BG4" s="770"/>
      <c r="BH4" s="770"/>
      <c r="BI4" s="770"/>
      <c r="BJ4" s="770"/>
      <c r="BK4" s="770"/>
      <c r="BL4" s="770"/>
      <c r="BM4" s="770"/>
      <c r="BN4" s="770"/>
      <c r="BO4" s="770"/>
      <c r="BP4" s="770"/>
      <c r="BQ4" s="770"/>
      <c r="BR4" s="770"/>
      <c r="BS4" s="770"/>
      <c r="BT4" s="770"/>
      <c r="BU4" s="770"/>
      <c r="BV4" s="770"/>
      <c r="BW4" s="770"/>
      <c r="BX4" s="770"/>
      <c r="BY4" s="770"/>
      <c r="BZ4" s="770"/>
      <c r="CA4" s="770"/>
      <c r="CB4" s="770"/>
    </row>
    <row r="5" spans="1:82" ht="16.5" customHeight="1">
      <c r="A5" s="770"/>
      <c r="B5" s="2107" t="str">
        <f>IF(DATA!$AH$49=1,"INCOME TAX CALCULATION  2021-22 (New Regime)","INCOME TAX CALCULATION  2021-22 (Old Regime)")</f>
        <v>INCOME TAX CALCULATION  2021-22 (Old Regime)</v>
      </c>
      <c r="C5" s="2108"/>
      <c r="D5" s="2108"/>
      <c r="E5" s="2108"/>
      <c r="F5" s="2108"/>
      <c r="G5" s="2108"/>
      <c r="H5" s="2108"/>
      <c r="I5" s="2108"/>
      <c r="J5" s="2108"/>
      <c r="K5" s="2108"/>
      <c r="L5" s="2109"/>
      <c r="M5" s="770"/>
      <c r="N5" s="770"/>
      <c r="O5" s="881"/>
      <c r="P5" s="770"/>
      <c r="Q5" s="770"/>
      <c r="R5" s="770"/>
      <c r="S5" s="770"/>
      <c r="T5" s="770"/>
      <c r="U5" s="770"/>
      <c r="V5" s="770"/>
      <c r="W5" s="770"/>
      <c r="X5" s="770"/>
      <c r="Y5" s="770"/>
      <c r="Z5" s="770"/>
      <c r="AA5" s="770"/>
      <c r="AB5" s="770"/>
      <c r="AC5" s="770"/>
      <c r="AD5" s="770"/>
      <c r="AE5" s="770"/>
      <c r="AF5" s="770"/>
      <c r="AG5" s="770"/>
      <c r="AH5" s="770"/>
      <c r="AI5" s="770"/>
      <c r="AJ5" s="770"/>
      <c r="AK5" s="770"/>
      <c r="AL5" s="770"/>
      <c r="AM5" s="770"/>
      <c r="AN5" s="770"/>
      <c r="AO5" s="770"/>
      <c r="AP5" s="770"/>
      <c r="AQ5" s="770"/>
      <c r="AR5" s="770"/>
      <c r="AS5" s="770"/>
      <c r="AT5" s="770"/>
      <c r="AU5" s="770"/>
      <c r="AV5" s="770"/>
      <c r="AW5" s="770"/>
      <c r="AX5" s="770"/>
      <c r="AY5" s="770"/>
      <c r="AZ5" s="770"/>
      <c r="BA5" s="770"/>
      <c r="BB5" s="770"/>
      <c r="BC5" s="770"/>
      <c r="BD5" s="770"/>
      <c r="BE5" s="770"/>
      <c r="BF5" s="770"/>
      <c r="BG5" s="770"/>
      <c r="BH5" s="770"/>
      <c r="BI5" s="770"/>
      <c r="BJ5" s="770"/>
      <c r="BK5" s="770"/>
      <c r="BL5" s="770"/>
      <c r="BM5" s="770"/>
      <c r="BN5" s="770"/>
      <c r="BO5" s="770"/>
      <c r="BP5" s="770"/>
      <c r="BQ5" s="770"/>
      <c r="BR5" s="770"/>
      <c r="BS5" s="770"/>
      <c r="BT5" s="770"/>
      <c r="BU5" s="770"/>
      <c r="BV5" s="770"/>
      <c r="BW5" s="770"/>
      <c r="BX5" s="770"/>
      <c r="BY5" s="770"/>
      <c r="BZ5" s="770"/>
      <c r="CA5" s="770"/>
      <c r="CB5" s="770"/>
    </row>
    <row r="6" spans="1:82" ht="15" customHeight="1">
      <c r="A6" s="770"/>
      <c r="B6" s="2118" t="s">
        <v>717</v>
      </c>
      <c r="C6" s="2119"/>
      <c r="D6" s="2063" t="str">
        <f>CONCATENATE(DATA!BN172,"  ",DATA!E10)</f>
        <v>Sri.  A.Nagesh</v>
      </c>
      <c r="E6" s="2063"/>
      <c r="F6" s="2063"/>
      <c r="G6" s="2063"/>
      <c r="H6" s="882" t="s">
        <v>790</v>
      </c>
      <c r="I6" s="2122" t="str">
        <f>CONCATENATE(DATA!E21," , ",DATA!E22,"   (","Mandal",")"," ")</f>
        <v xml:space="preserve">Velgode , Velgode   (Mandal) </v>
      </c>
      <c r="J6" s="2122"/>
      <c r="K6" s="2122"/>
      <c r="L6" s="2123"/>
      <c r="M6" s="770"/>
      <c r="N6" s="770"/>
      <c r="O6" s="770"/>
      <c r="P6" s="770"/>
      <c r="Q6" s="770"/>
      <c r="R6" s="770"/>
      <c r="S6" s="770"/>
      <c r="T6" s="770"/>
      <c r="U6" s="770"/>
      <c r="V6" s="770"/>
      <c r="W6" s="770"/>
      <c r="X6" s="770"/>
      <c r="Y6" s="770"/>
      <c r="Z6" s="770"/>
      <c r="AA6" s="770"/>
      <c r="AB6" s="770"/>
      <c r="AC6" s="770"/>
      <c r="AD6" s="770"/>
      <c r="AE6" s="770"/>
      <c r="AF6" s="770"/>
      <c r="AG6" s="770"/>
      <c r="AH6" s="770"/>
      <c r="AI6" s="770"/>
      <c r="AJ6" s="770"/>
      <c r="AK6" s="770"/>
      <c r="AL6" s="770"/>
      <c r="AM6" s="770"/>
      <c r="AN6" s="770"/>
      <c r="AO6" s="770"/>
      <c r="AP6" s="770"/>
      <c r="AQ6" s="770"/>
      <c r="AR6" s="770"/>
      <c r="AS6" s="770"/>
      <c r="AT6" s="770"/>
      <c r="AU6" s="770"/>
      <c r="AV6" s="770"/>
      <c r="AW6" s="770"/>
      <c r="AX6" s="770"/>
      <c r="AY6" s="770"/>
      <c r="AZ6" s="770"/>
      <c r="BA6" s="770"/>
      <c r="BB6" s="770"/>
      <c r="BC6" s="770"/>
      <c r="BD6" s="770"/>
      <c r="BE6" s="770"/>
      <c r="BF6" s="770"/>
      <c r="BG6" s="770"/>
      <c r="BH6" s="770"/>
      <c r="BI6" s="770"/>
      <c r="BJ6" s="770"/>
      <c r="BK6" s="770"/>
      <c r="BL6" s="770"/>
      <c r="BM6" s="770"/>
      <c r="BN6" s="770"/>
      <c r="BO6" s="770"/>
      <c r="BP6" s="770"/>
      <c r="BQ6" s="770"/>
      <c r="BR6" s="770"/>
      <c r="BS6" s="770"/>
      <c r="BT6" s="770"/>
      <c r="BU6" s="770"/>
      <c r="BV6" s="770"/>
      <c r="BW6" s="770"/>
      <c r="BX6" s="770"/>
      <c r="BY6" s="770"/>
      <c r="BZ6" s="770"/>
      <c r="CA6" s="770"/>
      <c r="CB6" s="770"/>
    </row>
    <row r="7" spans="1:82" ht="14.45" customHeight="1">
      <c r="A7" s="770"/>
      <c r="B7" s="2080" t="s">
        <v>1</v>
      </c>
      <c r="C7" s="2081"/>
      <c r="D7" s="2105" t="str">
        <f>DATA!CD169</f>
        <v>Deputy Executive Engineer</v>
      </c>
      <c r="E7" s="2105"/>
      <c r="F7" s="2105"/>
      <c r="G7" s="2105"/>
      <c r="H7" s="883" t="s">
        <v>407</v>
      </c>
      <c r="I7" s="2073" t="str">
        <f>CONCATENATE(DATA!E13,",",DATA!E14,",",DATA!E15," ( Mandal )")</f>
        <v>Executive Engineer,TGP Division No.1,Velgode,Velgode ( Mandal )</v>
      </c>
      <c r="J7" s="2073"/>
      <c r="K7" s="2073"/>
      <c r="L7" s="2074"/>
      <c r="M7" s="770"/>
      <c r="N7" s="770"/>
      <c r="O7" s="770"/>
      <c r="P7" s="770"/>
      <c r="Q7" s="770"/>
      <c r="R7" s="770"/>
      <c r="S7" s="770"/>
      <c r="T7" s="770"/>
      <c r="U7" s="770"/>
      <c r="V7" s="770"/>
      <c r="W7" s="770"/>
      <c r="X7" s="770"/>
      <c r="Y7" s="770"/>
      <c r="Z7" s="770"/>
      <c r="AA7" s="770"/>
      <c r="AB7" s="770"/>
      <c r="AC7" s="770"/>
      <c r="AD7" s="770"/>
      <c r="AE7" s="770"/>
      <c r="AF7" s="770"/>
      <c r="AG7" s="770"/>
      <c r="AH7" s="770"/>
      <c r="AI7" s="770"/>
      <c r="AJ7" s="770"/>
      <c r="AK7" s="770"/>
      <c r="AL7" s="770"/>
      <c r="AM7" s="770"/>
      <c r="AN7" s="770"/>
      <c r="AO7" s="770"/>
      <c r="AP7" s="770"/>
      <c r="AQ7" s="770"/>
      <c r="AR7" s="770"/>
      <c r="AS7" s="770"/>
      <c r="AT7" s="770"/>
      <c r="AU7" s="770"/>
      <c r="AV7" s="770"/>
      <c r="AW7" s="770"/>
      <c r="AX7" s="770"/>
      <c r="AY7" s="770"/>
      <c r="AZ7" s="770"/>
      <c r="BA7" s="770"/>
      <c r="BB7" s="770"/>
      <c r="BC7" s="770"/>
      <c r="BD7" s="770"/>
      <c r="BE7" s="770"/>
      <c r="BF7" s="770"/>
      <c r="BG7" s="770"/>
      <c r="BH7" s="770"/>
      <c r="BI7" s="770"/>
      <c r="BJ7" s="770"/>
      <c r="BK7" s="770"/>
      <c r="BL7" s="770"/>
      <c r="BM7" s="770"/>
      <c r="BN7" s="770"/>
      <c r="BO7" s="770"/>
      <c r="BP7" s="770"/>
      <c r="BQ7" s="770"/>
      <c r="BR7" s="770"/>
      <c r="BS7" s="770"/>
      <c r="BT7" s="770"/>
      <c r="BU7" s="770"/>
      <c r="BV7" s="770"/>
      <c r="BW7" s="770"/>
      <c r="BX7" s="770"/>
      <c r="BY7" s="770"/>
      <c r="BZ7" s="770"/>
      <c r="CA7" s="770"/>
      <c r="CB7" s="770"/>
    </row>
    <row r="8" spans="1:82" ht="14.1" customHeight="1">
      <c r="A8" s="770"/>
      <c r="B8" s="884"/>
      <c r="C8" s="885" t="s">
        <v>927</v>
      </c>
      <c r="D8" s="885"/>
      <c r="E8" s="885"/>
      <c r="F8" s="2116" t="str">
        <f>DATA!CF177</f>
        <v>Rented House</v>
      </c>
      <c r="G8" s="2117"/>
      <c r="H8" s="2112" t="str">
        <f>CONCATENATE("PAN No :  ",DATA!E12)</f>
        <v xml:space="preserve">PAN No :  </v>
      </c>
      <c r="I8" s="2113"/>
      <c r="J8" s="2087" t="s">
        <v>401</v>
      </c>
      <c r="K8" s="2088"/>
      <c r="L8" s="886" t="str">
        <f>IF(DATA!E18="","",DATA!E18)</f>
        <v/>
      </c>
      <c r="M8" s="770"/>
      <c r="N8" s="770"/>
      <c r="O8" s="770"/>
      <c r="P8" s="770"/>
      <c r="Q8" s="770"/>
      <c r="R8" s="770"/>
      <c r="S8" s="770"/>
      <c r="T8" s="770"/>
      <c r="U8" s="770"/>
      <c r="V8" s="770"/>
      <c r="W8" s="770"/>
      <c r="X8" s="770"/>
      <c r="Y8" s="770"/>
      <c r="Z8" s="770"/>
      <c r="AA8" s="770"/>
      <c r="AB8" s="770"/>
      <c r="AC8" s="770"/>
      <c r="AD8" s="770"/>
      <c r="AE8" s="770"/>
      <c r="AF8" s="770"/>
      <c r="AG8" s="770"/>
      <c r="AH8" s="770"/>
      <c r="AI8" s="770"/>
      <c r="AJ8" s="770"/>
      <c r="AK8" s="770"/>
      <c r="AL8" s="770"/>
      <c r="AM8" s="770"/>
      <c r="AN8" s="770"/>
      <c r="AO8" s="770"/>
      <c r="AP8" s="770"/>
      <c r="AQ8" s="770"/>
      <c r="AR8" s="770"/>
      <c r="AS8" s="770"/>
      <c r="AT8" s="770"/>
      <c r="AU8" s="770"/>
      <c r="AV8" s="770"/>
      <c r="AW8" s="770"/>
      <c r="AX8" s="770"/>
      <c r="AY8" s="770"/>
      <c r="AZ8" s="770"/>
      <c r="BA8" s="770"/>
      <c r="BB8" s="770"/>
      <c r="BC8" s="770"/>
      <c r="BD8" s="770"/>
      <c r="BE8" s="770"/>
      <c r="BF8" s="770"/>
      <c r="BG8" s="770"/>
      <c r="BH8" s="770"/>
      <c r="BI8" s="770"/>
      <c r="BJ8" s="770"/>
      <c r="BK8" s="770"/>
      <c r="BL8" s="770"/>
      <c r="BM8" s="770"/>
      <c r="BN8" s="770"/>
      <c r="BO8" s="770"/>
      <c r="BP8" s="770"/>
      <c r="BQ8" s="770"/>
      <c r="BR8" s="770"/>
      <c r="BS8" s="770"/>
      <c r="BT8" s="770"/>
      <c r="BU8" s="770"/>
      <c r="BV8" s="770"/>
      <c r="BW8" s="770"/>
      <c r="BX8" s="770"/>
      <c r="BY8" s="770"/>
      <c r="BZ8" s="770"/>
      <c r="CA8" s="770"/>
      <c r="CB8" s="770"/>
    </row>
    <row r="9" spans="1:82" ht="12" customHeight="1">
      <c r="A9" s="770"/>
      <c r="B9" s="887">
        <v>1</v>
      </c>
      <c r="C9" s="2066" t="s">
        <v>263</v>
      </c>
      <c r="D9" s="2067"/>
      <c r="E9" s="2067"/>
      <c r="F9" s="2067"/>
      <c r="G9" s="2067"/>
      <c r="H9" s="2067"/>
      <c r="I9" s="2067"/>
      <c r="J9" s="2102" t="s">
        <v>264</v>
      </c>
      <c r="K9" s="2103"/>
      <c r="L9" s="888">
        <f>Bill!X25</f>
        <v>1303978</v>
      </c>
      <c r="M9" s="770"/>
      <c r="N9" s="770"/>
      <c r="O9" s="770"/>
      <c r="P9" s="770"/>
      <c r="Q9" s="770"/>
      <c r="R9" s="770"/>
      <c r="S9" s="770"/>
      <c r="T9" s="770"/>
      <c r="U9" s="770"/>
      <c r="V9" s="770"/>
      <c r="W9" s="770"/>
      <c r="X9" s="770"/>
      <c r="Y9" s="770"/>
      <c r="Z9" s="770"/>
      <c r="AA9" s="770"/>
      <c r="AB9" s="770"/>
      <c r="AC9" s="770"/>
      <c r="AD9" s="770"/>
      <c r="AE9" s="770"/>
      <c r="AF9" s="770"/>
      <c r="AG9" s="770"/>
      <c r="AH9" s="770"/>
      <c r="AI9" s="770"/>
      <c r="AJ9" s="770"/>
      <c r="AK9" s="770"/>
      <c r="AL9" s="770"/>
      <c r="AM9" s="770"/>
      <c r="AN9" s="770"/>
      <c r="AO9" s="770"/>
      <c r="AP9" s="770"/>
      <c r="AQ9" s="770"/>
      <c r="AR9" s="770"/>
      <c r="AS9" s="770"/>
      <c r="AT9" s="770"/>
      <c r="AU9" s="770"/>
      <c r="AV9" s="770"/>
      <c r="AW9" s="770"/>
      <c r="AX9" s="770"/>
      <c r="AY9" s="770"/>
      <c r="AZ9" s="770"/>
      <c r="BA9" s="770"/>
      <c r="BB9" s="770"/>
      <c r="BC9" s="770"/>
      <c r="BD9" s="770"/>
      <c r="BE9" s="770"/>
      <c r="BF9" s="770"/>
      <c r="BG9" s="770"/>
      <c r="BH9" s="770"/>
      <c r="BI9" s="770"/>
      <c r="BJ9" s="770"/>
      <c r="BK9" s="770"/>
      <c r="BL9" s="770"/>
      <c r="BM9" s="770"/>
      <c r="BN9" s="770"/>
      <c r="BO9" s="770"/>
      <c r="BP9" s="770"/>
      <c r="BQ9" s="770"/>
      <c r="BR9" s="770"/>
      <c r="BS9" s="770"/>
      <c r="BT9" s="770"/>
      <c r="BU9" s="770"/>
      <c r="BV9" s="770"/>
      <c r="BW9" s="770"/>
      <c r="BX9" s="770"/>
      <c r="BY9" s="770"/>
      <c r="BZ9" s="770"/>
      <c r="CA9" s="770"/>
      <c r="CB9" s="770"/>
    </row>
    <row r="10" spans="1:82" ht="12" customHeight="1">
      <c r="A10" s="770"/>
      <c r="B10" s="887">
        <v>2</v>
      </c>
      <c r="C10" s="2050" t="s">
        <v>739</v>
      </c>
      <c r="D10" s="2051"/>
      <c r="E10" s="2051"/>
      <c r="F10" s="2051"/>
      <c r="G10" s="2051"/>
      <c r="H10" s="2051"/>
      <c r="I10" s="2051"/>
      <c r="J10" s="2114"/>
      <c r="K10" s="2115"/>
      <c r="L10" s="888"/>
      <c r="M10" s="770"/>
      <c r="N10" s="770"/>
      <c r="O10" s="770"/>
      <c r="P10" s="770"/>
      <c r="Q10" s="770"/>
      <c r="R10" s="770"/>
      <c r="S10" s="770"/>
      <c r="T10" s="770"/>
      <c r="U10" s="770"/>
      <c r="V10" s="770"/>
      <c r="W10" s="770"/>
      <c r="X10" s="770"/>
      <c r="Y10" s="810">
        <f>Bill!D25+Bill!E25</f>
        <v>1038488</v>
      </c>
      <c r="Z10" s="770"/>
      <c r="AA10" s="770"/>
      <c r="AB10" s="770"/>
      <c r="AC10" s="770"/>
      <c r="AD10" s="770"/>
      <c r="AE10" s="770"/>
      <c r="AF10" s="770"/>
      <c r="AG10" s="770"/>
      <c r="AH10" s="770"/>
      <c r="AI10" s="770"/>
      <c r="AJ10" s="770"/>
      <c r="AK10" s="770"/>
      <c r="AL10" s="770"/>
      <c r="AM10" s="770"/>
      <c r="AN10" s="770"/>
      <c r="AO10" s="770"/>
      <c r="AP10" s="770"/>
      <c r="AQ10" s="770"/>
      <c r="AR10" s="770"/>
      <c r="AS10" s="770"/>
      <c r="AT10" s="770"/>
      <c r="AU10" s="770"/>
      <c r="AV10" s="770"/>
      <c r="AW10" s="770"/>
      <c r="AX10" s="770"/>
      <c r="AY10" s="770"/>
      <c r="AZ10" s="770"/>
      <c r="BA10" s="770"/>
      <c r="BB10" s="770"/>
      <c r="BC10" s="770"/>
      <c r="BD10" s="770"/>
      <c r="BE10" s="770"/>
      <c r="BF10" s="770"/>
      <c r="BG10" s="770"/>
      <c r="BH10" s="770"/>
      <c r="BI10" s="770"/>
      <c r="BJ10" s="770"/>
      <c r="BK10" s="770"/>
      <c r="BL10" s="770"/>
      <c r="BM10" s="770"/>
      <c r="BN10" s="770"/>
      <c r="BO10" s="770"/>
      <c r="BP10" s="770"/>
      <c r="BQ10" s="770"/>
      <c r="BR10" s="770"/>
      <c r="BS10" s="770"/>
      <c r="BT10" s="770"/>
      <c r="BU10" s="770"/>
      <c r="BV10" s="770"/>
      <c r="BW10" s="770"/>
      <c r="BX10" s="770"/>
      <c r="BY10" s="770"/>
      <c r="BZ10" s="770"/>
      <c r="CA10" s="770"/>
      <c r="CB10" s="770"/>
    </row>
    <row r="11" spans="1:82" s="889" customFormat="1" ht="13.5" customHeight="1">
      <c r="A11" s="890"/>
      <c r="B11" s="891"/>
      <c r="C11" s="892" t="s">
        <v>265</v>
      </c>
      <c r="D11" s="2086" t="s">
        <v>266</v>
      </c>
      <c r="E11" s="2086"/>
      <c r="F11" s="2086"/>
      <c r="G11" s="2086"/>
      <c r="H11" s="2086"/>
      <c r="I11" s="2086"/>
      <c r="J11" s="893" t="s">
        <v>264</v>
      </c>
      <c r="K11" s="894">
        <f>IF(DATA!AH49=1,"",Bill!G25+Bill!N25)</f>
        <v>83988</v>
      </c>
      <c r="L11" s="895"/>
      <c r="M11" s="890"/>
      <c r="N11" s="890"/>
      <c r="O11" s="890"/>
      <c r="P11" s="890"/>
      <c r="Q11" s="890"/>
      <c r="R11" s="890"/>
      <c r="S11" s="890"/>
      <c r="T11" s="890"/>
      <c r="U11" s="890"/>
      <c r="V11" s="890"/>
      <c r="W11" s="890"/>
      <c r="X11" s="890"/>
      <c r="Y11" s="896"/>
      <c r="Z11" s="890"/>
      <c r="AA11" s="890"/>
      <c r="AB11" s="890"/>
      <c r="AC11" s="890"/>
      <c r="AD11" s="890"/>
      <c r="AE11" s="890"/>
      <c r="AF11" s="890"/>
      <c r="AG11" s="890"/>
      <c r="AH11" s="890"/>
      <c r="AI11" s="890"/>
      <c r="AJ11" s="890"/>
      <c r="AK11" s="890"/>
      <c r="AL11" s="890"/>
      <c r="AM11" s="890"/>
      <c r="AN11" s="890"/>
      <c r="AO11" s="890"/>
      <c r="AP11" s="890"/>
      <c r="AQ11" s="890"/>
      <c r="AR11" s="890"/>
      <c r="AS11" s="890"/>
      <c r="AT11" s="890"/>
      <c r="AU11" s="890"/>
      <c r="AV11" s="890"/>
      <c r="AW11" s="890"/>
      <c r="AX11" s="890"/>
      <c r="AY11" s="890"/>
      <c r="AZ11" s="890"/>
      <c r="BA11" s="890"/>
      <c r="BB11" s="890"/>
      <c r="BC11" s="890"/>
      <c r="BD11" s="890"/>
      <c r="BE11" s="890"/>
      <c r="BF11" s="890"/>
      <c r="BG11" s="890"/>
      <c r="BH11" s="890"/>
      <c r="BI11" s="890"/>
      <c r="BJ11" s="890"/>
      <c r="BK11" s="890"/>
      <c r="BL11" s="890"/>
      <c r="BM11" s="890"/>
      <c r="BN11" s="890"/>
      <c r="BO11" s="890"/>
      <c r="BP11" s="890"/>
      <c r="BQ11" s="890"/>
      <c r="BR11" s="890"/>
      <c r="BS11" s="890"/>
      <c r="BT11" s="890"/>
      <c r="BU11" s="890"/>
      <c r="BV11" s="890"/>
      <c r="BW11" s="890"/>
      <c r="BX11" s="890"/>
      <c r="BY11" s="890"/>
      <c r="BZ11" s="890"/>
      <c r="CA11" s="890"/>
      <c r="CB11" s="890"/>
    </row>
    <row r="12" spans="1:82" s="889" customFormat="1" ht="12" customHeight="1">
      <c r="A12" s="890"/>
      <c r="B12" s="891"/>
      <c r="C12" s="892" t="s">
        <v>267</v>
      </c>
      <c r="D12" s="897" t="s">
        <v>408</v>
      </c>
      <c r="E12" s="897"/>
      <c r="F12" s="897"/>
      <c r="G12" s="897"/>
      <c r="H12" s="897"/>
      <c r="I12" s="898" t="str">
        <f>IF(DATA!AH49=1,"",IF(DATA!CE178=2,"",CONCATENATE("Rent @  ",DATA!S11)))</f>
        <v>Rent @  12000</v>
      </c>
      <c r="J12" s="893" t="s">
        <v>264</v>
      </c>
      <c r="K12" s="894">
        <f>IF(DATA!AH49=1,"",IF(AC25=1,"",DATA!CF176))</f>
        <v>40150</v>
      </c>
      <c r="L12" s="895"/>
      <c r="M12" s="2110" t="s">
        <v>403</v>
      </c>
      <c r="N12" s="2111"/>
      <c r="O12" s="2111"/>
      <c r="P12" s="899">
        <f>DATA!S11</f>
        <v>12000</v>
      </c>
      <c r="Q12" s="900" t="s">
        <v>404</v>
      </c>
      <c r="R12" s="900"/>
      <c r="S12" s="900"/>
      <c r="T12" s="900"/>
      <c r="U12" s="900">
        <f>ROUND(DATA!S11*12,0)</f>
        <v>144000</v>
      </c>
      <c r="V12" s="900"/>
      <c r="W12" s="900"/>
      <c r="X12" s="900"/>
      <c r="Y12" s="901"/>
      <c r="Z12" s="900"/>
      <c r="AA12" s="900"/>
      <c r="AB12" s="900"/>
      <c r="AC12" s="900"/>
      <c r="AD12" s="890"/>
      <c r="AE12" s="890"/>
      <c r="AF12" s="890"/>
      <c r="AG12" s="890"/>
      <c r="AH12" s="890"/>
      <c r="AI12" s="890"/>
      <c r="AJ12" s="890"/>
      <c r="AK12" s="890"/>
      <c r="AL12" s="890"/>
      <c r="AM12" s="890"/>
      <c r="AN12" s="890"/>
      <c r="AO12" s="890"/>
      <c r="AP12" s="890"/>
      <c r="AQ12" s="890"/>
      <c r="AR12" s="890"/>
      <c r="AS12" s="890"/>
      <c r="AT12" s="890"/>
      <c r="AU12" s="890"/>
      <c r="AV12" s="890"/>
      <c r="AW12" s="890"/>
      <c r="AX12" s="890"/>
      <c r="AY12" s="890"/>
      <c r="AZ12" s="890"/>
      <c r="BA12" s="890"/>
      <c r="BB12" s="890"/>
      <c r="BC12" s="890"/>
      <c r="BD12" s="890"/>
      <c r="BE12" s="890"/>
      <c r="BF12" s="890"/>
      <c r="BG12" s="890"/>
      <c r="BH12" s="890"/>
      <c r="BI12" s="890"/>
      <c r="BJ12" s="890"/>
      <c r="BK12" s="890"/>
      <c r="BL12" s="890"/>
      <c r="BM12" s="890"/>
      <c r="BN12" s="890"/>
      <c r="BO12" s="890"/>
      <c r="BP12" s="890"/>
      <c r="BQ12" s="890"/>
      <c r="BR12" s="890"/>
      <c r="BS12" s="890"/>
      <c r="BT12" s="890"/>
      <c r="BU12" s="890"/>
      <c r="BV12" s="890"/>
      <c r="BW12" s="890"/>
      <c r="BX12" s="890"/>
      <c r="BY12" s="890"/>
      <c r="BZ12" s="890"/>
      <c r="CA12" s="890"/>
      <c r="CB12" s="890"/>
    </row>
    <row r="13" spans="1:82" s="889" customFormat="1" ht="12" customHeight="1">
      <c r="A13" s="890"/>
      <c r="B13" s="891"/>
      <c r="C13" s="892" t="s">
        <v>268</v>
      </c>
      <c r="D13" s="2086" t="s">
        <v>269</v>
      </c>
      <c r="E13" s="2086"/>
      <c r="F13" s="2086"/>
      <c r="G13" s="2086"/>
      <c r="H13" s="2086"/>
      <c r="I13" s="2086"/>
      <c r="J13" s="893" t="s">
        <v>264</v>
      </c>
      <c r="K13" s="894">
        <f>IF(DATA!AH49=1,"",IF(AC25=1,"",DATA!CF244))</f>
        <v>415396</v>
      </c>
      <c r="L13" s="902">
        <f>MIN(K11:K13)</f>
        <v>40150</v>
      </c>
      <c r="M13" s="900"/>
      <c r="N13" s="900"/>
      <c r="O13" s="900"/>
      <c r="P13" s="903" t="s">
        <v>405</v>
      </c>
      <c r="Q13" s="900"/>
      <c r="R13" s="900"/>
      <c r="S13" s="900"/>
      <c r="T13" s="900"/>
      <c r="U13" s="900">
        <f>ROUND(Y10*10%,-1)</f>
        <v>103850</v>
      </c>
      <c r="V13" s="900"/>
      <c r="W13" s="904" t="str">
        <f>CONCATENATE(" ( Pay - ",Bill!D25," +  DA - ",Z13," )")</f>
        <v xml:space="preserve"> ( Pay - 699925 +  DA - 338563 )</v>
      </c>
      <c r="X13" s="900"/>
      <c r="Y13" s="901"/>
      <c r="Z13" s="900">
        <f>IF(DATA!CH262=1,0,Bill!E25)</f>
        <v>338563</v>
      </c>
      <c r="AA13" s="900"/>
      <c r="AB13" s="900"/>
      <c r="AC13" s="900"/>
      <c r="AD13" s="890"/>
      <c r="AE13" s="890"/>
      <c r="AF13" s="890"/>
      <c r="AG13" s="890"/>
      <c r="AH13" s="890"/>
      <c r="AI13" s="890"/>
      <c r="AJ13" s="890"/>
      <c r="AK13" s="890"/>
      <c r="AL13" s="890"/>
      <c r="AM13" s="890"/>
      <c r="AN13" s="890"/>
      <c r="AO13" s="890"/>
      <c r="AP13" s="890"/>
      <c r="AQ13" s="890"/>
      <c r="AR13" s="890"/>
      <c r="AS13" s="890"/>
      <c r="AT13" s="890"/>
      <c r="AU13" s="890"/>
      <c r="AV13" s="890"/>
      <c r="AW13" s="890"/>
      <c r="AX13" s="890"/>
      <c r="AY13" s="890"/>
      <c r="AZ13" s="890"/>
      <c r="BA13" s="890"/>
      <c r="BB13" s="890"/>
      <c r="BC13" s="890"/>
      <c r="BD13" s="890"/>
      <c r="BE13" s="890"/>
      <c r="BF13" s="890"/>
      <c r="BG13" s="890"/>
      <c r="BH13" s="890"/>
      <c r="BI13" s="890"/>
      <c r="BJ13" s="890"/>
      <c r="BK13" s="890"/>
      <c r="BL13" s="890"/>
      <c r="BM13" s="890"/>
      <c r="BN13" s="890"/>
      <c r="BO13" s="890"/>
      <c r="BP13" s="890"/>
      <c r="BQ13" s="890"/>
      <c r="BR13" s="890"/>
      <c r="BS13" s="890"/>
      <c r="BT13" s="890"/>
      <c r="BU13" s="890"/>
      <c r="BV13" s="890"/>
      <c r="BW13" s="890"/>
      <c r="BX13" s="890"/>
      <c r="BY13" s="890"/>
      <c r="BZ13" s="890"/>
      <c r="CA13" s="890"/>
      <c r="CB13" s="890"/>
    </row>
    <row r="14" spans="1:82" s="905" customFormat="1" ht="12" hidden="1" customHeight="1">
      <c r="A14" s="906"/>
      <c r="B14" s="891"/>
      <c r="C14" s="907"/>
      <c r="D14" s="908"/>
      <c r="E14" s="908"/>
      <c r="F14" s="908"/>
      <c r="G14" s="908"/>
      <c r="H14" s="908"/>
      <c r="I14" s="908"/>
      <c r="J14" s="909" t="s">
        <v>264</v>
      </c>
      <c r="K14" s="910"/>
      <c r="L14" s="911">
        <f>K14</f>
        <v>0</v>
      </c>
      <c r="M14" s="912"/>
      <c r="N14" s="912"/>
      <c r="O14" s="912"/>
      <c r="P14" s="903"/>
      <c r="Q14" s="912"/>
      <c r="R14" s="912"/>
      <c r="S14" s="912"/>
      <c r="T14" s="912"/>
      <c r="U14" s="912"/>
      <c r="V14" s="912"/>
      <c r="W14" s="903"/>
      <c r="X14" s="912"/>
      <c r="Y14" s="913"/>
      <c r="Z14" s="912"/>
      <c r="AA14" s="912"/>
      <c r="AB14" s="912"/>
      <c r="AC14" s="912"/>
      <c r="AD14" s="906"/>
      <c r="AE14" s="906"/>
      <c r="AF14" s="906"/>
      <c r="AG14" s="906"/>
      <c r="AH14" s="906"/>
      <c r="AI14" s="906"/>
      <c r="AJ14" s="906"/>
      <c r="AK14" s="906"/>
      <c r="AL14" s="906"/>
      <c r="AM14" s="906"/>
      <c r="AN14" s="906"/>
      <c r="AO14" s="906"/>
      <c r="AP14" s="906"/>
      <c r="AQ14" s="906"/>
      <c r="AR14" s="906"/>
      <c r="AS14" s="906"/>
      <c r="AT14" s="906"/>
      <c r="AU14" s="906"/>
      <c r="AV14" s="906"/>
      <c r="AW14" s="906"/>
      <c r="AX14" s="906"/>
      <c r="AY14" s="906"/>
      <c r="AZ14" s="906"/>
      <c r="BA14" s="906"/>
      <c r="BB14" s="906"/>
      <c r="BC14" s="906"/>
      <c r="BD14" s="906"/>
      <c r="BE14" s="906"/>
      <c r="BF14" s="906"/>
      <c r="BG14" s="906"/>
      <c r="BH14" s="906"/>
      <c r="BI14" s="906"/>
      <c r="BJ14" s="906"/>
      <c r="BK14" s="906"/>
      <c r="BL14" s="906"/>
      <c r="BM14" s="906"/>
      <c r="BN14" s="906"/>
      <c r="BO14" s="906"/>
      <c r="BP14" s="906"/>
      <c r="BQ14" s="906"/>
      <c r="BR14" s="906"/>
      <c r="BS14" s="906"/>
      <c r="BT14" s="906"/>
      <c r="BU14" s="906"/>
      <c r="BV14" s="906"/>
      <c r="BW14" s="906"/>
      <c r="BX14" s="906"/>
      <c r="BY14" s="906"/>
      <c r="BZ14" s="906"/>
      <c r="CA14" s="906"/>
      <c r="CB14" s="906"/>
    </row>
    <row r="15" spans="1:82" ht="14.25" customHeight="1">
      <c r="A15" s="770"/>
      <c r="B15" s="887">
        <v>3</v>
      </c>
      <c r="C15" s="2089" t="s">
        <v>785</v>
      </c>
      <c r="D15" s="2090"/>
      <c r="E15" s="2090"/>
      <c r="F15" s="2090"/>
      <c r="G15" s="2090"/>
      <c r="H15" s="2090"/>
      <c r="I15" s="2090"/>
      <c r="J15" s="914" t="s">
        <v>264</v>
      </c>
      <c r="K15" s="915"/>
      <c r="L15" s="888">
        <f>L9-L13</f>
        <v>1263828</v>
      </c>
      <c r="M15" s="900"/>
      <c r="N15" s="900"/>
      <c r="O15" s="900"/>
      <c r="P15" s="900"/>
      <c r="Q15" s="916" t="s">
        <v>558</v>
      </c>
      <c r="R15" s="916"/>
      <c r="S15" s="916"/>
      <c r="T15" s="916"/>
      <c r="U15" s="900">
        <f>ROUND(U12-U13,0)</f>
        <v>40150</v>
      </c>
      <c r="V15" s="900"/>
      <c r="W15" s="900"/>
      <c r="X15" s="900"/>
      <c r="Y15" s="917">
        <f>U13+Bill!G25</f>
        <v>187838</v>
      </c>
      <c r="Z15" s="900"/>
      <c r="AA15" s="900"/>
      <c r="AB15" s="900"/>
      <c r="AC15" s="900"/>
      <c r="AD15" s="770"/>
      <c r="AE15" s="770"/>
      <c r="AF15" s="770"/>
      <c r="AG15" s="770"/>
      <c r="AH15" s="770"/>
      <c r="AI15" s="770"/>
      <c r="AJ15" s="770"/>
      <c r="AK15" s="770"/>
      <c r="AL15" s="770"/>
      <c r="AM15" s="770"/>
      <c r="AN15" s="770"/>
      <c r="AO15" s="770"/>
      <c r="AP15" s="770"/>
      <c r="AQ15" s="770"/>
      <c r="AR15" s="770"/>
      <c r="AS15" s="770"/>
      <c r="AT15" s="770"/>
      <c r="AU15" s="770"/>
      <c r="AV15" s="770"/>
      <c r="AW15" s="770"/>
      <c r="AX15" s="770"/>
      <c r="AY15" s="770"/>
      <c r="AZ15" s="770"/>
      <c r="BA15" s="770"/>
      <c r="BB15" s="770"/>
      <c r="BC15" s="770"/>
      <c r="BD15" s="770"/>
      <c r="BE15" s="770"/>
      <c r="BF15" s="770"/>
      <c r="BG15" s="770"/>
      <c r="BH15" s="770"/>
      <c r="BI15" s="770"/>
      <c r="BJ15" s="770"/>
      <c r="BK15" s="770"/>
      <c r="BL15" s="770"/>
      <c r="BM15" s="770"/>
      <c r="BN15" s="770"/>
      <c r="BO15" s="770"/>
      <c r="BP15" s="770"/>
      <c r="BQ15" s="770"/>
      <c r="BR15" s="770"/>
      <c r="BS15" s="770"/>
      <c r="BT15" s="770"/>
      <c r="BU15" s="770"/>
      <c r="BV15" s="770"/>
      <c r="BW15" s="770"/>
      <c r="BX15" s="770"/>
      <c r="BY15" s="770"/>
      <c r="BZ15" s="770"/>
      <c r="CA15" s="770"/>
      <c r="CB15" s="770"/>
    </row>
    <row r="16" spans="1:82" ht="12" customHeight="1">
      <c r="A16" s="770"/>
      <c r="B16" s="887">
        <v>4</v>
      </c>
      <c r="C16" s="2050" t="s">
        <v>270</v>
      </c>
      <c r="D16" s="2051"/>
      <c r="E16" s="2051"/>
      <c r="F16" s="2051"/>
      <c r="G16" s="2051"/>
      <c r="H16" s="2051"/>
      <c r="I16" s="2051"/>
      <c r="J16" s="914"/>
      <c r="K16" s="915"/>
      <c r="L16" s="888"/>
      <c r="M16" s="770"/>
      <c r="N16" s="770"/>
      <c r="O16" s="770"/>
      <c r="P16" s="770"/>
      <c r="Q16" s="770"/>
      <c r="R16" s="770"/>
      <c r="S16" s="770"/>
      <c r="T16" s="770"/>
      <c r="U16" s="770"/>
      <c r="V16" s="770"/>
      <c r="W16" s="770"/>
      <c r="X16" s="770"/>
      <c r="Y16" s="810">
        <f>ROUND(Y15/12,-2)+100</f>
        <v>15800</v>
      </c>
      <c r="Z16" s="770"/>
      <c r="AA16" s="770"/>
      <c r="AB16" s="770"/>
      <c r="AC16" s="770"/>
      <c r="AD16" s="770"/>
      <c r="AE16" s="770"/>
      <c r="AF16" s="770"/>
      <c r="AG16" s="770"/>
      <c r="AH16" s="770"/>
      <c r="AI16" s="770"/>
      <c r="AJ16" s="770"/>
      <c r="AK16" s="770"/>
      <c r="AL16" s="770"/>
      <c r="AM16" s="770"/>
      <c r="AN16" s="770"/>
      <c r="AO16" s="770"/>
      <c r="AP16" s="770"/>
      <c r="AQ16" s="770"/>
      <c r="AR16" s="770"/>
      <c r="AS16" s="770"/>
      <c r="AT16" s="770"/>
      <c r="AU16" s="770"/>
      <c r="AV16" s="770"/>
      <c r="AW16" s="770"/>
      <c r="AX16" s="770"/>
      <c r="AY16" s="770"/>
      <c r="AZ16" s="770"/>
      <c r="BA16" s="770"/>
      <c r="BB16" s="770"/>
      <c r="BC16" s="770"/>
      <c r="BD16" s="770"/>
      <c r="BE16" s="770"/>
      <c r="BF16" s="770"/>
      <c r="BG16" s="770"/>
      <c r="BH16" s="770"/>
      <c r="BI16" s="770"/>
      <c r="BJ16" s="770"/>
      <c r="BK16" s="770"/>
      <c r="BL16" s="770"/>
      <c r="BM16" s="770"/>
      <c r="BN16" s="770"/>
      <c r="BO16" s="770"/>
      <c r="BP16" s="770"/>
      <c r="BQ16" s="770"/>
      <c r="BR16" s="770"/>
      <c r="BS16" s="770"/>
      <c r="BT16" s="770"/>
      <c r="BU16" s="770"/>
      <c r="BV16" s="770"/>
      <c r="BW16" s="770"/>
      <c r="BX16" s="770"/>
      <c r="BY16" s="770"/>
      <c r="BZ16" s="770"/>
      <c r="CA16" s="770"/>
      <c r="CB16" s="770"/>
    </row>
    <row r="17" spans="1:80" ht="15" customHeight="1">
      <c r="A17" s="770"/>
      <c r="B17" s="887"/>
      <c r="C17" s="918" t="s">
        <v>265</v>
      </c>
      <c r="D17" s="2072" t="s">
        <v>271</v>
      </c>
      <c r="E17" s="2072"/>
      <c r="F17" s="2072"/>
      <c r="G17" s="2072"/>
      <c r="H17" s="2072"/>
      <c r="I17" s="2072"/>
      <c r="J17" s="919" t="s">
        <v>264</v>
      </c>
      <c r="K17" s="920">
        <f>IF(DATA!AH49=1,"",DATA!CI245)</f>
        <v>0</v>
      </c>
      <c r="L17" s="888"/>
      <c r="M17" s="770"/>
      <c r="N17" s="770"/>
      <c r="O17" s="770"/>
      <c r="P17" s="770"/>
      <c r="Q17" s="770"/>
      <c r="R17" s="770"/>
      <c r="S17" s="770"/>
      <c r="T17" s="770"/>
      <c r="U17" s="770"/>
      <c r="V17" s="770"/>
      <c r="W17" s="770"/>
      <c r="X17" s="770"/>
      <c r="Y17" s="770"/>
      <c r="Z17" s="770"/>
      <c r="AA17" s="770"/>
      <c r="AB17" s="770"/>
      <c r="AC17" s="770"/>
      <c r="AD17" s="770"/>
      <c r="AE17" s="770"/>
      <c r="AF17" s="770"/>
      <c r="AG17" s="770"/>
      <c r="AH17" s="770"/>
      <c r="AI17" s="770"/>
      <c r="AJ17" s="770"/>
      <c r="AK17" s="770"/>
      <c r="AL17" s="770"/>
      <c r="AM17" s="770"/>
      <c r="AN17" s="770"/>
      <c r="AO17" s="770"/>
      <c r="AP17" s="770"/>
      <c r="AQ17" s="770"/>
      <c r="AR17" s="770"/>
      <c r="AS17" s="770"/>
      <c r="AT17" s="770"/>
      <c r="AU17" s="770"/>
      <c r="AV17" s="770"/>
      <c r="AW17" s="770"/>
      <c r="AX17" s="770"/>
      <c r="AY17" s="770"/>
      <c r="AZ17" s="770"/>
      <c r="BA17" s="770"/>
      <c r="BB17" s="770"/>
      <c r="BC17" s="770"/>
      <c r="BD17" s="770"/>
      <c r="BE17" s="770"/>
      <c r="BF17" s="770"/>
      <c r="BG17" s="770"/>
      <c r="BH17" s="770"/>
      <c r="BI17" s="770"/>
      <c r="BJ17" s="770"/>
      <c r="BK17" s="770"/>
      <c r="BL17" s="770"/>
      <c r="BM17" s="770"/>
      <c r="BN17" s="770"/>
      <c r="BO17" s="770"/>
      <c r="BP17" s="770"/>
      <c r="BQ17" s="770"/>
      <c r="BR17" s="770"/>
      <c r="BS17" s="770"/>
      <c r="BT17" s="770"/>
      <c r="BU17" s="770"/>
      <c r="BV17" s="770"/>
      <c r="BW17" s="770"/>
      <c r="BX17" s="770"/>
      <c r="BY17" s="770"/>
      <c r="BZ17" s="770"/>
      <c r="CA17" s="770"/>
      <c r="CB17" s="770"/>
    </row>
    <row r="18" spans="1:80" ht="12" customHeight="1">
      <c r="A18" s="770"/>
      <c r="B18" s="887"/>
      <c r="C18" s="918" t="s">
        <v>267</v>
      </c>
      <c r="D18" s="2093" t="s">
        <v>272</v>
      </c>
      <c r="E18" s="2093"/>
      <c r="F18" s="2093"/>
      <c r="G18" s="2093"/>
      <c r="H18" s="2093"/>
      <c r="I18" s="2093"/>
      <c r="J18" s="919" t="s">
        <v>264</v>
      </c>
      <c r="K18" s="894">
        <f>IF(DATA!AH49=1,"",IF(AC25=1,"",Bill!AC25))</f>
        <v>2400</v>
      </c>
      <c r="L18" s="921">
        <f>IF(DATA!AH49=1,0,IF(DATA!CJ175=1,(DATA!CG243+DATA!CJ245),MAX(K17:K18)))</f>
        <v>2400</v>
      </c>
      <c r="M18" s="770"/>
      <c r="N18" s="770"/>
      <c r="O18" s="770"/>
      <c r="P18" s="770"/>
      <c r="Q18" s="770"/>
      <c r="R18" s="770"/>
      <c r="S18" s="770"/>
      <c r="T18" s="770"/>
      <c r="U18" s="770"/>
      <c r="V18" s="770"/>
      <c r="W18" s="770"/>
      <c r="X18" s="770"/>
      <c r="Y18" s="770"/>
      <c r="Z18" s="770"/>
      <c r="AA18" s="770"/>
      <c r="AB18" s="770"/>
      <c r="AC18" s="770"/>
      <c r="AD18" s="770"/>
      <c r="AE18" s="770"/>
      <c r="AF18" s="770"/>
      <c r="AG18" s="770"/>
      <c r="AH18" s="770"/>
      <c r="AI18" s="770"/>
      <c r="AJ18" s="770"/>
      <c r="AK18" s="770"/>
      <c r="AL18" s="770"/>
      <c r="AM18" s="770"/>
      <c r="AN18" s="770"/>
      <c r="AO18" s="770"/>
      <c r="AP18" s="770"/>
      <c r="AQ18" s="770"/>
      <c r="AR18" s="770"/>
      <c r="AS18" s="770"/>
      <c r="AT18" s="770"/>
      <c r="AU18" s="770"/>
      <c r="AV18" s="770"/>
      <c r="AW18" s="770"/>
      <c r="AX18" s="770"/>
      <c r="AY18" s="770"/>
      <c r="AZ18" s="770"/>
      <c r="BA18" s="770"/>
      <c r="BB18" s="770"/>
      <c r="BC18" s="770"/>
      <c r="BD18" s="770"/>
      <c r="BE18" s="770"/>
      <c r="BF18" s="770"/>
      <c r="BG18" s="770"/>
      <c r="BH18" s="770"/>
      <c r="BI18" s="770"/>
      <c r="BJ18" s="770"/>
      <c r="BK18" s="770"/>
      <c r="BL18" s="770"/>
      <c r="BM18" s="770"/>
      <c r="BN18" s="770"/>
      <c r="BO18" s="770"/>
      <c r="BP18" s="770"/>
      <c r="BQ18" s="770"/>
      <c r="BR18" s="770"/>
      <c r="BS18" s="770"/>
      <c r="BT18" s="770"/>
      <c r="BU18" s="770"/>
      <c r="BV18" s="770"/>
      <c r="BW18" s="770"/>
      <c r="BX18" s="770"/>
      <c r="BY18" s="770"/>
      <c r="BZ18" s="770"/>
      <c r="CA18" s="770"/>
      <c r="CB18" s="770"/>
    </row>
    <row r="19" spans="1:80" ht="12" customHeight="1">
      <c r="A19" s="770"/>
      <c r="B19" s="887">
        <v>5</v>
      </c>
      <c r="C19" s="922" t="s">
        <v>839</v>
      </c>
      <c r="D19" s="922"/>
      <c r="E19" s="922"/>
      <c r="F19" s="922"/>
      <c r="G19" s="923"/>
      <c r="H19" s="922"/>
      <c r="I19" s="924"/>
      <c r="J19" s="925" t="s">
        <v>264</v>
      </c>
      <c r="K19" s="926"/>
      <c r="L19" s="888">
        <f>L15-L18</f>
        <v>1261428</v>
      </c>
      <c r="M19" s="770"/>
      <c r="N19" s="770"/>
      <c r="O19" s="770"/>
      <c r="P19" s="770"/>
      <c r="Q19" s="770"/>
      <c r="R19" s="770"/>
      <c r="S19" s="770"/>
      <c r="T19" s="770"/>
      <c r="U19" s="821"/>
      <c r="V19" s="821"/>
      <c r="W19" s="821"/>
      <c r="X19" s="821"/>
      <c r="Y19" s="821"/>
      <c r="Z19" s="821"/>
      <c r="AA19" s="821"/>
      <c r="AB19" s="821"/>
      <c r="AC19" s="770"/>
      <c r="AD19" s="770"/>
      <c r="AE19" s="770"/>
      <c r="AF19" s="770"/>
      <c r="AG19" s="770"/>
      <c r="AH19" s="770"/>
      <c r="AI19" s="770"/>
      <c r="AJ19" s="770"/>
      <c r="AK19" s="770"/>
      <c r="AL19" s="770"/>
      <c r="AM19" s="770"/>
      <c r="AN19" s="770"/>
      <c r="AO19" s="770"/>
      <c r="AP19" s="770"/>
      <c r="AQ19" s="770"/>
      <c r="AR19" s="770"/>
      <c r="AS19" s="770"/>
      <c r="AT19" s="770"/>
      <c r="AU19" s="770"/>
      <c r="AV19" s="770"/>
      <c r="AW19" s="770"/>
      <c r="AX19" s="770"/>
      <c r="AY19" s="770"/>
      <c r="AZ19" s="770"/>
      <c r="BA19" s="770"/>
      <c r="BB19" s="770"/>
      <c r="BC19" s="770"/>
      <c r="BD19" s="770"/>
      <c r="BE19" s="770"/>
      <c r="BF19" s="770"/>
      <c r="BG19" s="770"/>
      <c r="BH19" s="770"/>
      <c r="BI19" s="770"/>
      <c r="BJ19" s="770"/>
      <c r="BK19" s="770"/>
      <c r="BL19" s="770"/>
      <c r="BM19" s="770"/>
      <c r="BN19" s="770"/>
      <c r="BO19" s="770"/>
      <c r="BP19" s="770"/>
      <c r="BQ19" s="770"/>
      <c r="BR19" s="770"/>
      <c r="BS19" s="770"/>
      <c r="BT19" s="770"/>
      <c r="BU19" s="770"/>
      <c r="BV19" s="770"/>
      <c r="BW19" s="770"/>
      <c r="BX19" s="770"/>
      <c r="BY19" s="770"/>
      <c r="BZ19" s="770"/>
      <c r="CA19" s="770"/>
      <c r="CB19" s="770"/>
    </row>
    <row r="20" spans="1:80" ht="12" customHeight="1">
      <c r="A20" s="770"/>
      <c r="B20" s="887">
        <v>6</v>
      </c>
      <c r="C20" s="922" t="s">
        <v>809</v>
      </c>
      <c r="D20" s="922"/>
      <c r="E20" s="922"/>
      <c r="F20" s="922"/>
      <c r="G20" s="923"/>
      <c r="H20" s="927"/>
      <c r="I20" s="928" t="str">
        <f>IF(DATA!BQ238=1,DATA!N38,"")</f>
        <v/>
      </c>
      <c r="J20" s="2061" t="str">
        <f>IF(DATA!BQ238=1,DATA!Q38,"")</f>
        <v/>
      </c>
      <c r="K20" s="2062"/>
      <c r="L20" s="888">
        <f>IF(DATA!AH49=1,0,50000)</f>
        <v>50000</v>
      </c>
      <c r="M20" s="770"/>
      <c r="N20" s="770"/>
      <c r="O20" s="770"/>
      <c r="P20" s="770"/>
      <c r="Q20" s="770"/>
      <c r="R20" s="770"/>
      <c r="S20" s="770"/>
      <c r="T20" s="770"/>
      <c r="U20" s="821"/>
      <c r="V20" s="821"/>
      <c r="W20" s="821"/>
      <c r="X20" s="821"/>
      <c r="Y20" s="821"/>
      <c r="Z20" s="821"/>
      <c r="AA20" s="821"/>
      <c r="AB20" s="821"/>
      <c r="AC20" s="770"/>
      <c r="AD20" s="770"/>
      <c r="AE20" s="770"/>
      <c r="AF20" s="770"/>
      <c r="AG20" s="770"/>
      <c r="AH20" s="770"/>
      <c r="AI20" s="770"/>
      <c r="AJ20" s="770"/>
      <c r="AK20" s="770"/>
      <c r="AL20" s="770"/>
      <c r="AM20" s="770"/>
      <c r="AN20" s="770"/>
      <c r="AO20" s="770"/>
      <c r="AP20" s="770"/>
      <c r="AQ20" s="770"/>
      <c r="AR20" s="770"/>
      <c r="AS20" s="770"/>
      <c r="AT20" s="770"/>
      <c r="AU20" s="770"/>
      <c r="AV20" s="770"/>
      <c r="AW20" s="770"/>
      <c r="AX20" s="770"/>
      <c r="AY20" s="770"/>
      <c r="AZ20" s="770"/>
      <c r="BA20" s="770"/>
      <c r="BB20" s="770"/>
      <c r="BC20" s="770"/>
      <c r="BD20" s="770"/>
      <c r="BE20" s="770"/>
      <c r="BF20" s="770"/>
      <c r="BG20" s="770"/>
      <c r="BH20" s="770"/>
      <c r="BI20" s="770"/>
      <c r="BJ20" s="770"/>
      <c r="BK20" s="770"/>
      <c r="BL20" s="770"/>
      <c r="BM20" s="770"/>
      <c r="BN20" s="770"/>
      <c r="BO20" s="770"/>
      <c r="BP20" s="770"/>
      <c r="BQ20" s="770"/>
      <c r="BR20" s="770"/>
      <c r="BS20" s="770"/>
      <c r="BT20" s="770"/>
      <c r="BU20" s="770"/>
      <c r="BV20" s="770"/>
      <c r="BW20" s="770"/>
      <c r="BX20" s="770"/>
      <c r="BY20" s="770"/>
      <c r="BZ20" s="770"/>
      <c r="CA20" s="770"/>
      <c r="CB20" s="770"/>
    </row>
    <row r="21" spans="1:80" ht="12" customHeight="1">
      <c r="A21" s="770"/>
      <c r="B21" s="887">
        <v>7</v>
      </c>
      <c r="C21" s="922" t="s">
        <v>786</v>
      </c>
      <c r="D21" s="922"/>
      <c r="E21" s="922"/>
      <c r="F21" s="922"/>
      <c r="G21" s="923"/>
      <c r="H21" s="927"/>
      <c r="I21" s="928" t="str">
        <f>IF(DATA!BQ238=1,DATA!N39,"")</f>
        <v/>
      </c>
      <c r="J21" s="2095" t="str">
        <f>IF(DATA!BQ238=1,DATA!Q39,"")</f>
        <v/>
      </c>
      <c r="K21" s="2096"/>
      <c r="L21" s="929">
        <f>L19-L20</f>
        <v>1211428</v>
      </c>
      <c r="M21" s="770"/>
      <c r="N21" s="770"/>
      <c r="O21" s="770"/>
      <c r="P21" s="770"/>
      <c r="Q21" s="770"/>
      <c r="R21" s="770"/>
      <c r="S21" s="770"/>
      <c r="T21" s="770"/>
      <c r="U21" s="821"/>
      <c r="V21" s="821"/>
      <c r="W21" s="821"/>
      <c r="X21" s="821"/>
      <c r="Y21" s="821"/>
      <c r="Z21" s="821"/>
      <c r="AA21" s="821"/>
      <c r="AB21" s="821"/>
      <c r="AC21" s="770"/>
      <c r="AD21" s="770"/>
      <c r="AE21" s="770"/>
      <c r="AF21" s="770"/>
      <c r="AG21" s="770"/>
      <c r="AH21" s="770"/>
      <c r="AI21" s="770"/>
      <c r="AJ21" s="770"/>
      <c r="AK21" s="770"/>
      <c r="AL21" s="770"/>
      <c r="AM21" s="770"/>
      <c r="AN21" s="770"/>
      <c r="AO21" s="770"/>
      <c r="AP21" s="770"/>
      <c r="AQ21" s="770"/>
      <c r="AR21" s="770"/>
      <c r="AS21" s="770"/>
      <c r="AT21" s="770"/>
      <c r="AU21" s="770"/>
      <c r="AV21" s="770"/>
      <c r="AW21" s="770"/>
      <c r="AX21" s="770"/>
      <c r="AY21" s="770"/>
      <c r="AZ21" s="770"/>
      <c r="BA21" s="770"/>
      <c r="BB21" s="770"/>
      <c r="BC21" s="770"/>
      <c r="BD21" s="770"/>
      <c r="BE21" s="770"/>
      <c r="BF21" s="770"/>
      <c r="BG21" s="770"/>
      <c r="BH21" s="770"/>
      <c r="BI21" s="770"/>
      <c r="BJ21" s="770"/>
      <c r="BK21" s="770"/>
      <c r="BL21" s="770"/>
      <c r="BM21" s="770"/>
      <c r="BN21" s="770"/>
      <c r="BO21" s="770"/>
      <c r="BP21" s="770"/>
      <c r="BQ21" s="770"/>
      <c r="BR21" s="770"/>
      <c r="BS21" s="770"/>
      <c r="BT21" s="770"/>
      <c r="BU21" s="770"/>
      <c r="BV21" s="770"/>
      <c r="BW21" s="770"/>
      <c r="BX21" s="770"/>
      <c r="BY21" s="770"/>
      <c r="BZ21" s="770"/>
      <c r="CA21" s="770"/>
      <c r="CB21" s="770"/>
    </row>
    <row r="22" spans="1:80" ht="12" customHeight="1">
      <c r="A22" s="770"/>
      <c r="B22" s="887">
        <v>8</v>
      </c>
      <c r="C22" s="618" t="str">
        <f>DATA!BB209</f>
        <v>Income From other sources</v>
      </c>
      <c r="D22" s="930"/>
      <c r="E22" s="930"/>
      <c r="F22" s="931"/>
      <c r="G22" s="931"/>
      <c r="H22" s="932"/>
      <c r="I22" s="928" t="str">
        <f>IF(DATA!BQ238=1,DATA!N40,"")</f>
        <v/>
      </c>
      <c r="J22" s="2095" t="str">
        <f>IF(DATA!BQ238=1,DATA!Q40,"")</f>
        <v/>
      </c>
      <c r="K22" s="2096"/>
      <c r="L22" s="888">
        <f>DATA!G38</f>
        <v>0</v>
      </c>
      <c r="M22" s="770"/>
      <c r="N22" s="933"/>
      <c r="O22" s="770"/>
      <c r="P22" s="770"/>
      <c r="Q22" s="770"/>
      <c r="R22" s="770"/>
      <c r="S22" s="770"/>
      <c r="T22" s="770"/>
      <c r="U22" s="821"/>
      <c r="V22" s="821"/>
      <c r="W22" s="821"/>
      <c r="X22" s="934"/>
      <c r="Y22" s="934"/>
      <c r="Z22" s="934"/>
      <c r="AA22" s="934"/>
      <c r="AB22" s="821"/>
      <c r="AC22" s="770" t="s">
        <v>863</v>
      </c>
      <c r="AD22" s="770"/>
      <c r="AE22" s="770"/>
      <c r="AF22" s="770"/>
      <c r="AG22" s="770"/>
      <c r="AH22" s="770"/>
      <c r="AI22" s="770"/>
      <c r="AJ22" s="770"/>
      <c r="AK22" s="770"/>
      <c r="AL22" s="770"/>
      <c r="AM22" s="770"/>
      <c r="AN22" s="770"/>
      <c r="AO22" s="770"/>
      <c r="AP22" s="770"/>
      <c r="AQ22" s="770"/>
      <c r="AR22" s="770"/>
      <c r="AS22" s="770"/>
      <c r="AT22" s="770"/>
      <c r="AU22" s="770"/>
      <c r="AV22" s="770"/>
      <c r="AW22" s="770"/>
      <c r="AX22" s="770"/>
      <c r="AY22" s="770"/>
      <c r="AZ22" s="770"/>
      <c r="BA22" s="770"/>
      <c r="BB22" s="770"/>
      <c r="BC22" s="770"/>
      <c r="BD22" s="770"/>
      <c r="BE22" s="770"/>
      <c r="BF22" s="770"/>
      <c r="BG22" s="770"/>
      <c r="BH22" s="770"/>
      <c r="BI22" s="770"/>
      <c r="BJ22" s="770"/>
      <c r="BK22" s="770"/>
      <c r="BL22" s="770"/>
      <c r="BM22" s="770"/>
      <c r="BN22" s="770"/>
      <c r="BO22" s="770"/>
      <c r="BP22" s="770"/>
      <c r="BQ22" s="770"/>
      <c r="BR22" s="770"/>
      <c r="BS22" s="770"/>
      <c r="BT22" s="770"/>
      <c r="BU22" s="770"/>
      <c r="BV22" s="770"/>
      <c r="BW22" s="770"/>
      <c r="BX22" s="770"/>
      <c r="BY22" s="770"/>
      <c r="BZ22" s="770"/>
      <c r="CA22" s="770"/>
      <c r="CB22" s="770"/>
    </row>
    <row r="23" spans="1:80" ht="12" customHeight="1">
      <c r="A23" s="770"/>
      <c r="B23" s="887"/>
      <c r="C23" s="618" t="str">
        <f>DATA!BB210</f>
        <v>Income From Capital Gains</v>
      </c>
      <c r="D23" s="930"/>
      <c r="E23" s="930"/>
      <c r="F23" s="931"/>
      <c r="G23" s="931"/>
      <c r="H23" s="932"/>
      <c r="I23" s="928" t="str">
        <f>IF(DATA!BQ238=1,"Interest Paid  on Housing Loan","")</f>
        <v/>
      </c>
      <c r="J23" s="2095" t="str">
        <f>IF(DATA!BQ238=1,DATA!BQ229,"")</f>
        <v/>
      </c>
      <c r="K23" s="2096"/>
      <c r="L23" s="888">
        <f>DATA!G39</f>
        <v>0</v>
      </c>
      <c r="M23" s="770"/>
      <c r="N23" s="770"/>
      <c r="O23" s="770"/>
      <c r="P23" s="770"/>
      <c r="Q23" s="770"/>
      <c r="R23" s="770"/>
      <c r="S23" s="770"/>
      <c r="T23" s="770"/>
      <c r="U23" s="821"/>
      <c r="V23" s="821"/>
      <c r="W23" s="821"/>
      <c r="X23" s="935"/>
      <c r="Y23" s="935"/>
      <c r="Z23" s="935"/>
      <c r="AA23" s="935"/>
      <c r="AB23" s="821"/>
      <c r="AC23" s="770" t="s">
        <v>864</v>
      </c>
      <c r="AD23" s="770"/>
      <c r="AE23" s="770"/>
      <c r="AF23" s="770"/>
      <c r="AG23" s="770"/>
      <c r="AH23" s="770"/>
      <c r="AI23" s="770"/>
      <c r="AJ23" s="770"/>
      <c r="AK23" s="770"/>
      <c r="AL23" s="770"/>
      <c r="AM23" s="770"/>
      <c r="AN23" s="770"/>
      <c r="AO23" s="770"/>
      <c r="AP23" s="770"/>
      <c r="AQ23" s="770"/>
      <c r="AR23" s="770"/>
      <c r="AS23" s="770"/>
      <c r="AT23" s="770"/>
      <c r="AU23" s="770"/>
      <c r="AV23" s="770"/>
      <c r="AW23" s="770"/>
      <c r="AX23" s="770"/>
      <c r="AY23" s="770"/>
      <c r="AZ23" s="770"/>
      <c r="BA23" s="770"/>
      <c r="BB23" s="770"/>
      <c r="BC23" s="770"/>
      <c r="BD23" s="770"/>
      <c r="BE23" s="770"/>
      <c r="BF23" s="770"/>
      <c r="BG23" s="770"/>
      <c r="BH23" s="770"/>
      <c r="BI23" s="770"/>
      <c r="BJ23" s="770"/>
      <c r="BK23" s="770"/>
      <c r="BL23" s="770"/>
      <c r="BM23" s="770"/>
      <c r="BN23" s="770"/>
      <c r="BO23" s="770"/>
      <c r="BP23" s="770"/>
      <c r="BQ23" s="770"/>
      <c r="BR23" s="770"/>
      <c r="BS23" s="770"/>
      <c r="BT23" s="770"/>
      <c r="BU23" s="770"/>
      <c r="BV23" s="770"/>
      <c r="BW23" s="770"/>
      <c r="BX23" s="770"/>
      <c r="BY23" s="770"/>
      <c r="BZ23" s="770"/>
      <c r="CA23" s="770"/>
      <c r="CB23" s="770"/>
    </row>
    <row r="24" spans="1:80" ht="12" customHeight="1">
      <c r="A24" s="770"/>
      <c r="B24" s="887">
        <v>9</v>
      </c>
      <c r="C24" s="2092" t="str">
        <f>DATA!BN239</f>
        <v>Income</v>
      </c>
      <c r="D24" s="2092"/>
      <c r="E24" s="931" t="s">
        <v>750</v>
      </c>
      <c r="F24" s="931"/>
      <c r="G24" s="931"/>
      <c r="H24" s="932"/>
      <c r="I24" s="928" t="str">
        <f>IF(DATA!BQ238=1,DATA!N41,"")</f>
        <v/>
      </c>
      <c r="J24" s="2097" t="str">
        <f>IF(DATA!BQ238=1,DATA!Q41,"")</f>
        <v/>
      </c>
      <c r="K24" s="2098"/>
      <c r="L24" s="936">
        <f>IF(M24="",0,M24)</f>
        <v>0</v>
      </c>
      <c r="M24" s="810" t="str">
        <f>CONCATENATE("",DATA!BM239)</f>
        <v/>
      </c>
      <c r="N24" s="770"/>
      <c r="O24" s="770"/>
      <c r="P24" s="770"/>
      <c r="Q24" s="770"/>
      <c r="R24" s="770"/>
      <c r="S24" s="770"/>
      <c r="T24" s="770"/>
      <c r="U24" s="821"/>
      <c r="V24" s="821"/>
      <c r="W24" s="821"/>
      <c r="X24" s="935"/>
      <c r="Y24" s="935"/>
      <c r="Z24" s="935"/>
      <c r="AA24" s="935">
        <f>IF(AA25&gt;AA31,AA31,AA25)</f>
        <v>0</v>
      </c>
      <c r="AB24" s="821"/>
      <c r="AC24" s="770"/>
      <c r="AD24" s="770"/>
      <c r="AE24" s="770"/>
      <c r="AF24" s="770"/>
      <c r="AG24" s="770"/>
      <c r="AH24" s="770"/>
      <c r="AI24" s="770"/>
      <c r="AJ24" s="770"/>
      <c r="AK24" s="770"/>
      <c r="AL24" s="770"/>
      <c r="AM24" s="770"/>
      <c r="AN24" s="770"/>
      <c r="AO24" s="770"/>
      <c r="AP24" s="770"/>
      <c r="AQ24" s="770"/>
      <c r="AR24" s="770"/>
      <c r="AS24" s="770"/>
      <c r="AT24" s="770"/>
      <c r="AU24" s="770"/>
      <c r="AV24" s="770"/>
      <c r="AW24" s="770"/>
      <c r="AX24" s="770"/>
      <c r="AY24" s="770"/>
      <c r="AZ24" s="770"/>
      <c r="BA24" s="770"/>
      <c r="BB24" s="770"/>
      <c r="BC24" s="770"/>
      <c r="BD24" s="770"/>
      <c r="BE24" s="770"/>
      <c r="BF24" s="770"/>
      <c r="BG24" s="770"/>
      <c r="BH24" s="770"/>
      <c r="BI24" s="770"/>
      <c r="BJ24" s="770"/>
      <c r="BK24" s="770"/>
      <c r="BL24" s="770"/>
      <c r="BM24" s="770"/>
      <c r="BN24" s="770"/>
      <c r="BO24" s="770"/>
      <c r="BP24" s="770"/>
      <c r="BQ24" s="770"/>
      <c r="BR24" s="770"/>
      <c r="BS24" s="770"/>
      <c r="BT24" s="770"/>
      <c r="BU24" s="770"/>
      <c r="BV24" s="770"/>
      <c r="BW24" s="770"/>
      <c r="BX24" s="770"/>
      <c r="BY24" s="770"/>
      <c r="BZ24" s="770"/>
      <c r="CA24" s="770"/>
      <c r="CB24" s="770"/>
    </row>
    <row r="25" spans="1:80" ht="12" customHeight="1">
      <c r="A25" s="770"/>
      <c r="B25" s="887">
        <v>10</v>
      </c>
      <c r="C25" s="922" t="s">
        <v>840</v>
      </c>
      <c r="D25" s="922"/>
      <c r="E25" s="922"/>
      <c r="F25" s="922"/>
      <c r="G25" s="922"/>
      <c r="H25" s="922"/>
      <c r="I25" s="937"/>
      <c r="J25" s="938"/>
      <c r="K25" s="939"/>
      <c r="L25" s="929">
        <f>SUM(L21:L23)+L24</f>
        <v>1211428</v>
      </c>
      <c r="M25" s="770"/>
      <c r="N25" s="770"/>
      <c r="O25" s="770"/>
      <c r="P25" s="770"/>
      <c r="Q25" s="770"/>
      <c r="R25" s="770"/>
      <c r="S25" s="770"/>
      <c r="T25" s="770"/>
      <c r="U25" s="821"/>
      <c r="V25" s="821"/>
      <c r="W25" s="821"/>
      <c r="X25" s="940"/>
      <c r="Y25" s="935"/>
      <c r="Z25" s="940">
        <f>IF(X27&gt;X28,Z27,Z26)</f>
        <v>84000</v>
      </c>
      <c r="AA25" s="935">
        <f>IF(Z31&gt;Z25,(Z31-Z25),IF(Z31&lt;Z25,-(Z31-Z25),0))</f>
        <v>0</v>
      </c>
      <c r="AB25" s="821"/>
      <c r="AC25" s="774">
        <f>DATA!AH49</f>
        <v>2</v>
      </c>
      <c r="AD25" s="770"/>
      <c r="AE25" s="770"/>
      <c r="AF25" s="770"/>
      <c r="AG25" s="770"/>
      <c r="AH25" s="770"/>
      <c r="AI25" s="770"/>
      <c r="AJ25" s="770"/>
      <c r="AK25" s="770"/>
      <c r="AL25" s="770"/>
      <c r="AM25" s="770"/>
      <c r="AN25" s="770"/>
      <c r="AO25" s="770"/>
      <c r="AP25" s="770"/>
      <c r="AQ25" s="770"/>
      <c r="AR25" s="770"/>
      <c r="AS25" s="770"/>
      <c r="AT25" s="770"/>
      <c r="AU25" s="770"/>
      <c r="AV25" s="770"/>
      <c r="AW25" s="770"/>
      <c r="AX25" s="770"/>
      <c r="AY25" s="770"/>
      <c r="AZ25" s="770"/>
      <c r="BA25" s="770"/>
      <c r="BB25" s="770"/>
      <c r="BC25" s="770"/>
      <c r="BD25" s="770"/>
      <c r="BE25" s="770"/>
      <c r="BF25" s="770"/>
      <c r="BG25" s="770"/>
      <c r="BH25" s="770"/>
      <c r="BI25" s="770"/>
      <c r="BJ25" s="770"/>
      <c r="BK25" s="770"/>
      <c r="BL25" s="770"/>
      <c r="BM25" s="770"/>
      <c r="BN25" s="770"/>
      <c r="BO25" s="770"/>
      <c r="BP25" s="770"/>
      <c r="BQ25" s="770"/>
      <c r="BR25" s="770"/>
      <c r="BS25" s="770"/>
      <c r="BT25" s="770"/>
      <c r="BU25" s="770"/>
      <c r="BV25" s="770"/>
      <c r="BW25" s="770"/>
      <c r="BX25" s="770"/>
      <c r="BY25" s="770"/>
      <c r="BZ25" s="770"/>
      <c r="CA25" s="770"/>
      <c r="CB25" s="770"/>
    </row>
    <row r="26" spans="1:80" ht="12" customHeight="1">
      <c r="A26" s="770"/>
      <c r="B26" s="887">
        <v>11</v>
      </c>
      <c r="C26" s="2089" t="s">
        <v>273</v>
      </c>
      <c r="D26" s="2090"/>
      <c r="E26" s="2090"/>
      <c r="F26" s="2090"/>
      <c r="G26" s="2090"/>
      <c r="H26" s="2090"/>
      <c r="I26" s="2090"/>
      <c r="J26" s="941"/>
      <c r="K26" s="915"/>
      <c r="L26" s="888"/>
      <c r="M26" s="770"/>
      <c r="N26" s="770"/>
      <c r="O26" s="770"/>
      <c r="P26" s="770"/>
      <c r="Q26" s="770"/>
      <c r="R26" s="770"/>
      <c r="S26" s="770"/>
      <c r="T26" s="770"/>
      <c r="U26" s="821"/>
      <c r="V26" s="821"/>
      <c r="W26" s="821"/>
      <c r="X26" s="940"/>
      <c r="Y26" s="940"/>
      <c r="Z26" s="940">
        <f>IF(Y27&lt;X28,Z31,Z27)</f>
        <v>84000</v>
      </c>
      <c r="AA26" s="940"/>
      <c r="AB26" s="821"/>
      <c r="AC26" s="770"/>
      <c r="AD26" s="770"/>
      <c r="AE26" s="770"/>
      <c r="AF26" s="770"/>
      <c r="AG26" s="770"/>
      <c r="AH26" s="770"/>
      <c r="AI26" s="770"/>
      <c r="AJ26" s="770"/>
      <c r="AK26" s="770"/>
      <c r="AL26" s="770"/>
      <c r="AM26" s="770"/>
      <c r="AN26" s="770"/>
      <c r="AO26" s="770"/>
      <c r="AP26" s="770"/>
      <c r="AQ26" s="770"/>
      <c r="AR26" s="770"/>
      <c r="AS26" s="770"/>
      <c r="AT26" s="770"/>
      <c r="AU26" s="770"/>
      <c r="AV26" s="770"/>
      <c r="AW26" s="770"/>
      <c r="AX26" s="770"/>
      <c r="AY26" s="770"/>
      <c r="AZ26" s="770"/>
      <c r="BA26" s="770"/>
      <c r="BB26" s="770"/>
      <c r="BC26" s="770"/>
      <c r="BD26" s="770"/>
      <c r="BE26" s="770"/>
      <c r="BF26" s="770"/>
      <c r="BG26" s="770"/>
      <c r="BH26" s="770"/>
      <c r="BI26" s="770"/>
      <c r="BJ26" s="770"/>
      <c r="BK26" s="770"/>
      <c r="BL26" s="770"/>
      <c r="BM26" s="770"/>
      <c r="BN26" s="770"/>
      <c r="BO26" s="770"/>
      <c r="BP26" s="770"/>
      <c r="BQ26" s="770"/>
      <c r="BR26" s="770"/>
      <c r="BS26" s="770"/>
      <c r="BT26" s="770"/>
      <c r="BU26" s="770"/>
      <c r="BV26" s="770"/>
      <c r="BW26" s="770"/>
      <c r="BX26" s="770"/>
      <c r="BY26" s="770"/>
      <c r="BZ26" s="770"/>
      <c r="CA26" s="770"/>
      <c r="CB26" s="770"/>
    </row>
    <row r="27" spans="1:80" s="889" customFormat="1" ht="13.5" customHeight="1">
      <c r="A27" s="890"/>
      <c r="B27" s="891"/>
      <c r="C27" s="892" t="s">
        <v>265</v>
      </c>
      <c r="D27" s="942" t="s">
        <v>121</v>
      </c>
      <c r="E27" s="942" t="s">
        <v>787</v>
      </c>
      <c r="F27" s="942"/>
      <c r="G27" s="942"/>
      <c r="H27" s="942"/>
      <c r="I27" s="942"/>
      <c r="J27" s="893" t="s">
        <v>264</v>
      </c>
      <c r="K27" s="894">
        <f>IF(DATA!AH49=1,"",Bill!AF25)</f>
        <v>150</v>
      </c>
      <c r="L27" s="895"/>
      <c r="M27" s="890"/>
      <c r="N27" s="890"/>
      <c r="O27" s="890"/>
      <c r="P27" s="890"/>
      <c r="Q27" s="890"/>
      <c r="R27" s="890"/>
      <c r="S27" s="890"/>
      <c r="T27" s="890"/>
      <c r="U27" s="943"/>
      <c r="V27" s="943"/>
      <c r="W27" s="943"/>
      <c r="X27" s="940">
        <f>Bill!Y25+Bill!AA25+Bill!AD25+Bill!AH25+K41+K42+K43+K44+K45</f>
        <v>109440</v>
      </c>
      <c r="Y27" s="940">
        <f>Bill!AA25+Bill!AD25+Bill!AH25+K41+K42+K43+K44+K45</f>
        <v>25440</v>
      </c>
      <c r="Z27" s="935">
        <f>IF(Y27&gt;X28,0,IF(Y27&lt;X28,-(Y27-X28)))</f>
        <v>124560</v>
      </c>
      <c r="AA27" s="935"/>
      <c r="AB27" s="943"/>
      <c r="AC27" s="890"/>
      <c r="AD27" s="890"/>
      <c r="AE27" s="890"/>
      <c r="AF27" s="890"/>
      <c r="AG27" s="890"/>
      <c r="AH27" s="890"/>
      <c r="AI27" s="890"/>
      <c r="AJ27" s="890"/>
      <c r="AK27" s="890"/>
      <c r="AL27" s="890"/>
      <c r="AM27" s="890"/>
      <c r="AN27" s="890"/>
      <c r="AO27" s="890"/>
      <c r="AP27" s="890"/>
      <c r="AQ27" s="890"/>
      <c r="AR27" s="890"/>
      <c r="AS27" s="890"/>
      <c r="AT27" s="890"/>
      <c r="AU27" s="890"/>
      <c r="AV27" s="890"/>
      <c r="AW27" s="890"/>
      <c r="AX27" s="890"/>
      <c r="AY27" s="890"/>
      <c r="AZ27" s="890"/>
      <c r="BA27" s="890"/>
      <c r="BB27" s="890"/>
      <c r="BC27" s="890"/>
      <c r="BD27" s="890"/>
      <c r="BE27" s="890"/>
      <c r="BF27" s="890"/>
      <c r="BG27" s="890"/>
      <c r="BH27" s="890"/>
      <c r="BI27" s="890"/>
      <c r="BJ27" s="890"/>
      <c r="BK27" s="890"/>
      <c r="BL27" s="890"/>
      <c r="BM27" s="890"/>
      <c r="BN27" s="890"/>
      <c r="BO27" s="890"/>
      <c r="BP27" s="890"/>
      <c r="BQ27" s="890"/>
      <c r="BR27" s="890"/>
      <c r="BS27" s="890"/>
      <c r="BT27" s="890"/>
      <c r="BU27" s="890"/>
      <c r="BV27" s="890"/>
      <c r="BW27" s="890"/>
      <c r="BX27" s="890"/>
      <c r="BY27" s="890"/>
      <c r="BZ27" s="890"/>
      <c r="CA27" s="890"/>
      <c r="CB27" s="890"/>
    </row>
    <row r="28" spans="1:80" s="889" customFormat="1" ht="12" customHeight="1">
      <c r="A28" s="944"/>
      <c r="B28" s="945" t="s">
        <v>853</v>
      </c>
      <c r="C28" s="892" t="s">
        <v>267</v>
      </c>
      <c r="D28" s="942" t="str">
        <f>DATA!BL211</f>
        <v>80EE</v>
      </c>
      <c r="E28" s="942" t="str">
        <f>DATA!BO190</f>
        <v>Interest of Housing Loan 80EE</v>
      </c>
      <c r="F28" s="942"/>
      <c r="G28" s="942"/>
      <c r="H28" s="942"/>
      <c r="I28" s="942"/>
      <c r="J28" s="893" t="s">
        <v>264</v>
      </c>
      <c r="K28" s="894">
        <f>IF(DATA!AH49=1,"",DATA!BP193)</f>
        <v>0</v>
      </c>
      <c r="L28" s="895"/>
      <c r="M28" s="890"/>
      <c r="N28" s="890"/>
      <c r="O28" s="890"/>
      <c r="P28" s="890"/>
      <c r="Q28" s="890"/>
      <c r="R28" s="890"/>
      <c r="S28" s="890"/>
      <c r="T28" s="890"/>
      <c r="U28" s="943"/>
      <c r="V28" s="943"/>
      <c r="W28" s="946"/>
      <c r="X28" s="940">
        <v>150000</v>
      </c>
      <c r="Y28" s="940"/>
      <c r="Z28" s="935"/>
      <c r="AA28" s="935"/>
      <c r="AB28" s="943"/>
      <c r="AC28" s="890"/>
      <c r="AD28" s="890"/>
      <c r="AE28" s="890"/>
      <c r="AF28" s="890"/>
      <c r="AG28" s="890"/>
      <c r="AH28" s="890"/>
      <c r="AI28" s="890"/>
      <c r="AJ28" s="890"/>
      <c r="AK28" s="890"/>
      <c r="AL28" s="890"/>
      <c r="AM28" s="890"/>
      <c r="AN28" s="890"/>
      <c r="AO28" s="890"/>
      <c r="AP28" s="890"/>
      <c r="AQ28" s="890"/>
      <c r="AR28" s="890"/>
      <c r="AS28" s="890"/>
      <c r="AT28" s="890"/>
      <c r="AU28" s="890"/>
      <c r="AV28" s="890"/>
      <c r="AW28" s="890"/>
      <c r="AX28" s="890"/>
      <c r="AY28" s="890"/>
      <c r="AZ28" s="890"/>
      <c r="BA28" s="890"/>
      <c r="BB28" s="890"/>
      <c r="BC28" s="890"/>
      <c r="BD28" s="890"/>
      <c r="BE28" s="890"/>
      <c r="BF28" s="890"/>
      <c r="BG28" s="890"/>
      <c r="BH28" s="890"/>
      <c r="BI28" s="890"/>
      <c r="BJ28" s="890"/>
      <c r="BK28" s="890"/>
      <c r="BL28" s="890"/>
      <c r="BM28" s="890"/>
      <c r="BN28" s="890"/>
      <c r="BO28" s="890"/>
      <c r="BP28" s="890"/>
      <c r="BQ28" s="890"/>
      <c r="BR28" s="890"/>
      <c r="BS28" s="890"/>
      <c r="BT28" s="890"/>
      <c r="BU28" s="890"/>
      <c r="BV28" s="890"/>
      <c r="BW28" s="890"/>
      <c r="BX28" s="890"/>
      <c r="BY28" s="890"/>
      <c r="BZ28" s="890"/>
      <c r="CA28" s="890"/>
      <c r="CB28" s="890"/>
    </row>
    <row r="29" spans="1:80" s="889" customFormat="1" ht="12" customHeight="1">
      <c r="A29" s="890"/>
      <c r="B29" s="891"/>
      <c r="C29" s="892" t="s">
        <v>268</v>
      </c>
      <c r="D29" s="942" t="str">
        <f>DATA!BL212</f>
        <v>80EEA</v>
      </c>
      <c r="E29" s="942" t="str">
        <f>DATA!BO191</f>
        <v>Interest of HBA Loan 80EEA</v>
      </c>
      <c r="F29" s="942"/>
      <c r="G29" s="942"/>
      <c r="H29" s="942"/>
      <c r="I29" s="942"/>
      <c r="J29" s="893" t="s">
        <v>264</v>
      </c>
      <c r="K29" s="894">
        <f>IF(DATA!AH49=1,"",DATA!BP194)</f>
        <v>0</v>
      </c>
      <c r="L29" s="895"/>
      <c r="M29" s="890"/>
      <c r="N29" s="890"/>
      <c r="O29" s="890"/>
      <c r="P29" s="890"/>
      <c r="Q29" s="890"/>
      <c r="R29" s="890"/>
      <c r="S29" s="890"/>
      <c r="T29" s="890"/>
      <c r="U29" s="943"/>
      <c r="V29" s="943"/>
      <c r="W29" s="943"/>
      <c r="X29" s="940">
        <f>IF((X27-X28)&gt;0,(X27-X28),IF((X27-X28)&lt;0,0))</f>
        <v>0</v>
      </c>
      <c r="Y29" s="935"/>
      <c r="Z29" s="935"/>
      <c r="AA29" s="935"/>
      <c r="AB29" s="943"/>
      <c r="AC29" s="890"/>
      <c r="AD29" s="890"/>
      <c r="AE29" s="890"/>
      <c r="AF29" s="890"/>
      <c r="AG29" s="890"/>
      <c r="AH29" s="890"/>
      <c r="AI29" s="890"/>
      <c r="AJ29" s="890"/>
      <c r="AK29" s="890"/>
      <c r="AL29" s="890"/>
      <c r="AM29" s="890"/>
      <c r="AN29" s="890"/>
      <c r="AO29" s="890"/>
      <c r="AP29" s="890"/>
      <c r="AQ29" s="890"/>
      <c r="AR29" s="890"/>
      <c r="AS29" s="890"/>
      <c r="AT29" s="890"/>
      <c r="AU29" s="890"/>
      <c r="AV29" s="890"/>
      <c r="AW29" s="890"/>
      <c r="AX29" s="890"/>
      <c r="AY29" s="890"/>
      <c r="AZ29" s="890"/>
      <c r="BA29" s="890"/>
      <c r="BB29" s="890"/>
      <c r="BC29" s="890"/>
      <c r="BD29" s="890"/>
      <c r="BE29" s="890"/>
      <c r="BF29" s="890"/>
      <c r="BG29" s="890"/>
      <c r="BH29" s="890"/>
      <c r="BI29" s="890"/>
      <c r="BJ29" s="890"/>
      <c r="BK29" s="890"/>
      <c r="BL29" s="890"/>
      <c r="BM29" s="890"/>
      <c r="BN29" s="890"/>
      <c r="BO29" s="890"/>
      <c r="BP29" s="890"/>
      <c r="BQ29" s="890"/>
      <c r="BR29" s="890"/>
      <c r="BS29" s="890"/>
      <c r="BT29" s="890"/>
      <c r="BU29" s="890"/>
      <c r="BV29" s="890"/>
      <c r="BW29" s="890"/>
      <c r="BX29" s="890"/>
      <c r="BY29" s="890"/>
      <c r="BZ29" s="890"/>
      <c r="CA29" s="890"/>
      <c r="CB29" s="890"/>
    </row>
    <row r="30" spans="1:80" s="889" customFormat="1" ht="12" customHeight="1">
      <c r="A30" s="890"/>
      <c r="B30" s="891"/>
      <c r="C30" s="892" t="s">
        <v>278</v>
      </c>
      <c r="D30" s="897" t="str">
        <f>DATA!BL170</f>
        <v>24B</v>
      </c>
      <c r="E30" s="897" t="str">
        <f>DATA!BO189</f>
        <v>Interest of Housing Loan Section 24</v>
      </c>
      <c r="F30" s="897"/>
      <c r="G30" s="897"/>
      <c r="H30" s="897"/>
      <c r="I30" s="947"/>
      <c r="J30" s="893" t="s">
        <v>264</v>
      </c>
      <c r="K30" s="894">
        <f>IF(DATA!AH49=1,"",DATA!BQ192)</f>
        <v>0</v>
      </c>
      <c r="L30" s="895"/>
      <c r="M30" s="890"/>
      <c r="N30" s="890"/>
      <c r="O30" s="890"/>
      <c r="P30" s="890"/>
      <c r="Q30" s="890"/>
      <c r="R30" s="890"/>
      <c r="S30" s="890"/>
      <c r="T30" s="890"/>
      <c r="U30" s="943"/>
      <c r="V30" s="943"/>
      <c r="W30" s="943"/>
      <c r="X30" s="935"/>
      <c r="Y30" s="948"/>
      <c r="Z30" s="935"/>
      <c r="AA30" s="935"/>
      <c r="AB30" s="943"/>
      <c r="AC30" s="890"/>
      <c r="AD30" s="890"/>
      <c r="AE30" s="890"/>
      <c r="AF30" s="890"/>
      <c r="AG30" s="890"/>
      <c r="AH30" s="890"/>
      <c r="AI30" s="890"/>
      <c r="AJ30" s="890"/>
      <c r="AK30" s="890"/>
      <c r="AL30" s="890"/>
      <c r="AM30" s="890"/>
      <c r="AN30" s="890"/>
      <c r="AO30" s="890"/>
      <c r="AP30" s="890"/>
      <c r="AQ30" s="890"/>
      <c r="AR30" s="890"/>
      <c r="AS30" s="890"/>
      <c r="AT30" s="890"/>
      <c r="AU30" s="890"/>
      <c r="AV30" s="890"/>
      <c r="AW30" s="890"/>
      <c r="AX30" s="890"/>
      <c r="AY30" s="890"/>
      <c r="AZ30" s="890"/>
      <c r="BA30" s="890"/>
      <c r="BB30" s="890"/>
      <c r="BC30" s="890"/>
      <c r="BD30" s="890"/>
      <c r="BE30" s="890"/>
      <c r="BF30" s="890"/>
      <c r="BG30" s="890"/>
      <c r="BH30" s="890"/>
      <c r="BI30" s="890"/>
      <c r="BJ30" s="890"/>
      <c r="BK30" s="890"/>
      <c r="BL30" s="890"/>
      <c r="BM30" s="890"/>
      <c r="BN30" s="890"/>
      <c r="BO30" s="890"/>
      <c r="BP30" s="890"/>
      <c r="BQ30" s="890"/>
      <c r="BR30" s="890"/>
      <c r="BS30" s="890"/>
      <c r="BT30" s="890"/>
      <c r="BU30" s="890"/>
      <c r="BV30" s="890"/>
      <c r="BW30" s="890"/>
      <c r="BX30" s="890"/>
      <c r="BY30" s="890"/>
      <c r="BZ30" s="890"/>
      <c r="CA30" s="890"/>
      <c r="CB30" s="890"/>
    </row>
    <row r="31" spans="1:80" s="889" customFormat="1" ht="12" customHeight="1">
      <c r="A31" s="890"/>
      <c r="B31" s="891"/>
      <c r="C31" s="892" t="s">
        <v>279</v>
      </c>
      <c r="D31" s="949" t="s">
        <v>120</v>
      </c>
      <c r="E31" s="949" t="str">
        <f>DATA!BL223</f>
        <v>Disabled Person (PH)-above 40% disability ( Rule 11A)</v>
      </c>
      <c r="F31" s="949"/>
      <c r="G31" s="949"/>
      <c r="H31" s="949"/>
      <c r="I31" s="949"/>
      <c r="J31" s="950" t="s">
        <v>264</v>
      </c>
      <c r="K31" s="951">
        <f>IF(DATA!AH49=1,"",DATA!BL225)</f>
        <v>0</v>
      </c>
      <c r="L31" s="895"/>
      <c r="M31" s="890"/>
      <c r="N31" s="890"/>
      <c r="O31" s="890"/>
      <c r="P31" s="890"/>
      <c r="Q31" s="890"/>
      <c r="R31" s="890"/>
      <c r="S31" s="890"/>
      <c r="T31" s="890"/>
      <c r="U31" s="943"/>
      <c r="V31" s="943"/>
      <c r="W31" s="943"/>
      <c r="X31" s="940"/>
      <c r="Y31" s="952"/>
      <c r="Z31" s="935">
        <f>Bill!Y25</f>
        <v>84000</v>
      </c>
      <c r="AA31" s="935">
        <v>50000</v>
      </c>
      <c r="AB31" s="943"/>
      <c r="AC31" s="890"/>
      <c r="AD31" s="890"/>
      <c r="AE31" s="890"/>
      <c r="AF31" s="890"/>
      <c r="AG31" s="890"/>
      <c r="AH31" s="890"/>
      <c r="AI31" s="890"/>
      <c r="AJ31" s="890"/>
      <c r="AK31" s="890"/>
      <c r="AL31" s="890"/>
      <c r="AM31" s="890"/>
      <c r="AN31" s="890"/>
      <c r="AO31" s="890"/>
      <c r="AP31" s="890"/>
      <c r="AQ31" s="890"/>
      <c r="AR31" s="890"/>
      <c r="AS31" s="890"/>
      <c r="AT31" s="890"/>
      <c r="AU31" s="890"/>
      <c r="AV31" s="890"/>
      <c r="AW31" s="890"/>
      <c r="AX31" s="890"/>
      <c r="AY31" s="890"/>
      <c r="AZ31" s="890"/>
      <c r="BA31" s="890"/>
      <c r="BB31" s="890"/>
      <c r="BC31" s="890"/>
      <c r="BD31" s="890"/>
      <c r="BE31" s="890"/>
      <c r="BF31" s="890"/>
      <c r="BG31" s="890"/>
      <c r="BH31" s="890"/>
      <c r="BI31" s="890"/>
      <c r="BJ31" s="890"/>
      <c r="BK31" s="890"/>
      <c r="BL31" s="890"/>
      <c r="BM31" s="890"/>
      <c r="BN31" s="890"/>
      <c r="BO31" s="890"/>
      <c r="BP31" s="890"/>
      <c r="BQ31" s="890"/>
      <c r="BR31" s="890"/>
      <c r="BS31" s="890"/>
      <c r="BT31" s="890"/>
      <c r="BU31" s="890"/>
      <c r="BV31" s="890"/>
      <c r="BW31" s="890"/>
      <c r="BX31" s="890"/>
      <c r="BY31" s="890"/>
      <c r="BZ31" s="890"/>
      <c r="CA31" s="890"/>
      <c r="CB31" s="890"/>
    </row>
    <row r="32" spans="1:80" s="889" customFormat="1" ht="12" customHeight="1">
      <c r="A32" s="890"/>
      <c r="B32" s="891"/>
      <c r="C32" s="892" t="s">
        <v>280</v>
      </c>
      <c r="D32" s="949" t="s">
        <v>539</v>
      </c>
      <c r="E32" s="949" t="s">
        <v>540</v>
      </c>
      <c r="F32" s="949"/>
      <c r="G32" s="949"/>
      <c r="H32" s="949"/>
      <c r="I32" s="949"/>
      <c r="J32" s="953" t="s">
        <v>264</v>
      </c>
      <c r="K32" s="910">
        <f>IF(DATA!AH49=1,"",IF(AC25=1,"",Bill!AG25))</f>
        <v>3600</v>
      </c>
      <c r="L32" s="895"/>
      <c r="M32" s="890"/>
      <c r="N32" s="890"/>
      <c r="O32" s="890"/>
      <c r="P32" s="890"/>
      <c r="Q32" s="890"/>
      <c r="R32" s="890"/>
      <c r="S32" s="890"/>
      <c r="T32" s="890"/>
      <c r="U32" s="943"/>
      <c r="V32" s="943"/>
      <c r="W32" s="943"/>
      <c r="X32" s="940"/>
      <c r="Y32" s="935"/>
      <c r="Z32" s="952">
        <f>IF(DATA!CF174=1,Bill!Y25,Z25)</f>
        <v>84000</v>
      </c>
      <c r="AA32" s="935"/>
      <c r="AB32" s="943"/>
      <c r="AC32" s="890"/>
      <c r="AD32" s="890"/>
      <c r="AE32" s="890"/>
      <c r="AF32" s="890"/>
      <c r="AG32" s="890"/>
      <c r="AH32" s="890"/>
      <c r="AI32" s="890"/>
      <c r="AJ32" s="890"/>
      <c r="AK32" s="890"/>
      <c r="AL32" s="890"/>
      <c r="AM32" s="890"/>
      <c r="AN32" s="890"/>
      <c r="AO32" s="890"/>
      <c r="AP32" s="890"/>
      <c r="AQ32" s="890"/>
      <c r="AR32" s="890"/>
      <c r="AS32" s="890"/>
      <c r="AT32" s="890"/>
      <c r="AU32" s="890"/>
      <c r="AV32" s="890"/>
      <c r="AW32" s="890"/>
      <c r="AX32" s="890"/>
      <c r="AY32" s="890"/>
      <c r="AZ32" s="890"/>
      <c r="BA32" s="890"/>
      <c r="BB32" s="890"/>
      <c r="BC32" s="890"/>
      <c r="BD32" s="890"/>
      <c r="BE32" s="890"/>
      <c r="BF32" s="890"/>
      <c r="BG32" s="890"/>
      <c r="BH32" s="890"/>
      <c r="BI32" s="890"/>
      <c r="BJ32" s="890"/>
      <c r="BK32" s="890"/>
      <c r="BL32" s="890"/>
      <c r="BM32" s="890"/>
      <c r="BN32" s="890"/>
      <c r="BO32" s="890"/>
      <c r="BP32" s="890"/>
      <c r="BQ32" s="890"/>
      <c r="BR32" s="890"/>
      <c r="BS32" s="890"/>
      <c r="BT32" s="890"/>
      <c r="BU32" s="890"/>
      <c r="BV32" s="890"/>
      <c r="BW32" s="890"/>
      <c r="BX32" s="890"/>
      <c r="BY32" s="890"/>
      <c r="BZ32" s="890"/>
      <c r="CA32" s="890"/>
      <c r="CB32" s="890"/>
    </row>
    <row r="33" spans="1:80" ht="15.75" hidden="1" customHeight="1">
      <c r="A33" s="770"/>
      <c r="B33" s="887"/>
      <c r="C33" s="954"/>
      <c r="D33" s="949"/>
      <c r="E33" s="955"/>
      <c r="F33" s="955"/>
      <c r="G33" s="955"/>
      <c r="H33" s="955"/>
      <c r="I33" s="955"/>
      <c r="J33" s="956"/>
      <c r="K33" s="957"/>
      <c r="L33" s="888"/>
      <c r="M33" s="770"/>
      <c r="N33" s="770"/>
      <c r="O33" s="770"/>
      <c r="P33" s="770"/>
      <c r="Q33" s="770"/>
      <c r="R33" s="770"/>
      <c r="S33" s="770"/>
      <c r="T33" s="770"/>
      <c r="U33" s="821"/>
      <c r="V33" s="821"/>
      <c r="W33" s="821"/>
      <c r="X33" s="958"/>
      <c r="Y33" s="958"/>
      <c r="Z33" s="821"/>
      <c r="AA33" s="821"/>
      <c r="AB33" s="821"/>
      <c r="AC33" s="770"/>
      <c r="AD33" s="770"/>
      <c r="AE33" s="770"/>
      <c r="AF33" s="770"/>
      <c r="AG33" s="770"/>
      <c r="AH33" s="770"/>
      <c r="AI33" s="770"/>
      <c r="AJ33" s="770"/>
      <c r="AK33" s="770"/>
      <c r="AL33" s="770"/>
      <c r="AM33" s="770"/>
      <c r="AN33" s="770"/>
      <c r="AO33" s="770"/>
      <c r="AP33" s="770"/>
      <c r="AQ33" s="770"/>
      <c r="AR33" s="770"/>
      <c r="AS33" s="770"/>
      <c r="AT33" s="770"/>
      <c r="AU33" s="770"/>
      <c r="AV33" s="770"/>
      <c r="AW33" s="770"/>
      <c r="AX33" s="770"/>
      <c r="AY33" s="770"/>
      <c r="AZ33" s="770"/>
      <c r="BA33" s="770"/>
      <c r="BB33" s="770"/>
      <c r="BC33" s="770"/>
      <c r="BD33" s="770"/>
      <c r="BE33" s="770"/>
      <c r="BF33" s="770"/>
      <c r="BG33" s="770"/>
      <c r="BH33" s="770"/>
      <c r="BI33" s="770"/>
      <c r="BJ33" s="770"/>
      <c r="BK33" s="770"/>
      <c r="BL33" s="770"/>
      <c r="BM33" s="770"/>
      <c r="BN33" s="770"/>
      <c r="BO33" s="770"/>
      <c r="BP33" s="770"/>
      <c r="BQ33" s="770"/>
      <c r="BR33" s="770"/>
      <c r="BS33" s="770"/>
      <c r="BT33" s="770"/>
      <c r="BU33" s="770"/>
      <c r="BV33" s="770"/>
      <c r="BW33" s="770"/>
      <c r="BX33" s="770"/>
      <c r="BY33" s="770"/>
      <c r="BZ33" s="770"/>
      <c r="CA33" s="770"/>
      <c r="CB33" s="770"/>
    </row>
    <row r="34" spans="1:80" ht="12" customHeight="1">
      <c r="A34" s="770"/>
      <c r="B34" s="887"/>
      <c r="C34" s="2099" t="s">
        <v>276</v>
      </c>
      <c r="D34" s="2100"/>
      <c r="E34" s="2100"/>
      <c r="F34" s="2100"/>
      <c r="G34" s="2100"/>
      <c r="H34" s="2100"/>
      <c r="I34" s="2100"/>
      <c r="J34" s="959" t="s">
        <v>264</v>
      </c>
      <c r="K34" s="960">
        <f>SUM(K27:K33)</f>
        <v>3750</v>
      </c>
      <c r="L34" s="921">
        <f>K34</f>
        <v>3750</v>
      </c>
      <c r="M34" s="770"/>
      <c r="N34" s="770"/>
      <c r="O34" s="770"/>
      <c r="P34" s="770"/>
      <c r="Q34" s="770"/>
      <c r="R34" s="770"/>
      <c r="S34" s="770"/>
      <c r="T34" s="770"/>
      <c r="U34" s="821"/>
      <c r="V34" s="821"/>
      <c r="W34" s="821"/>
      <c r="X34" s="821"/>
      <c r="Y34" s="821"/>
      <c r="Z34" s="958"/>
      <c r="AA34" s="821"/>
      <c r="AB34" s="821"/>
      <c r="AC34" s="770"/>
      <c r="AD34" s="770"/>
      <c r="AE34" s="770"/>
      <c r="AF34" s="770"/>
      <c r="AG34" s="770"/>
      <c r="AH34" s="770"/>
      <c r="AI34" s="770"/>
      <c r="AJ34" s="770"/>
      <c r="AK34" s="770"/>
      <c r="AL34" s="770"/>
      <c r="AM34" s="770"/>
      <c r="AN34" s="770"/>
      <c r="AO34" s="770"/>
      <c r="AP34" s="770"/>
      <c r="AQ34" s="770"/>
      <c r="AR34" s="770"/>
      <c r="AS34" s="770"/>
      <c r="AT34" s="770"/>
      <c r="AU34" s="770"/>
      <c r="AV34" s="770"/>
      <c r="AW34" s="770"/>
      <c r="AX34" s="770"/>
      <c r="AY34" s="770"/>
      <c r="AZ34" s="770"/>
      <c r="BA34" s="770"/>
      <c r="BB34" s="770"/>
      <c r="BC34" s="770"/>
      <c r="BD34" s="770"/>
      <c r="BE34" s="770"/>
      <c r="BF34" s="770"/>
      <c r="BG34" s="770"/>
      <c r="BH34" s="770"/>
      <c r="BI34" s="770"/>
      <c r="BJ34" s="770"/>
      <c r="BK34" s="770"/>
      <c r="BL34" s="770"/>
      <c r="BM34" s="770"/>
      <c r="BN34" s="770"/>
      <c r="BO34" s="770"/>
      <c r="BP34" s="770"/>
      <c r="BQ34" s="770"/>
      <c r="BR34" s="770"/>
      <c r="BS34" s="770"/>
      <c r="BT34" s="770"/>
      <c r="BU34" s="770"/>
      <c r="BV34" s="770"/>
      <c r="BW34" s="770"/>
      <c r="BX34" s="770"/>
      <c r="BY34" s="770"/>
      <c r="BZ34" s="770"/>
      <c r="CA34" s="770"/>
      <c r="CB34" s="770"/>
    </row>
    <row r="35" spans="1:80" ht="12" customHeight="1">
      <c r="A35" s="770"/>
      <c r="B35" s="887">
        <v>12</v>
      </c>
      <c r="C35" s="2050" t="s">
        <v>277</v>
      </c>
      <c r="D35" s="2051"/>
      <c r="E35" s="2051"/>
      <c r="F35" s="2051"/>
      <c r="G35" s="2051"/>
      <c r="H35" s="2051"/>
      <c r="I35" s="2051"/>
      <c r="J35" s="914" t="s">
        <v>264</v>
      </c>
      <c r="K35" s="915"/>
      <c r="L35" s="888">
        <f>IF((L25-L34)&gt;0,(L25-L34),IF((L25-L34)&lt;0,0))</f>
        <v>1207678</v>
      </c>
      <c r="M35" s="770"/>
      <c r="N35" s="770"/>
      <c r="O35" s="770"/>
      <c r="P35" s="770"/>
      <c r="Q35" s="770"/>
      <c r="R35" s="770"/>
      <c r="S35" s="770"/>
      <c r="T35" s="770"/>
      <c r="U35" s="821"/>
      <c r="V35" s="821"/>
      <c r="W35" s="821"/>
      <c r="X35" s="821"/>
      <c r="Y35" s="821"/>
      <c r="Z35" s="821"/>
      <c r="AA35" s="821"/>
      <c r="AB35" s="821"/>
      <c r="AC35" s="770"/>
      <c r="AD35" s="770"/>
      <c r="AE35" s="770"/>
      <c r="AF35" s="770"/>
      <c r="AG35" s="770"/>
      <c r="AH35" s="770"/>
      <c r="AI35" s="770"/>
      <c r="AJ35" s="770"/>
      <c r="AK35" s="770"/>
      <c r="AL35" s="770"/>
      <c r="AM35" s="770"/>
      <c r="AN35" s="770"/>
      <c r="AO35" s="770"/>
      <c r="AP35" s="770"/>
      <c r="AQ35" s="770"/>
      <c r="AR35" s="770"/>
      <c r="AS35" s="770"/>
      <c r="AT35" s="770"/>
      <c r="AU35" s="770"/>
      <c r="AV35" s="770"/>
      <c r="AW35" s="770"/>
      <c r="AX35" s="770"/>
      <c r="AY35" s="770"/>
      <c r="AZ35" s="770"/>
      <c r="BA35" s="770"/>
      <c r="BB35" s="770"/>
      <c r="BC35" s="770"/>
      <c r="BD35" s="770"/>
      <c r="BE35" s="770"/>
      <c r="BF35" s="770"/>
      <c r="BG35" s="770"/>
      <c r="BH35" s="770"/>
      <c r="BI35" s="770"/>
      <c r="BJ35" s="770"/>
      <c r="BK35" s="770"/>
      <c r="BL35" s="770"/>
      <c r="BM35" s="770"/>
      <c r="BN35" s="770"/>
      <c r="BO35" s="770"/>
      <c r="BP35" s="770"/>
      <c r="BQ35" s="770"/>
      <c r="BR35" s="770"/>
      <c r="BS35" s="770"/>
      <c r="BT35" s="770"/>
      <c r="BU35" s="770"/>
      <c r="BV35" s="770"/>
      <c r="BW35" s="770"/>
      <c r="BX35" s="770"/>
      <c r="BY35" s="770"/>
      <c r="BZ35" s="770"/>
      <c r="CA35" s="770"/>
      <c r="CB35" s="770"/>
    </row>
    <row r="36" spans="1:80" ht="12" customHeight="1">
      <c r="A36" s="770"/>
      <c r="B36" s="887">
        <v>13</v>
      </c>
      <c r="C36" s="2052" t="s">
        <v>547</v>
      </c>
      <c r="D36" s="2053"/>
      <c r="E36" s="2053"/>
      <c r="F36" s="2053"/>
      <c r="G36" s="2053"/>
      <c r="H36" s="2053"/>
      <c r="I36" s="2053"/>
      <c r="J36" s="914"/>
      <c r="K36" s="915"/>
      <c r="L36" s="888"/>
      <c r="M36" s="770"/>
      <c r="N36" s="770"/>
      <c r="O36" s="770"/>
      <c r="P36" s="770"/>
      <c r="Q36" s="770"/>
      <c r="R36" s="770"/>
      <c r="S36" s="770"/>
      <c r="T36" s="770"/>
      <c r="U36" s="821"/>
      <c r="V36" s="821"/>
      <c r="W36" s="821"/>
      <c r="X36" s="821"/>
      <c r="Y36" s="821"/>
      <c r="Z36" s="821"/>
      <c r="AA36" s="821"/>
      <c r="AB36" s="821"/>
      <c r="AC36" s="770"/>
      <c r="AD36" s="770"/>
      <c r="AE36" s="770"/>
      <c r="AF36" s="770"/>
      <c r="AG36" s="770"/>
      <c r="AH36" s="770"/>
      <c r="AI36" s="770"/>
      <c r="AJ36" s="770"/>
      <c r="AK36" s="770"/>
      <c r="AL36" s="770"/>
      <c r="AM36" s="770"/>
      <c r="AN36" s="770"/>
      <c r="AO36" s="770"/>
      <c r="AP36" s="770"/>
      <c r="AQ36" s="770"/>
      <c r="AR36" s="770"/>
      <c r="AS36" s="770"/>
      <c r="AT36" s="770"/>
      <c r="AU36" s="770"/>
      <c r="AV36" s="770"/>
      <c r="AW36" s="770"/>
      <c r="AX36" s="770"/>
      <c r="AY36" s="770"/>
      <c r="AZ36" s="770"/>
      <c r="BA36" s="770"/>
      <c r="BB36" s="770"/>
      <c r="BC36" s="770"/>
      <c r="BD36" s="770"/>
      <c r="BE36" s="770"/>
      <c r="BF36" s="770"/>
      <c r="BG36" s="770"/>
      <c r="BH36" s="770"/>
      <c r="BI36" s="770"/>
      <c r="BJ36" s="770"/>
      <c r="BK36" s="770"/>
      <c r="BL36" s="770"/>
      <c r="BM36" s="770"/>
      <c r="BN36" s="770"/>
      <c r="BO36" s="770"/>
      <c r="BP36" s="770"/>
      <c r="BQ36" s="770"/>
      <c r="BR36" s="770"/>
      <c r="BS36" s="770"/>
      <c r="BT36" s="770"/>
      <c r="BU36" s="770"/>
      <c r="BV36" s="770"/>
      <c r="BW36" s="770"/>
      <c r="BX36" s="770"/>
      <c r="BY36" s="770"/>
      <c r="BZ36" s="770"/>
      <c r="CA36" s="770"/>
      <c r="CB36" s="770"/>
    </row>
    <row r="37" spans="1:80" ht="12" customHeight="1">
      <c r="A37" s="770"/>
      <c r="B37" s="961"/>
      <c r="C37" s="962" t="s">
        <v>265</v>
      </c>
      <c r="D37" s="963" t="str">
        <f>IF(DATA!CF182=1,DATA!CD182,"CPS Employees Contribution Amount U/s 80CCD 1")</f>
        <v>PF</v>
      </c>
      <c r="E37" s="964"/>
      <c r="F37" s="964"/>
      <c r="G37" s="964"/>
      <c r="H37" s="965"/>
      <c r="I37" s="966" t="str">
        <f>CONCATENATE("No. :  ",DATA!O23)</f>
        <v xml:space="preserve">No. :  </v>
      </c>
      <c r="J37" s="919" t="s">
        <v>264</v>
      </c>
      <c r="K37" s="894">
        <f>IF(DATA!AH49=1,"",Bill!Z25)</f>
        <v>189717</v>
      </c>
      <c r="L37" s="888"/>
      <c r="M37" s="933"/>
      <c r="N37" s="933"/>
      <c r="O37" s="770"/>
      <c r="P37" s="770"/>
      <c r="Q37" s="770"/>
      <c r="R37" s="770"/>
      <c r="S37" s="770"/>
      <c r="T37" s="770"/>
      <c r="U37" s="821"/>
      <c r="V37" s="821"/>
      <c r="W37" s="821"/>
      <c r="X37" s="821"/>
      <c r="Y37" s="821"/>
      <c r="Z37" s="821"/>
      <c r="AA37" s="821"/>
      <c r="AB37" s="821"/>
      <c r="AC37" s="770"/>
      <c r="AD37" s="770"/>
      <c r="AE37" s="770"/>
      <c r="AF37" s="770"/>
      <c r="AG37" s="770"/>
      <c r="AH37" s="770"/>
      <c r="AI37" s="770"/>
      <c r="AJ37" s="770"/>
      <c r="AK37" s="770"/>
      <c r="AL37" s="770"/>
      <c r="AM37" s="770"/>
      <c r="AN37" s="770"/>
      <c r="AO37" s="770"/>
      <c r="AP37" s="770"/>
      <c r="AQ37" s="770"/>
      <c r="AR37" s="770"/>
      <c r="AS37" s="770"/>
      <c r="AT37" s="770"/>
      <c r="AU37" s="770"/>
      <c r="AV37" s="770"/>
      <c r="AW37" s="770"/>
      <c r="AX37" s="770"/>
      <c r="AY37" s="770"/>
      <c r="AZ37" s="770"/>
      <c r="BA37" s="770"/>
      <c r="BB37" s="770"/>
      <c r="BC37" s="770"/>
      <c r="BD37" s="770"/>
      <c r="BE37" s="770"/>
      <c r="BF37" s="770"/>
      <c r="BG37" s="770"/>
      <c r="BH37" s="770"/>
      <c r="BI37" s="770"/>
      <c r="BJ37" s="770"/>
      <c r="BK37" s="770"/>
      <c r="BL37" s="770"/>
      <c r="BM37" s="770"/>
      <c r="BN37" s="770"/>
      <c r="BO37" s="770"/>
      <c r="BP37" s="770"/>
      <c r="BQ37" s="770"/>
      <c r="BR37" s="770"/>
      <c r="BS37" s="770"/>
      <c r="BT37" s="770"/>
      <c r="BU37" s="770"/>
      <c r="BV37" s="770"/>
      <c r="BW37" s="770"/>
      <c r="BX37" s="770"/>
      <c r="BY37" s="770"/>
      <c r="BZ37" s="770"/>
      <c r="CA37" s="770"/>
      <c r="CB37" s="770"/>
    </row>
    <row r="38" spans="1:80" ht="12" customHeight="1">
      <c r="A38" s="770"/>
      <c r="B38" s="961"/>
      <c r="C38" s="962" t="s">
        <v>267</v>
      </c>
      <c r="D38" s="2068" t="s">
        <v>247</v>
      </c>
      <c r="E38" s="2068"/>
      <c r="F38" s="967" t="s">
        <v>561</v>
      </c>
      <c r="G38" s="2091">
        <f>DATA!S23</f>
        <v>0</v>
      </c>
      <c r="H38" s="2091"/>
      <c r="I38" s="2091"/>
      <c r="J38" s="919" t="s">
        <v>264</v>
      </c>
      <c r="K38" s="894">
        <f>IF(DATA!AH49=1,"",Bill!AB25)</f>
        <v>24000</v>
      </c>
      <c r="L38" s="888"/>
      <c r="M38" s="770"/>
      <c r="N38" s="770"/>
      <c r="O38" s="770"/>
      <c r="P38" s="770"/>
      <c r="Q38" s="770"/>
      <c r="R38" s="770"/>
      <c r="S38" s="770"/>
      <c r="T38" s="770"/>
      <c r="U38" s="770"/>
      <c r="V38" s="770"/>
      <c r="W38" s="770"/>
      <c r="X38" s="770"/>
      <c r="Y38" s="770"/>
      <c r="Z38" s="770"/>
      <c r="AA38" s="770"/>
      <c r="AB38" s="770"/>
      <c r="AC38" s="770"/>
      <c r="AD38" s="770"/>
      <c r="AE38" s="770"/>
      <c r="AF38" s="770"/>
      <c r="AG38" s="770"/>
      <c r="AH38" s="770"/>
      <c r="AI38" s="770"/>
      <c r="AJ38" s="770"/>
      <c r="AK38" s="770"/>
      <c r="AL38" s="770"/>
      <c r="AM38" s="770"/>
      <c r="AN38" s="770"/>
      <c r="AO38" s="770"/>
      <c r="AP38" s="770"/>
      <c r="AQ38" s="770"/>
      <c r="AR38" s="770"/>
      <c r="AS38" s="770"/>
      <c r="AT38" s="770"/>
      <c r="AU38" s="770"/>
      <c r="AV38" s="770"/>
      <c r="AW38" s="770"/>
      <c r="AX38" s="770"/>
      <c r="AY38" s="770"/>
      <c r="AZ38" s="770"/>
      <c r="BA38" s="770"/>
      <c r="BB38" s="770"/>
      <c r="BC38" s="770"/>
      <c r="BD38" s="770"/>
      <c r="BE38" s="770"/>
      <c r="BF38" s="770"/>
      <c r="BG38" s="770"/>
      <c r="BH38" s="770"/>
      <c r="BI38" s="770"/>
      <c r="BJ38" s="770"/>
      <c r="BK38" s="770"/>
      <c r="BL38" s="770"/>
      <c r="BM38" s="770"/>
      <c r="BN38" s="770"/>
      <c r="BO38" s="770"/>
      <c r="BP38" s="770"/>
      <c r="BQ38" s="770"/>
      <c r="BR38" s="770"/>
      <c r="BS38" s="770"/>
      <c r="BT38" s="770"/>
      <c r="BU38" s="770"/>
      <c r="BV38" s="770"/>
      <c r="BW38" s="770"/>
      <c r="BX38" s="770"/>
      <c r="BY38" s="770"/>
      <c r="BZ38" s="770"/>
      <c r="CA38" s="770"/>
      <c r="CB38" s="770"/>
    </row>
    <row r="39" spans="1:80" ht="12" customHeight="1">
      <c r="A39" s="770"/>
      <c r="B39" s="961"/>
      <c r="C39" s="962" t="s">
        <v>268</v>
      </c>
      <c r="D39" s="963" t="s">
        <v>106</v>
      </c>
      <c r="E39" s="963"/>
      <c r="F39" s="963"/>
      <c r="G39" s="963"/>
      <c r="H39" s="963"/>
      <c r="I39" s="963"/>
      <c r="J39" s="919" t="s">
        <v>264</v>
      </c>
      <c r="K39" s="894">
        <f>IF(DATA!AH49=1,"",Bill!AE25)</f>
        <v>1440</v>
      </c>
      <c r="L39" s="888"/>
      <c r="M39" s="770"/>
      <c r="N39" s="770"/>
      <c r="O39" s="770"/>
      <c r="P39" s="933"/>
      <c r="Q39" s="770"/>
      <c r="R39" s="770"/>
      <c r="S39" s="770"/>
      <c r="T39" s="770"/>
      <c r="U39" s="770"/>
      <c r="V39" s="770"/>
      <c r="W39" s="770"/>
      <c r="X39" s="770"/>
      <c r="Y39" s="770"/>
      <c r="Z39" s="933"/>
      <c r="AA39" s="770"/>
      <c r="AB39" s="770"/>
      <c r="AC39" s="770"/>
      <c r="AD39" s="770"/>
      <c r="AE39" s="770"/>
      <c r="AF39" s="770"/>
      <c r="AG39" s="770"/>
      <c r="AH39" s="770"/>
      <c r="AI39" s="770"/>
      <c r="AJ39" s="770"/>
      <c r="AK39" s="770"/>
      <c r="AL39" s="770"/>
      <c r="AM39" s="770"/>
      <c r="AN39" s="770"/>
      <c r="AO39" s="770"/>
      <c r="AP39" s="770"/>
      <c r="AQ39" s="770"/>
      <c r="AR39" s="770"/>
      <c r="AS39" s="770"/>
      <c r="AT39" s="770"/>
      <c r="AU39" s="770"/>
      <c r="AV39" s="770"/>
      <c r="AW39" s="770"/>
      <c r="AX39" s="770"/>
      <c r="AY39" s="770"/>
      <c r="AZ39" s="770"/>
      <c r="BA39" s="770"/>
      <c r="BB39" s="770"/>
      <c r="BC39" s="770"/>
      <c r="BD39" s="770"/>
      <c r="BE39" s="770"/>
      <c r="BF39" s="770"/>
      <c r="BG39" s="770"/>
      <c r="BH39" s="770"/>
      <c r="BI39" s="770"/>
      <c r="BJ39" s="770"/>
      <c r="BK39" s="770"/>
      <c r="BL39" s="770"/>
      <c r="BM39" s="770"/>
      <c r="BN39" s="770"/>
      <c r="BO39" s="770"/>
      <c r="BP39" s="770"/>
      <c r="BQ39" s="770"/>
      <c r="BR39" s="770"/>
      <c r="BS39" s="770"/>
      <c r="BT39" s="770"/>
      <c r="BU39" s="770"/>
      <c r="BV39" s="770"/>
      <c r="BW39" s="770"/>
      <c r="BX39" s="770"/>
      <c r="BY39" s="770"/>
      <c r="BZ39" s="770"/>
      <c r="CA39" s="770"/>
      <c r="CB39" s="770"/>
    </row>
    <row r="40" spans="1:80" ht="12" customHeight="1">
      <c r="A40" s="770"/>
      <c r="B40" s="961"/>
      <c r="C40" s="962" t="s">
        <v>278</v>
      </c>
      <c r="D40" s="2068" t="s">
        <v>386</v>
      </c>
      <c r="E40" s="2068"/>
      <c r="F40" s="2068"/>
      <c r="G40" s="2068"/>
      <c r="H40" s="2068"/>
      <c r="I40" s="2068"/>
      <c r="J40" s="919" t="s">
        <v>264</v>
      </c>
      <c r="K40" s="894">
        <f>IF(DATA!AH49=1,"",Bill!AH25)</f>
        <v>0</v>
      </c>
      <c r="L40" s="888"/>
      <c r="M40" s="770"/>
      <c r="N40" s="770"/>
      <c r="O40" s="770"/>
      <c r="P40" s="770"/>
      <c r="Q40" s="770"/>
      <c r="R40" s="770"/>
      <c r="S40" s="770"/>
      <c r="T40" s="770"/>
      <c r="U40" s="770"/>
      <c r="V40" s="770"/>
      <c r="W40" s="770"/>
      <c r="X40" s="770"/>
      <c r="Y40" s="770"/>
      <c r="Z40" s="770"/>
      <c r="AA40" s="770"/>
      <c r="AB40" s="770"/>
      <c r="AC40" s="770"/>
      <c r="AD40" s="770"/>
      <c r="AE40" s="770"/>
      <c r="AF40" s="770"/>
      <c r="AG40" s="770"/>
      <c r="AH40" s="770"/>
      <c r="AI40" s="770"/>
      <c r="AJ40" s="770"/>
      <c r="AK40" s="770"/>
      <c r="AL40" s="770"/>
      <c r="AM40" s="770"/>
      <c r="AN40" s="770"/>
      <c r="AO40" s="770"/>
      <c r="AP40" s="770"/>
      <c r="AQ40" s="770"/>
      <c r="AR40" s="770"/>
      <c r="AS40" s="770"/>
      <c r="AT40" s="770"/>
      <c r="AU40" s="770"/>
      <c r="AV40" s="770"/>
      <c r="AW40" s="770"/>
      <c r="AX40" s="770"/>
      <c r="AY40" s="770"/>
      <c r="AZ40" s="770"/>
      <c r="BA40" s="770"/>
      <c r="BB40" s="770"/>
      <c r="BC40" s="770"/>
      <c r="BD40" s="770"/>
      <c r="BE40" s="770"/>
      <c r="BF40" s="770"/>
      <c r="BG40" s="770"/>
      <c r="BH40" s="770"/>
      <c r="BI40" s="770"/>
      <c r="BJ40" s="770"/>
      <c r="BK40" s="770"/>
      <c r="BL40" s="770"/>
      <c r="BM40" s="770"/>
      <c r="BN40" s="770"/>
      <c r="BO40" s="770"/>
      <c r="BP40" s="770"/>
      <c r="BQ40" s="770"/>
      <c r="BR40" s="770"/>
      <c r="BS40" s="770"/>
      <c r="BT40" s="770"/>
      <c r="BU40" s="770"/>
      <c r="BV40" s="770"/>
      <c r="BW40" s="770"/>
      <c r="BX40" s="770"/>
      <c r="BY40" s="770"/>
      <c r="BZ40" s="770"/>
      <c r="CA40" s="770"/>
      <c r="CB40" s="770"/>
    </row>
    <row r="41" spans="1:80" ht="12" customHeight="1">
      <c r="A41" s="770"/>
      <c r="B41" s="961"/>
      <c r="C41" s="962" t="s">
        <v>279</v>
      </c>
      <c r="D41" s="2101" t="str">
        <f>DATA!BI189</f>
        <v>LIC Policies premium - Yearly</v>
      </c>
      <c r="E41" s="2101"/>
      <c r="F41" s="2101"/>
      <c r="G41" s="2101"/>
      <c r="H41" s="2101"/>
      <c r="I41" s="2101"/>
      <c r="J41" s="919" t="s">
        <v>264</v>
      </c>
      <c r="K41" s="894">
        <f>IF(DATA!AH49=1,"",DATA!G27)</f>
        <v>0</v>
      </c>
      <c r="L41" s="888"/>
      <c r="M41" s="770"/>
      <c r="N41" s="770"/>
      <c r="O41" s="770"/>
      <c r="P41" s="770"/>
      <c r="Q41" s="770"/>
      <c r="R41" s="770"/>
      <c r="S41" s="770"/>
      <c r="T41" s="770"/>
      <c r="U41" s="933"/>
      <c r="V41" s="933"/>
      <c r="W41" s="770"/>
      <c r="X41" s="770"/>
      <c r="Y41" s="770"/>
      <c r="Z41" s="770"/>
      <c r="AA41" s="770"/>
      <c r="AB41" s="770"/>
      <c r="AC41" s="770"/>
      <c r="AD41" s="770"/>
      <c r="AE41" s="770"/>
      <c r="AF41" s="770"/>
      <c r="AG41" s="770"/>
      <c r="AH41" s="770"/>
      <c r="AI41" s="770"/>
      <c r="AJ41" s="770"/>
      <c r="AK41" s="770"/>
      <c r="AL41" s="770"/>
      <c r="AM41" s="770"/>
      <c r="AN41" s="770"/>
      <c r="AO41" s="770"/>
      <c r="AP41" s="770"/>
      <c r="AQ41" s="770"/>
      <c r="AR41" s="770"/>
      <c r="AS41" s="770"/>
      <c r="AT41" s="770"/>
      <c r="AU41" s="770"/>
      <c r="AV41" s="770"/>
      <c r="AW41" s="770"/>
      <c r="AX41" s="770"/>
      <c r="AY41" s="770"/>
      <c r="AZ41" s="770"/>
      <c r="BA41" s="770"/>
      <c r="BB41" s="770"/>
      <c r="BC41" s="770"/>
      <c r="BD41" s="770"/>
      <c r="BE41" s="770"/>
      <c r="BF41" s="770"/>
      <c r="BG41" s="770"/>
      <c r="BH41" s="770"/>
      <c r="BI41" s="770"/>
      <c r="BJ41" s="770"/>
      <c r="BK41" s="770"/>
      <c r="BL41" s="770"/>
      <c r="BM41" s="770"/>
      <c r="BN41" s="770"/>
      <c r="BO41" s="770"/>
      <c r="BP41" s="770"/>
      <c r="BQ41" s="770"/>
      <c r="BR41" s="770"/>
      <c r="BS41" s="770"/>
      <c r="BT41" s="770"/>
      <c r="BU41" s="770"/>
      <c r="BV41" s="770"/>
      <c r="BW41" s="770"/>
      <c r="BX41" s="770"/>
      <c r="BY41" s="770"/>
      <c r="BZ41" s="770"/>
      <c r="CA41" s="770"/>
      <c r="CB41" s="770"/>
    </row>
    <row r="42" spans="1:80" ht="12" customHeight="1">
      <c r="A42" s="770"/>
      <c r="B42" s="961"/>
      <c r="C42" s="962" t="s">
        <v>280</v>
      </c>
      <c r="D42" s="2075" t="str">
        <f>DATA!BI190</f>
        <v>Exide Life Insurance</v>
      </c>
      <c r="E42" s="2075"/>
      <c r="F42" s="2075"/>
      <c r="G42" s="2075"/>
      <c r="H42" s="2075"/>
      <c r="I42" s="2075"/>
      <c r="J42" s="919" t="s">
        <v>264</v>
      </c>
      <c r="K42" s="894">
        <f>IF(DATA!AH49=1,"",DATA!G28)</f>
        <v>0</v>
      </c>
      <c r="L42" s="888"/>
      <c r="M42" s="770"/>
      <c r="N42" s="770"/>
      <c r="O42" s="933"/>
      <c r="P42" s="770"/>
      <c r="Q42" s="770"/>
      <c r="R42" s="770"/>
      <c r="S42" s="770"/>
      <c r="T42" s="770"/>
      <c r="U42" s="770"/>
      <c r="V42" s="770"/>
      <c r="W42" s="770"/>
      <c r="X42" s="770"/>
      <c r="Y42" s="770"/>
      <c r="Z42" s="770"/>
      <c r="AA42" s="770"/>
      <c r="AB42" s="770"/>
      <c r="AC42" s="770"/>
      <c r="AD42" s="770"/>
      <c r="AE42" s="770"/>
      <c r="AF42" s="770"/>
      <c r="AG42" s="770"/>
      <c r="AH42" s="770"/>
      <c r="AI42" s="770"/>
      <c r="AJ42" s="770"/>
      <c r="AK42" s="770"/>
      <c r="AL42" s="770"/>
      <c r="AM42" s="770"/>
      <c r="AN42" s="770"/>
      <c r="AO42" s="770"/>
      <c r="AP42" s="770"/>
      <c r="AQ42" s="770"/>
      <c r="AR42" s="770"/>
      <c r="AS42" s="770"/>
      <c r="AT42" s="770"/>
      <c r="AU42" s="770"/>
      <c r="AV42" s="770"/>
      <c r="AW42" s="770"/>
      <c r="AX42" s="770"/>
      <c r="AY42" s="770"/>
      <c r="AZ42" s="770"/>
      <c r="BA42" s="770"/>
      <c r="BB42" s="770"/>
      <c r="BC42" s="770"/>
      <c r="BD42" s="770"/>
      <c r="BE42" s="770"/>
      <c r="BF42" s="770"/>
      <c r="BG42" s="770"/>
      <c r="BH42" s="770"/>
      <c r="BI42" s="770"/>
      <c r="BJ42" s="770"/>
      <c r="BK42" s="770"/>
      <c r="BL42" s="770"/>
      <c r="BM42" s="770"/>
      <c r="BN42" s="770"/>
      <c r="BO42" s="770"/>
      <c r="BP42" s="770"/>
      <c r="BQ42" s="770"/>
      <c r="BR42" s="770"/>
      <c r="BS42" s="770"/>
      <c r="BT42" s="770"/>
      <c r="BU42" s="770"/>
      <c r="BV42" s="770"/>
      <c r="BW42" s="770"/>
      <c r="BX42" s="770"/>
      <c r="BY42" s="770"/>
      <c r="BZ42" s="770"/>
      <c r="CA42" s="770"/>
      <c r="CB42" s="770"/>
    </row>
    <row r="43" spans="1:80" ht="12" customHeight="1">
      <c r="A43" s="770"/>
      <c r="B43" s="961"/>
      <c r="C43" s="968" t="s">
        <v>274</v>
      </c>
      <c r="D43" s="2075" t="str">
        <f>DATA!BG189</f>
        <v>Sukanya Samruddhi Yojana</v>
      </c>
      <c r="E43" s="2075"/>
      <c r="F43" s="2075"/>
      <c r="G43" s="2075"/>
      <c r="H43" s="2075"/>
      <c r="I43" s="2075"/>
      <c r="J43" s="919" t="s">
        <v>264</v>
      </c>
      <c r="K43" s="894">
        <f>IF(DATA!AH49=1,"",DATA!G29)</f>
        <v>0</v>
      </c>
      <c r="L43" s="888"/>
      <c r="M43" s="770"/>
      <c r="N43" s="770"/>
      <c r="O43" s="770"/>
      <c r="P43" s="770"/>
      <c r="Q43" s="770"/>
      <c r="R43" s="770"/>
      <c r="S43" s="770"/>
      <c r="T43" s="770"/>
      <c r="U43" s="770"/>
      <c r="V43" s="770"/>
      <c r="W43" s="770"/>
      <c r="X43" s="770"/>
      <c r="Y43" s="770"/>
      <c r="Z43" s="770"/>
      <c r="AA43" s="770"/>
      <c r="AB43" s="770"/>
      <c r="AC43" s="770"/>
      <c r="AD43" s="770"/>
      <c r="AE43" s="770"/>
      <c r="AF43" s="770"/>
      <c r="AG43" s="770"/>
      <c r="AH43" s="770"/>
      <c r="AI43" s="770"/>
      <c r="AJ43" s="770"/>
      <c r="AK43" s="770"/>
      <c r="AL43" s="770"/>
      <c r="AM43" s="770"/>
      <c r="AN43" s="770"/>
      <c r="AO43" s="770"/>
      <c r="AP43" s="770"/>
      <c r="AQ43" s="770"/>
      <c r="AR43" s="770"/>
      <c r="AS43" s="770"/>
      <c r="AT43" s="770"/>
      <c r="AU43" s="770"/>
      <c r="AV43" s="770"/>
      <c r="AW43" s="770"/>
      <c r="AX43" s="770"/>
      <c r="AY43" s="770"/>
      <c r="AZ43" s="770"/>
      <c r="BA43" s="770"/>
      <c r="BB43" s="770"/>
      <c r="BC43" s="770"/>
      <c r="BD43" s="770"/>
      <c r="BE43" s="770"/>
      <c r="BF43" s="770"/>
      <c r="BG43" s="770"/>
      <c r="BH43" s="770"/>
      <c r="BI43" s="770"/>
      <c r="BJ43" s="770"/>
      <c r="BK43" s="770"/>
      <c r="BL43" s="770"/>
      <c r="BM43" s="770"/>
      <c r="BN43" s="770"/>
      <c r="BO43" s="770"/>
      <c r="BP43" s="770"/>
      <c r="BQ43" s="770"/>
      <c r="BR43" s="770"/>
      <c r="BS43" s="770"/>
      <c r="BT43" s="770"/>
      <c r="BU43" s="770"/>
      <c r="BV43" s="770"/>
      <c r="BW43" s="770"/>
      <c r="BX43" s="770"/>
      <c r="BY43" s="770"/>
      <c r="BZ43" s="770"/>
      <c r="CA43" s="770"/>
      <c r="CB43" s="770"/>
    </row>
    <row r="44" spans="1:80" ht="12" customHeight="1">
      <c r="A44" s="770"/>
      <c r="B44" s="961"/>
      <c r="C44" s="962" t="s">
        <v>275</v>
      </c>
      <c r="D44" s="2075" t="str">
        <f>DATA!BG190</f>
        <v>PLI (Postal Life Insurance)</v>
      </c>
      <c r="E44" s="2075"/>
      <c r="F44" s="2075"/>
      <c r="G44" s="2075"/>
      <c r="H44" s="2075"/>
      <c r="I44" s="2075"/>
      <c r="J44" s="919" t="s">
        <v>264</v>
      </c>
      <c r="K44" s="894">
        <f>IF(DATA!AH49=1,"",DATA!G30)</f>
        <v>0</v>
      </c>
      <c r="L44" s="888"/>
      <c r="M44" s="770"/>
      <c r="N44" s="770"/>
      <c r="O44" s="770"/>
      <c r="P44" s="770"/>
      <c r="Q44" s="770"/>
      <c r="R44" s="770"/>
      <c r="S44" s="770"/>
      <c r="T44" s="770"/>
      <c r="U44" s="770"/>
      <c r="V44" s="770"/>
      <c r="W44" s="770"/>
      <c r="X44" s="933"/>
      <c r="Y44" s="770"/>
      <c r="Z44" s="770"/>
      <c r="AA44" s="770"/>
      <c r="AB44" s="770"/>
      <c r="AC44" s="770"/>
      <c r="AD44" s="770"/>
      <c r="AE44" s="770"/>
      <c r="AF44" s="770"/>
      <c r="AG44" s="770"/>
      <c r="AH44" s="770"/>
      <c r="AI44" s="770"/>
      <c r="AJ44" s="770"/>
      <c r="AK44" s="770"/>
      <c r="AL44" s="770"/>
      <c r="AM44" s="770"/>
      <c r="AN44" s="770"/>
      <c r="AO44" s="770"/>
      <c r="AP44" s="770"/>
      <c r="AQ44" s="770"/>
      <c r="AR44" s="770"/>
      <c r="AS44" s="770"/>
      <c r="AT44" s="770"/>
      <c r="AU44" s="770"/>
      <c r="AV44" s="770"/>
      <c r="AW44" s="770"/>
      <c r="AX44" s="770"/>
      <c r="AY44" s="770"/>
      <c r="AZ44" s="770"/>
      <c r="BA44" s="770"/>
      <c r="BB44" s="770"/>
      <c r="BC44" s="770"/>
      <c r="BD44" s="770"/>
      <c r="BE44" s="770"/>
      <c r="BF44" s="770"/>
      <c r="BG44" s="770"/>
      <c r="BH44" s="770"/>
      <c r="BI44" s="770"/>
      <c r="BJ44" s="770"/>
      <c r="BK44" s="770"/>
      <c r="BL44" s="770"/>
      <c r="BM44" s="770"/>
      <c r="BN44" s="770"/>
      <c r="BO44" s="770"/>
      <c r="BP44" s="770"/>
      <c r="BQ44" s="770"/>
      <c r="BR44" s="770"/>
      <c r="BS44" s="770"/>
      <c r="BT44" s="770"/>
      <c r="BU44" s="770"/>
      <c r="BV44" s="770"/>
      <c r="BW44" s="770"/>
      <c r="BX44" s="770"/>
      <c r="BY44" s="770"/>
      <c r="BZ44" s="770"/>
      <c r="CA44" s="770"/>
      <c r="CB44" s="770"/>
    </row>
    <row r="45" spans="1:80" ht="12" customHeight="1">
      <c r="A45" s="770"/>
      <c r="B45" s="961"/>
      <c r="C45" s="962" t="s">
        <v>385</v>
      </c>
      <c r="D45" s="2068" t="str">
        <f>DATA!BG191</f>
        <v>Housing Loan Principal Amount</v>
      </c>
      <c r="E45" s="2068"/>
      <c r="F45" s="2068"/>
      <c r="G45" s="2068"/>
      <c r="H45" s="2068"/>
      <c r="I45" s="2068"/>
      <c r="J45" s="969" t="s">
        <v>264</v>
      </c>
      <c r="K45" s="894">
        <f>IF(DATA!AH49=1,"",DATA!G26)</f>
        <v>0</v>
      </c>
      <c r="L45" s="888"/>
      <c r="M45" s="770"/>
      <c r="N45" s="770"/>
      <c r="O45" s="770"/>
      <c r="P45" s="770"/>
      <c r="Q45" s="770"/>
      <c r="R45" s="770"/>
      <c r="S45" s="770"/>
      <c r="T45" s="770"/>
      <c r="U45" s="770"/>
      <c r="V45" s="770"/>
      <c r="W45" s="770"/>
      <c r="X45" s="770"/>
      <c r="Y45" s="770"/>
      <c r="Z45" s="770"/>
      <c r="AA45" s="770"/>
      <c r="AB45" s="770"/>
      <c r="AC45" s="770"/>
      <c r="AD45" s="770"/>
      <c r="AE45" s="770"/>
      <c r="AF45" s="770"/>
      <c r="AG45" s="770"/>
      <c r="AH45" s="770"/>
      <c r="AI45" s="770"/>
      <c r="AJ45" s="770"/>
      <c r="AK45" s="770"/>
      <c r="AL45" s="770"/>
      <c r="AM45" s="770"/>
      <c r="AN45" s="770"/>
      <c r="AO45" s="770"/>
      <c r="AP45" s="770"/>
      <c r="AQ45" s="770"/>
      <c r="AR45" s="770"/>
      <c r="AS45" s="770"/>
      <c r="AT45" s="770"/>
      <c r="AU45" s="770"/>
      <c r="AV45" s="770"/>
      <c r="AW45" s="770"/>
      <c r="AX45" s="770"/>
      <c r="AY45" s="770"/>
      <c r="AZ45" s="770"/>
      <c r="BA45" s="770"/>
      <c r="BB45" s="770"/>
      <c r="BC45" s="770"/>
      <c r="BD45" s="770"/>
      <c r="BE45" s="770"/>
      <c r="BF45" s="770"/>
      <c r="BG45" s="770"/>
      <c r="BH45" s="770"/>
      <c r="BI45" s="770"/>
      <c r="BJ45" s="770"/>
      <c r="BK45" s="770"/>
      <c r="BL45" s="770"/>
      <c r="BM45" s="770"/>
      <c r="BN45" s="770"/>
      <c r="BO45" s="770"/>
      <c r="BP45" s="770"/>
      <c r="BQ45" s="770"/>
      <c r="BR45" s="770"/>
      <c r="BS45" s="770"/>
      <c r="BT45" s="770"/>
      <c r="BU45" s="770"/>
      <c r="BV45" s="770"/>
      <c r="BW45" s="770"/>
      <c r="BX45" s="770"/>
      <c r="BY45" s="770"/>
      <c r="BZ45" s="770"/>
      <c r="CA45" s="770"/>
      <c r="CB45" s="770"/>
    </row>
    <row r="46" spans="1:80" ht="12" customHeight="1">
      <c r="A46" s="770"/>
      <c r="B46" s="887"/>
      <c r="C46" s="2054" t="s">
        <v>831</v>
      </c>
      <c r="D46" s="2054"/>
      <c r="E46" s="2054"/>
      <c r="F46" s="2054"/>
      <c r="G46" s="2054"/>
      <c r="H46" s="2054"/>
      <c r="I46" s="970"/>
      <c r="J46" s="971" t="s">
        <v>264</v>
      </c>
      <c r="K46" s="960">
        <f>SUM(K37:K45)</f>
        <v>215157</v>
      </c>
      <c r="L46" s="921">
        <f>IF(K46&gt;=150000,150000,IF(K46&lt;150000,K46))</f>
        <v>150000</v>
      </c>
      <c r="M46" s="770"/>
      <c r="N46" s="770"/>
      <c r="O46" s="770"/>
      <c r="P46" s="770"/>
      <c r="Q46" s="770"/>
      <c r="R46" s="770"/>
      <c r="S46" s="770"/>
      <c r="T46" s="770"/>
      <c r="U46" s="770"/>
      <c r="V46" s="770"/>
      <c r="W46" s="770"/>
      <c r="X46" s="770"/>
      <c r="Y46" s="770"/>
      <c r="Z46" s="770"/>
      <c r="AA46" s="770"/>
      <c r="AB46" s="770"/>
      <c r="AC46" s="770"/>
      <c r="AD46" s="770"/>
      <c r="AE46" s="770"/>
      <c r="AF46" s="770"/>
      <c r="AG46" s="770"/>
      <c r="AH46" s="770"/>
      <c r="AI46" s="770"/>
      <c r="AJ46" s="770"/>
      <c r="AK46" s="770"/>
      <c r="AL46" s="770"/>
      <c r="AM46" s="770"/>
      <c r="AN46" s="770"/>
      <c r="AO46" s="770"/>
      <c r="AP46" s="770"/>
      <c r="AQ46" s="770"/>
      <c r="AR46" s="770"/>
      <c r="AS46" s="770"/>
      <c r="AT46" s="770"/>
      <c r="AU46" s="770"/>
      <c r="AV46" s="770"/>
      <c r="AW46" s="770"/>
      <c r="AX46" s="770"/>
      <c r="AY46" s="770"/>
      <c r="AZ46" s="770"/>
      <c r="BA46" s="770"/>
      <c r="BB46" s="770"/>
      <c r="BC46" s="770"/>
      <c r="BD46" s="770"/>
      <c r="BE46" s="770"/>
      <c r="BF46" s="770"/>
      <c r="BG46" s="770"/>
      <c r="BH46" s="770"/>
      <c r="BI46" s="770"/>
      <c r="BJ46" s="770"/>
      <c r="BK46" s="770"/>
      <c r="BL46" s="770"/>
      <c r="BM46" s="770"/>
      <c r="BN46" s="770"/>
      <c r="BO46" s="770"/>
      <c r="BP46" s="770"/>
      <c r="BQ46" s="770"/>
      <c r="BR46" s="770"/>
      <c r="BS46" s="770"/>
      <c r="BT46" s="770"/>
      <c r="BU46" s="770"/>
      <c r="BV46" s="770"/>
      <c r="BW46" s="770"/>
      <c r="BX46" s="770"/>
      <c r="BY46" s="770"/>
      <c r="BZ46" s="770"/>
      <c r="CA46" s="770"/>
      <c r="CB46" s="770"/>
    </row>
    <row r="47" spans="1:80" ht="12" customHeight="1">
      <c r="A47" s="770"/>
      <c r="B47" s="887"/>
      <c r="C47" s="972"/>
      <c r="D47" s="973" t="str">
        <f>IF(DATA!CF182=1,"National Pension Scheme U/s 80CCD (1B) ","Additional Benefit CPS Employees NPS U/s 80CCD 1B ")</f>
        <v xml:space="preserve">National Pension Scheme U/s 80CCD (1B) </v>
      </c>
      <c r="E47" s="972"/>
      <c r="F47" s="972"/>
      <c r="G47" s="972"/>
      <c r="H47" s="972"/>
      <c r="I47" s="970"/>
      <c r="J47" s="974" t="s">
        <v>264</v>
      </c>
      <c r="K47" s="915">
        <f>IF(DATA!AH49=1,0,IF(DATA!CF182=2,AA24,DATA!BF199))</f>
        <v>0</v>
      </c>
      <c r="L47" s="888">
        <f>K47</f>
        <v>0</v>
      </c>
      <c r="M47" s="770"/>
      <c r="N47" s="770"/>
      <c r="O47" s="770"/>
      <c r="P47" s="770"/>
      <c r="Q47" s="770"/>
      <c r="R47" s="770"/>
      <c r="S47" s="770"/>
      <c r="T47" s="770"/>
      <c r="U47" s="770"/>
      <c r="V47" s="770"/>
      <c r="W47" s="770"/>
      <c r="X47" s="770"/>
      <c r="Y47" s="770"/>
      <c r="Z47" s="770"/>
      <c r="AA47" s="770"/>
      <c r="AB47" s="770"/>
      <c r="AC47" s="770"/>
      <c r="AD47" s="770"/>
      <c r="AE47" s="770"/>
      <c r="AF47" s="770"/>
      <c r="AG47" s="770"/>
      <c r="AH47" s="770"/>
      <c r="AI47" s="770"/>
      <c r="AJ47" s="770"/>
      <c r="AK47" s="770"/>
      <c r="AL47" s="770"/>
      <c r="AM47" s="770"/>
      <c r="AN47" s="770"/>
      <c r="AO47" s="770"/>
      <c r="AP47" s="770"/>
      <c r="AQ47" s="770"/>
      <c r="AR47" s="770"/>
      <c r="AS47" s="770"/>
      <c r="AT47" s="770"/>
      <c r="AU47" s="770"/>
      <c r="AV47" s="770"/>
      <c r="AW47" s="770"/>
      <c r="AX47" s="770"/>
      <c r="AY47" s="770"/>
      <c r="AZ47" s="770"/>
      <c r="BA47" s="770"/>
      <c r="BB47" s="770"/>
      <c r="BC47" s="770"/>
      <c r="BD47" s="770"/>
      <c r="BE47" s="770"/>
      <c r="BF47" s="770"/>
      <c r="BG47" s="770"/>
      <c r="BH47" s="770"/>
      <c r="BI47" s="770"/>
      <c r="BJ47" s="770"/>
      <c r="BK47" s="770"/>
      <c r="BL47" s="770"/>
      <c r="BM47" s="770"/>
      <c r="BN47" s="770"/>
      <c r="BO47" s="770"/>
      <c r="BP47" s="770"/>
      <c r="BQ47" s="770"/>
      <c r="BR47" s="770"/>
      <c r="BS47" s="770"/>
      <c r="BT47" s="770"/>
      <c r="BU47" s="770"/>
      <c r="BV47" s="770"/>
      <c r="BW47" s="770"/>
      <c r="BX47" s="770"/>
      <c r="BY47" s="770"/>
      <c r="BZ47" s="770"/>
      <c r="CA47" s="770"/>
      <c r="CB47" s="770"/>
    </row>
    <row r="48" spans="1:80" ht="12" customHeight="1">
      <c r="A48" s="770"/>
      <c r="B48" s="887"/>
      <c r="C48" s="975" t="str">
        <f>DATA!BE200</f>
        <v>80TTA</v>
      </c>
      <c r="D48" s="976" t="str">
        <f>DATA!BC200</f>
        <v>Intrest on Saving Account ( Not Fixed Deposit )</v>
      </c>
      <c r="E48" s="977"/>
      <c r="F48" s="977"/>
      <c r="G48" s="977"/>
      <c r="H48" s="977"/>
      <c r="I48" s="970"/>
      <c r="J48" s="914"/>
      <c r="K48" s="915">
        <f>IF(DATA!AH49=1,0,DATA!BF200)</f>
        <v>0</v>
      </c>
      <c r="L48" s="888">
        <f>K48</f>
        <v>0</v>
      </c>
      <c r="M48" s="770"/>
      <c r="N48" s="770"/>
      <c r="O48" s="770"/>
      <c r="P48" s="770"/>
      <c r="Q48" s="770"/>
      <c r="R48" s="770"/>
      <c r="S48" s="770"/>
      <c r="T48" s="770"/>
      <c r="U48" s="770"/>
      <c r="V48" s="770"/>
      <c r="W48" s="770"/>
      <c r="X48" s="770"/>
      <c r="Y48" s="770"/>
      <c r="Z48" s="770"/>
      <c r="AA48" s="770"/>
      <c r="AB48" s="770"/>
      <c r="AC48" s="770"/>
      <c r="AD48" s="770"/>
      <c r="AE48" s="770"/>
      <c r="AF48" s="770"/>
      <c r="AG48" s="770"/>
      <c r="AH48" s="770"/>
      <c r="AI48" s="770"/>
      <c r="AJ48" s="770"/>
      <c r="AK48" s="770"/>
      <c r="AL48" s="770"/>
      <c r="AM48" s="770"/>
      <c r="AN48" s="770"/>
      <c r="AO48" s="770"/>
      <c r="AP48" s="770"/>
      <c r="AQ48" s="770"/>
      <c r="AR48" s="770"/>
      <c r="AS48" s="770"/>
      <c r="AT48" s="770"/>
      <c r="AU48" s="770"/>
      <c r="AV48" s="770"/>
      <c r="AW48" s="770"/>
      <c r="AX48" s="770"/>
      <c r="AY48" s="770"/>
      <c r="AZ48" s="770"/>
      <c r="BA48" s="770"/>
      <c r="BB48" s="770"/>
      <c r="BC48" s="770"/>
      <c r="BD48" s="770"/>
      <c r="BE48" s="770"/>
      <c r="BF48" s="770"/>
      <c r="BG48" s="770"/>
      <c r="BH48" s="770"/>
      <c r="BI48" s="770"/>
      <c r="BJ48" s="770"/>
      <c r="BK48" s="770"/>
      <c r="BL48" s="770"/>
      <c r="BM48" s="770"/>
      <c r="BN48" s="770"/>
      <c r="BO48" s="770"/>
      <c r="BP48" s="770"/>
      <c r="BQ48" s="770"/>
      <c r="BR48" s="770"/>
      <c r="BS48" s="770"/>
      <c r="BT48" s="770"/>
      <c r="BU48" s="770"/>
      <c r="BV48" s="770"/>
      <c r="BW48" s="770"/>
      <c r="BX48" s="770"/>
      <c r="BY48" s="770"/>
      <c r="BZ48" s="770"/>
      <c r="CA48" s="770"/>
      <c r="CB48" s="770"/>
    </row>
    <row r="49" spans="1:80" ht="3.75" customHeight="1">
      <c r="A49" s="770"/>
      <c r="B49" s="887"/>
      <c r="C49" s="972"/>
      <c r="D49" s="972"/>
      <c r="E49" s="972"/>
      <c r="F49" s="972"/>
      <c r="G49" s="972"/>
      <c r="H49" s="972"/>
      <c r="I49" s="970"/>
      <c r="J49" s="914"/>
      <c r="K49" s="915"/>
      <c r="L49" s="888"/>
      <c r="M49" s="770"/>
      <c r="N49" s="770"/>
      <c r="O49" s="770"/>
      <c r="P49" s="770"/>
      <c r="Q49" s="770"/>
      <c r="R49" s="770"/>
      <c r="S49" s="770"/>
      <c r="T49" s="770"/>
      <c r="U49" s="770"/>
      <c r="V49" s="770"/>
      <c r="W49" s="770"/>
      <c r="X49" s="770"/>
      <c r="Y49" s="770"/>
      <c r="Z49" s="770"/>
      <c r="AA49" s="770"/>
      <c r="AB49" s="770"/>
      <c r="AC49" s="770"/>
      <c r="AD49" s="770"/>
      <c r="AE49" s="770"/>
      <c r="AF49" s="770"/>
      <c r="AG49" s="770"/>
      <c r="AH49" s="770"/>
      <c r="AI49" s="770"/>
      <c r="AJ49" s="770"/>
      <c r="AK49" s="770"/>
      <c r="AL49" s="770"/>
      <c r="AM49" s="770"/>
      <c r="AN49" s="770"/>
      <c r="AO49" s="770"/>
      <c r="AP49" s="770"/>
      <c r="AQ49" s="770"/>
      <c r="AR49" s="770"/>
      <c r="AS49" s="770"/>
      <c r="AT49" s="770"/>
      <c r="AU49" s="770"/>
      <c r="AV49" s="770"/>
      <c r="AW49" s="770"/>
      <c r="AX49" s="770"/>
      <c r="AY49" s="770"/>
      <c r="AZ49" s="770"/>
      <c r="BA49" s="770"/>
      <c r="BB49" s="770"/>
      <c r="BC49" s="770"/>
      <c r="BD49" s="770"/>
      <c r="BE49" s="770"/>
      <c r="BF49" s="770"/>
      <c r="BG49" s="770"/>
      <c r="BH49" s="770"/>
      <c r="BI49" s="770"/>
      <c r="BJ49" s="770"/>
      <c r="BK49" s="770"/>
      <c r="BL49" s="770"/>
      <c r="BM49" s="770"/>
      <c r="BN49" s="770"/>
      <c r="BO49" s="770"/>
      <c r="BP49" s="770"/>
      <c r="BQ49" s="770"/>
      <c r="BR49" s="770"/>
      <c r="BS49" s="770"/>
      <c r="BT49" s="770"/>
      <c r="BU49" s="770"/>
      <c r="BV49" s="770"/>
      <c r="BW49" s="770"/>
      <c r="BX49" s="770"/>
      <c r="BY49" s="770"/>
      <c r="BZ49" s="770"/>
      <c r="CA49" s="770"/>
      <c r="CB49" s="770"/>
    </row>
    <row r="50" spans="1:80" ht="12" customHeight="1">
      <c r="A50" s="770"/>
      <c r="B50" s="887">
        <v>14</v>
      </c>
      <c r="C50" s="2050" t="s">
        <v>716</v>
      </c>
      <c r="D50" s="2051"/>
      <c r="E50" s="2051"/>
      <c r="F50" s="2051"/>
      <c r="G50" s="2051"/>
      <c r="H50" s="2051"/>
      <c r="I50" s="2051"/>
      <c r="J50" s="978"/>
      <c r="K50" s="979"/>
      <c r="L50" s="980">
        <f>ROUND(O50,-1)</f>
        <v>1057680</v>
      </c>
      <c r="M50" s="770"/>
      <c r="N50" s="933">
        <f>L46+L47+L48</f>
        <v>150000</v>
      </c>
      <c r="O50" s="770">
        <f>IF((L35-N50)&gt;0,(L35-N50),IF((L35-N50)&lt;0,0))</f>
        <v>1057678</v>
      </c>
      <c r="P50" s="770"/>
      <c r="Q50" s="770"/>
      <c r="R50" s="981" t="s">
        <v>242</v>
      </c>
      <c r="S50" s="982" t="s">
        <v>893</v>
      </c>
      <c r="T50" s="982" t="s">
        <v>894</v>
      </c>
      <c r="U50" s="982" t="s">
        <v>895</v>
      </c>
      <c r="V50" s="837"/>
      <c r="W50" s="837"/>
      <c r="X50" s="770"/>
      <c r="Y50" s="770"/>
      <c r="Z50" s="770"/>
      <c r="AA50" s="770"/>
      <c r="AB50" s="770"/>
      <c r="AC50" s="770"/>
      <c r="AD50" s="770"/>
      <c r="AE50" s="770"/>
      <c r="AF50" s="770"/>
      <c r="AG50" s="770"/>
      <c r="AH50" s="770"/>
      <c r="AI50" s="770"/>
      <c r="AJ50" s="770"/>
      <c r="AK50" s="770"/>
      <c r="AL50" s="770"/>
      <c r="AM50" s="770"/>
      <c r="AN50" s="770"/>
      <c r="AO50" s="770"/>
      <c r="AP50" s="770"/>
      <c r="AQ50" s="770"/>
      <c r="AR50" s="770"/>
      <c r="AS50" s="770"/>
      <c r="AT50" s="770"/>
      <c r="AU50" s="770"/>
      <c r="AV50" s="770"/>
      <c r="AW50" s="770"/>
      <c r="AX50" s="770"/>
      <c r="AY50" s="770"/>
      <c r="AZ50" s="770"/>
      <c r="BA50" s="770"/>
      <c r="BB50" s="770"/>
      <c r="BC50" s="770"/>
      <c r="BD50" s="770"/>
      <c r="BE50" s="770"/>
      <c r="BF50" s="770"/>
      <c r="BG50" s="770"/>
      <c r="BH50" s="770"/>
      <c r="BI50" s="770"/>
      <c r="BJ50" s="770"/>
      <c r="BK50" s="770"/>
      <c r="BL50" s="770"/>
      <c r="BM50" s="770"/>
      <c r="BN50" s="770"/>
      <c r="BO50" s="770"/>
      <c r="BP50" s="770"/>
      <c r="BQ50" s="770"/>
      <c r="BR50" s="770"/>
      <c r="BS50" s="770"/>
      <c r="BT50" s="770"/>
      <c r="BU50" s="770"/>
      <c r="BV50" s="770"/>
      <c r="BW50" s="770"/>
      <c r="BX50" s="770"/>
      <c r="BY50" s="770"/>
      <c r="BZ50" s="770"/>
      <c r="CA50" s="770"/>
      <c r="CB50" s="770"/>
    </row>
    <row r="51" spans="1:80" ht="12" customHeight="1">
      <c r="A51" s="770"/>
      <c r="B51" s="887">
        <v>15</v>
      </c>
      <c r="C51" s="2050" t="s">
        <v>282</v>
      </c>
      <c r="D51" s="2051"/>
      <c r="E51" s="2051"/>
      <c r="F51" s="2051"/>
      <c r="G51" s="2051"/>
      <c r="H51" s="2051"/>
      <c r="I51" s="972"/>
      <c r="J51" s="2127" t="str">
        <f>CONCATENATE("Tax   Rs.  ",DATA!CU261)</f>
        <v>Tax   Rs.  807680</v>
      </c>
      <c r="K51" s="2128"/>
      <c r="L51" s="983"/>
      <c r="M51" s="770"/>
      <c r="N51" s="770"/>
      <c r="O51" s="770"/>
      <c r="P51" s="770"/>
      <c r="Q51" s="770"/>
      <c r="R51" s="984" t="s">
        <v>567</v>
      </c>
      <c r="S51" s="985">
        <v>250000</v>
      </c>
      <c r="T51" s="985">
        <f>S51</f>
        <v>250000</v>
      </c>
      <c r="U51" s="985">
        <v>0</v>
      </c>
      <c r="V51" s="837"/>
      <c r="W51" s="837"/>
      <c r="X51" s="770"/>
      <c r="Y51" s="770"/>
      <c r="Z51" s="770"/>
      <c r="AA51" s="770"/>
      <c r="AB51" s="770"/>
      <c r="AC51" s="770"/>
      <c r="AD51" s="770"/>
      <c r="AE51" s="986" t="s">
        <v>905</v>
      </c>
      <c r="AF51" s="987">
        <f>AJ51*AI51</f>
        <v>0</v>
      </c>
      <c r="AG51" s="987">
        <v>250000</v>
      </c>
      <c r="AH51" s="987"/>
      <c r="AI51" s="988">
        <f>AG51</f>
        <v>250000</v>
      </c>
      <c r="AJ51" s="989">
        <v>0</v>
      </c>
      <c r="AK51" s="770"/>
      <c r="AL51" s="770"/>
      <c r="AM51" s="770"/>
      <c r="AN51" s="770"/>
      <c r="AO51" s="770"/>
      <c r="AP51" s="770"/>
      <c r="AQ51" s="770"/>
      <c r="AR51" s="770"/>
      <c r="AS51" s="770"/>
      <c r="AT51" s="770"/>
      <c r="AU51" s="770"/>
      <c r="AV51" s="770"/>
      <c r="AW51" s="770"/>
      <c r="AX51" s="770"/>
      <c r="AY51" s="770"/>
      <c r="AZ51" s="770"/>
      <c r="BA51" s="770"/>
      <c r="BB51" s="770"/>
      <c r="BC51" s="770"/>
      <c r="BD51" s="770"/>
      <c r="BE51" s="770"/>
      <c r="BF51" s="770"/>
      <c r="BG51" s="770"/>
      <c r="BH51" s="770"/>
      <c r="BI51" s="770"/>
      <c r="BJ51" s="770"/>
      <c r="BK51" s="770"/>
      <c r="BL51" s="770"/>
      <c r="BM51" s="770"/>
      <c r="BN51" s="770"/>
      <c r="BO51" s="770"/>
      <c r="BP51" s="770"/>
      <c r="BQ51" s="770"/>
      <c r="BR51" s="770"/>
      <c r="BS51" s="770"/>
      <c r="BT51" s="770"/>
      <c r="BU51" s="770"/>
      <c r="BV51" s="770"/>
      <c r="BW51" s="770"/>
      <c r="BX51" s="770"/>
      <c r="BY51" s="770"/>
      <c r="BZ51" s="770"/>
      <c r="CA51" s="770"/>
      <c r="CB51" s="770"/>
    </row>
    <row r="52" spans="1:80" ht="12.95" customHeight="1">
      <c r="A52" s="770"/>
      <c r="B52" s="990"/>
      <c r="C52" s="991" t="s">
        <v>265</v>
      </c>
      <c r="D52" s="2055" t="s">
        <v>531</v>
      </c>
      <c r="E52" s="2055"/>
      <c r="F52" s="2055"/>
      <c r="G52" s="2055"/>
      <c r="H52" s="992"/>
      <c r="I52" s="858"/>
      <c r="J52" s="993" t="s">
        <v>264</v>
      </c>
      <c r="K52" s="994"/>
      <c r="L52" s="995" t="s">
        <v>283</v>
      </c>
      <c r="M52" s="770"/>
      <c r="N52" s="2085" t="str">
        <f>CONCATENATE(L50," - ",250000)</f>
        <v>1057680 - 250000</v>
      </c>
      <c r="O52" s="2085"/>
      <c r="P52" s="996" t="str">
        <f>CONCATENATE("=    ",DATA!CU261)</f>
        <v>=    807680</v>
      </c>
      <c r="Q52" s="770"/>
      <c r="R52" s="984">
        <f>MAX(0,MIN(T51*U52,T$52*U52))</f>
        <v>12500</v>
      </c>
      <c r="S52" s="985">
        <f>S51+S51</f>
        <v>500000</v>
      </c>
      <c r="T52" s="997">
        <f>IF((L50-T51)&lt;=0,0,(L50-T51))</f>
        <v>807680</v>
      </c>
      <c r="U52" s="998">
        <v>0.05</v>
      </c>
      <c r="V52" s="837">
        <f>IF(T52&gt;=T51,T51,T52)</f>
        <v>250000</v>
      </c>
      <c r="W52" s="999"/>
      <c r="X52" s="770"/>
      <c r="Y52" s="770"/>
      <c r="Z52" s="770"/>
      <c r="AA52" s="770"/>
      <c r="AB52" s="770"/>
      <c r="AC52" s="770"/>
      <c r="AD52" s="770"/>
      <c r="AE52" s="986" t="s">
        <v>906</v>
      </c>
      <c r="AF52" s="987">
        <f>MAX(0,MIN(AJ52*AI52,AJ52*AH52))</f>
        <v>12500</v>
      </c>
      <c r="AG52" s="987">
        <v>500000</v>
      </c>
      <c r="AH52" s="987">
        <f>AG52-AG51</f>
        <v>250000</v>
      </c>
      <c r="AI52" s="988">
        <f>L50-AI51</f>
        <v>807680</v>
      </c>
      <c r="AJ52" s="989">
        <v>0.05</v>
      </c>
      <c r="AK52" s="770">
        <f>IF(AH52&lt;=AI52,AH52,AI52)</f>
        <v>250000</v>
      </c>
      <c r="AL52" s="770"/>
      <c r="AM52" s="770"/>
      <c r="AN52" s="770"/>
      <c r="AO52" s="770"/>
      <c r="AP52" s="770"/>
      <c r="AQ52" s="770"/>
      <c r="AR52" s="770"/>
      <c r="AS52" s="770"/>
      <c r="AT52" s="770"/>
      <c r="AU52" s="770"/>
      <c r="AV52" s="770"/>
      <c r="AW52" s="770"/>
      <c r="AX52" s="770"/>
      <c r="AY52" s="770"/>
      <c r="AZ52" s="770"/>
      <c r="BA52" s="770"/>
      <c r="BB52" s="770"/>
      <c r="BC52" s="770"/>
      <c r="BD52" s="770"/>
      <c r="BE52" s="770"/>
      <c r="BF52" s="770"/>
      <c r="BG52" s="770"/>
      <c r="BH52" s="770"/>
      <c r="BI52" s="770"/>
      <c r="BJ52" s="770"/>
      <c r="BK52" s="770"/>
      <c r="BL52" s="770"/>
      <c r="BM52" s="770"/>
      <c r="BN52" s="770"/>
      <c r="BO52" s="770"/>
      <c r="BP52" s="770"/>
      <c r="BQ52" s="770"/>
      <c r="BR52" s="770"/>
      <c r="BS52" s="770"/>
      <c r="BT52" s="770"/>
      <c r="BU52" s="770"/>
      <c r="BV52" s="770"/>
      <c r="BW52" s="770"/>
      <c r="BX52" s="770"/>
      <c r="BY52" s="770"/>
      <c r="BZ52" s="770"/>
      <c r="CA52" s="770"/>
      <c r="CB52" s="770"/>
    </row>
    <row r="53" spans="1:80" ht="12.95" customHeight="1">
      <c r="A53" s="770"/>
      <c r="B53" s="990"/>
      <c r="C53" s="991" t="s">
        <v>267</v>
      </c>
      <c r="D53" s="2129" t="str">
        <f>IF(L53=0,"","2,50,001/- to 5,00,000/- 5%  ")</f>
        <v xml:space="preserve">2,50,001/- to 5,00,000/- 5%  </v>
      </c>
      <c r="E53" s="2129"/>
      <c r="F53" s="2129"/>
      <c r="G53" s="2129"/>
      <c r="H53" s="1000" t="str">
        <f>IF(L53=0,"",(IF(DATA!AH49=1,CONCATENATE("( ",AL63,"  @","  5% )"),CONCATENATE("( ",AK52,"  @","  5% )"))))</f>
        <v>( 250000  @  5% )</v>
      </c>
      <c r="I53" s="858"/>
      <c r="J53" s="993" t="s">
        <v>264</v>
      </c>
      <c r="K53" s="1001"/>
      <c r="L53" s="1002">
        <f>IF(DATA!AH49=1,AF63,AF52)</f>
        <v>12500</v>
      </c>
      <c r="M53" s="770"/>
      <c r="N53" s="770"/>
      <c r="O53" s="770"/>
      <c r="P53" s="770"/>
      <c r="Q53" s="770"/>
      <c r="R53" s="984">
        <f>MAX(0,MIN(T53*U53,T$51*U53))</f>
        <v>50000</v>
      </c>
      <c r="S53" s="1003">
        <f>S51+S52</f>
        <v>750000</v>
      </c>
      <c r="T53" s="1004">
        <f>IF((T52-S51)&lt;=0,0,(T52-S51))</f>
        <v>557680</v>
      </c>
      <c r="U53" s="1005">
        <f>IF(DATA!AH49=1,10%,20%)</f>
        <v>0.2</v>
      </c>
      <c r="V53" s="837">
        <f>IF(T53&gt;=S52,S52,T53)</f>
        <v>500000</v>
      </c>
      <c r="W53" s="837"/>
      <c r="X53" s="770"/>
      <c r="Y53" s="770"/>
      <c r="Z53" s="770"/>
      <c r="AA53" s="770"/>
      <c r="AB53" s="770"/>
      <c r="AC53" s="770"/>
      <c r="AD53" s="770"/>
      <c r="AE53" s="986" t="s">
        <v>907</v>
      </c>
      <c r="AF53" s="987">
        <f>MAX(0,MIN(AJ53*AI53,AJ53*AH53))</f>
        <v>100000</v>
      </c>
      <c r="AG53" s="987">
        <v>1000000</v>
      </c>
      <c r="AH53" s="987">
        <f>AG53-AG52</f>
        <v>500000</v>
      </c>
      <c r="AI53" s="987">
        <f>AI52-AH52</f>
        <v>557680</v>
      </c>
      <c r="AJ53" s="989">
        <v>0.2</v>
      </c>
      <c r="AK53" s="770">
        <f>IF(AH53&lt;=AI53,AH53,AI53)</f>
        <v>500000</v>
      </c>
      <c r="AL53" s="770"/>
      <c r="AM53" s="770"/>
      <c r="AN53" s="770"/>
      <c r="AO53" s="770"/>
      <c r="AP53" s="770"/>
      <c r="AQ53" s="770"/>
      <c r="AR53" s="770"/>
      <c r="AS53" s="770"/>
      <c r="AT53" s="770"/>
      <c r="AU53" s="770"/>
      <c r="AV53" s="770"/>
      <c r="AW53" s="770"/>
      <c r="AX53" s="770"/>
      <c r="AY53" s="770"/>
      <c r="AZ53" s="770"/>
      <c r="BA53" s="770"/>
      <c r="BB53" s="770"/>
      <c r="BC53" s="770"/>
      <c r="BD53" s="770"/>
      <c r="BE53" s="770"/>
      <c r="BF53" s="770"/>
      <c r="BG53" s="770"/>
      <c r="BH53" s="770"/>
      <c r="BI53" s="770"/>
      <c r="BJ53" s="770"/>
      <c r="BK53" s="770"/>
      <c r="BL53" s="770"/>
      <c r="BM53" s="770"/>
      <c r="BN53" s="770"/>
      <c r="BO53" s="770"/>
      <c r="BP53" s="770"/>
      <c r="BQ53" s="770"/>
      <c r="BR53" s="770"/>
      <c r="BS53" s="770"/>
      <c r="BT53" s="770"/>
      <c r="BU53" s="770"/>
      <c r="BV53" s="770"/>
      <c r="BW53" s="770"/>
      <c r="BX53" s="770"/>
      <c r="BY53" s="770"/>
      <c r="BZ53" s="770"/>
      <c r="CA53" s="770"/>
      <c r="CB53" s="770"/>
    </row>
    <row r="54" spans="1:80" ht="12.95" customHeight="1">
      <c r="A54" s="770"/>
      <c r="B54" s="990"/>
      <c r="C54" s="991" t="s">
        <v>268</v>
      </c>
      <c r="D54" s="927" t="str">
        <f>IF(L54=0,"",(IF(DATA!AH49=1,"5,00,001/- to 7,50,000/- 10% ","5,00,001/- to 10,00,000/- 20% ")))</f>
        <v xml:space="preserve">5,00,001/- to 10,00,000/- 20% </v>
      </c>
      <c r="E54" s="927"/>
      <c r="F54" s="927"/>
      <c r="G54" s="927"/>
      <c r="H54" s="1006" t="str">
        <f>IF(L54=0,"",(IF(DATA!AH49=1,CONCATENATE("( ",AL64,"  @","  10% )"),CONCATENATE("( ",AK53,"  @","  20% )"))))</f>
        <v>( 500000  @  20% )</v>
      </c>
      <c r="I54" s="1007"/>
      <c r="J54" s="993" t="s">
        <v>264</v>
      </c>
      <c r="K54" s="1008"/>
      <c r="L54" s="1002">
        <f>IF(DATA!AH49=1,AF64,AF53)</f>
        <v>100000</v>
      </c>
      <c r="M54" s="770"/>
      <c r="N54" s="770"/>
      <c r="O54" s="770"/>
      <c r="P54" s="770"/>
      <c r="Q54" s="770"/>
      <c r="R54" s="984">
        <f>MAX(0,MIN(T54*U54,T$51*U54))</f>
        <v>50000</v>
      </c>
      <c r="S54" s="1009">
        <f>S53+S51</f>
        <v>1000000</v>
      </c>
      <c r="T54" s="1004">
        <f>IF((T53-S51)&lt;=0,0,(T53-S51))</f>
        <v>307680</v>
      </c>
      <c r="U54" s="1005">
        <f>IF(DATA!AH49=1,15%,20%)</f>
        <v>0.2</v>
      </c>
      <c r="V54" s="837">
        <f>IF(T54&gt;=S53,S53,T54)</f>
        <v>307680</v>
      </c>
      <c r="W54" s="837"/>
      <c r="X54" s="770"/>
      <c r="Y54" s="770"/>
      <c r="Z54" s="770"/>
      <c r="AA54" s="770"/>
      <c r="AB54" s="770"/>
      <c r="AC54" s="770"/>
      <c r="AD54" s="770"/>
      <c r="AE54" s="986" t="s">
        <v>908</v>
      </c>
      <c r="AF54" s="1010">
        <f>MAX(0,MIN(AJ54*AI55,AJ54*AH54))</f>
        <v>17304.000000000004</v>
      </c>
      <c r="AG54" s="1010"/>
      <c r="AH54" s="1011">
        <f>L50-AG53</f>
        <v>57680</v>
      </c>
      <c r="AI54" s="987">
        <f>AI53-AH53</f>
        <v>57680</v>
      </c>
      <c r="AJ54" s="1012">
        <v>0.30000000000000004</v>
      </c>
      <c r="AK54" s="770">
        <f>IF(AH54&lt;=AI54,AH54,AI54)</f>
        <v>57680</v>
      </c>
      <c r="AL54" s="770"/>
      <c r="AM54" s="770"/>
      <c r="AN54" s="770"/>
      <c r="AO54" s="770"/>
      <c r="AP54" s="770"/>
      <c r="AQ54" s="770"/>
      <c r="AR54" s="770"/>
      <c r="AS54" s="770"/>
      <c r="AT54" s="770"/>
      <c r="AU54" s="770"/>
      <c r="AV54" s="770"/>
      <c r="AW54" s="770"/>
      <c r="AX54" s="770"/>
      <c r="AY54" s="770"/>
      <c r="AZ54" s="770"/>
      <c r="BA54" s="770"/>
      <c r="BB54" s="770"/>
      <c r="BC54" s="770"/>
      <c r="BD54" s="770"/>
      <c r="BE54" s="770"/>
      <c r="BF54" s="770"/>
      <c r="BG54" s="770"/>
      <c r="BH54" s="770"/>
      <c r="BI54" s="770"/>
      <c r="BJ54" s="770"/>
      <c r="BK54" s="770"/>
      <c r="BL54" s="770"/>
      <c r="BM54" s="770"/>
      <c r="BN54" s="770"/>
      <c r="BO54" s="770"/>
      <c r="BP54" s="770"/>
      <c r="BQ54" s="770"/>
      <c r="BR54" s="770"/>
      <c r="BS54" s="770"/>
      <c r="BT54" s="770"/>
      <c r="BU54" s="770"/>
      <c r="BV54" s="770"/>
      <c r="BW54" s="770"/>
      <c r="BX54" s="770"/>
      <c r="BY54" s="770"/>
      <c r="BZ54" s="770"/>
      <c r="CA54" s="770"/>
      <c r="CB54" s="770"/>
    </row>
    <row r="55" spans="1:80" ht="12.95" customHeight="1">
      <c r="A55" s="770"/>
      <c r="B55" s="990"/>
      <c r="C55" s="991" t="s">
        <v>278</v>
      </c>
      <c r="D55" s="2075" t="str">
        <f>IF(L55=0,"",(IF(DATA!AH49=1,"7,50,001/- to 10,00,000/- 15% ","10,00,001/ Above - 30% ")))</f>
        <v xml:space="preserve">10,00,001/ Above - 30% </v>
      </c>
      <c r="E55" s="2075"/>
      <c r="F55" s="2075"/>
      <c r="G55" s="2075"/>
      <c r="H55" s="1006" t="str">
        <f>IF(L55=0,"",(IF(DATA!AH49=1,CONCATENATE("( ",AL65,"  @","  15% )"),CONCATENATE("( ",AK54,"  @","  30% )"))))</f>
        <v>( 57680  @  30% )</v>
      </c>
      <c r="I55" s="1007"/>
      <c r="J55" s="993" t="s">
        <v>264</v>
      </c>
      <c r="K55" s="1013"/>
      <c r="L55" s="1002">
        <f>IF(DATA!AH49=1,AF65,AF54)</f>
        <v>17304.000000000004</v>
      </c>
      <c r="M55" s="770"/>
      <c r="N55" s="770"/>
      <c r="O55" s="770"/>
      <c r="P55" s="770"/>
      <c r="Q55" s="770"/>
      <c r="R55" s="984">
        <f>MAX(0,MIN(T55*U55,T$51*U55))</f>
        <v>17304</v>
      </c>
      <c r="S55" s="1003">
        <f>S54+S51</f>
        <v>1250000</v>
      </c>
      <c r="T55" s="1004">
        <f>IF((T54-S51)&lt;=0,0,(T54-S51))</f>
        <v>57680</v>
      </c>
      <c r="U55" s="1005">
        <f>IF(DATA!AH49=1,20%,30%)</f>
        <v>0.3</v>
      </c>
      <c r="V55" s="837">
        <f>IF(T55&gt;=S54,S54,T55)</f>
        <v>57680</v>
      </c>
      <c r="W55" s="837"/>
      <c r="X55" s="770"/>
      <c r="Y55" s="770"/>
      <c r="Z55" s="770"/>
      <c r="AA55" s="770"/>
      <c r="AB55" s="770"/>
      <c r="AC55" s="770"/>
      <c r="AD55" s="770"/>
      <c r="AE55" s="986" t="s">
        <v>329</v>
      </c>
      <c r="AF55" s="1014">
        <f>SUM(AF50:AF54)</f>
        <v>129804</v>
      </c>
      <c r="AG55" s="987"/>
      <c r="AH55" s="987"/>
      <c r="AI55" s="987">
        <f>AI53-AH53</f>
        <v>57680</v>
      </c>
      <c r="AJ55" s="989"/>
      <c r="AK55" s="770"/>
      <c r="AL55" s="770"/>
      <c r="AM55" s="770"/>
      <c r="AN55" s="770"/>
      <c r="AO55" s="770"/>
      <c r="AP55" s="770"/>
      <c r="AQ55" s="770"/>
      <c r="AR55" s="770"/>
      <c r="AS55" s="770"/>
      <c r="AT55" s="770"/>
      <c r="AU55" s="770"/>
      <c r="AV55" s="770"/>
      <c r="AW55" s="770"/>
      <c r="AX55" s="770"/>
      <c r="AY55" s="770"/>
      <c r="AZ55" s="770"/>
      <c r="BA55" s="770"/>
      <c r="BB55" s="770"/>
      <c r="BC55" s="770"/>
      <c r="BD55" s="770"/>
      <c r="BE55" s="770"/>
      <c r="BF55" s="770"/>
      <c r="BG55" s="770"/>
      <c r="BH55" s="770"/>
      <c r="BI55" s="770"/>
      <c r="BJ55" s="770"/>
      <c r="BK55" s="770"/>
      <c r="BL55" s="770"/>
      <c r="BM55" s="770"/>
      <c r="BN55" s="770"/>
      <c r="BO55" s="770"/>
      <c r="BP55" s="770"/>
      <c r="BQ55" s="770"/>
      <c r="BR55" s="770"/>
      <c r="BS55" s="770"/>
      <c r="BT55" s="770"/>
      <c r="BU55" s="770"/>
      <c r="BV55" s="770"/>
      <c r="BW55" s="770"/>
      <c r="BX55" s="770"/>
      <c r="BY55" s="770"/>
      <c r="BZ55" s="770"/>
      <c r="CA55" s="770"/>
      <c r="CB55" s="770"/>
    </row>
    <row r="56" spans="1:80" ht="12.95" customHeight="1">
      <c r="A56" s="770"/>
      <c r="B56" s="990"/>
      <c r="C56" s="991" t="s">
        <v>279</v>
      </c>
      <c r="D56" s="977" t="str">
        <f>IF(L56=0,"",(IF(DATA!AH49=1,"10,00,001/- to 12,50,000/- 20% ","")))</f>
        <v/>
      </c>
      <c r="E56" s="977"/>
      <c r="F56" s="977"/>
      <c r="G56" s="977"/>
      <c r="H56" s="1006" t="str">
        <f>IF(L56=0,"",(IF(DATA!AH49=1,CONCATENATE("( ",AL66,"  @","  20% )"),"")))</f>
        <v/>
      </c>
      <c r="I56" s="1007"/>
      <c r="J56" s="993"/>
      <c r="K56" s="1013"/>
      <c r="L56" s="1002">
        <f>IF(DATA!AH49=1,AF66,0)</f>
        <v>0</v>
      </c>
      <c r="M56" s="770"/>
      <c r="N56" s="770"/>
      <c r="O56" s="770"/>
      <c r="P56" s="770"/>
      <c r="Q56" s="770"/>
      <c r="R56" s="1015">
        <f>MAX(0,MIN(T55*U56,T$51*U56))</f>
        <v>17304</v>
      </c>
      <c r="S56" s="1016">
        <f>S55+S51</f>
        <v>1500000</v>
      </c>
      <c r="T56" s="1017">
        <f>IF((T55-S51)&lt;=0,0,(T55-S51))</f>
        <v>0</v>
      </c>
      <c r="U56" s="1018">
        <f>IF(DATA!AH49=1,25%,30%)</f>
        <v>0.3</v>
      </c>
      <c r="V56" s="837">
        <f>IF(T56&gt;=S55,S55,T56)</f>
        <v>0</v>
      </c>
      <c r="W56" s="837"/>
      <c r="X56" s="770"/>
      <c r="Y56" s="770"/>
      <c r="Z56" s="770"/>
      <c r="AA56" s="770"/>
      <c r="AB56" s="770"/>
      <c r="AC56" s="770"/>
      <c r="AD56" s="770"/>
      <c r="AE56" s="986"/>
      <c r="AF56" s="1014"/>
      <c r="AG56" s="987"/>
      <c r="AH56" s="987"/>
      <c r="AI56" s="987"/>
      <c r="AJ56" s="989"/>
      <c r="AK56" s="770"/>
      <c r="AL56" s="770"/>
      <c r="AM56" s="770"/>
      <c r="AN56" s="770"/>
      <c r="AO56" s="770"/>
      <c r="AP56" s="770"/>
      <c r="AQ56" s="770"/>
      <c r="AR56" s="770"/>
      <c r="AS56" s="770"/>
      <c r="AT56" s="770"/>
      <c r="AU56" s="770"/>
      <c r="AV56" s="770"/>
      <c r="AW56" s="770"/>
      <c r="AX56" s="770"/>
      <c r="AY56" s="770"/>
      <c r="AZ56" s="770"/>
      <c r="BA56" s="770"/>
      <c r="BB56" s="770"/>
      <c r="BC56" s="770"/>
      <c r="BD56" s="770"/>
      <c r="BE56" s="770"/>
      <c r="BF56" s="770"/>
      <c r="BG56" s="770"/>
      <c r="BH56" s="770"/>
      <c r="BI56" s="770"/>
      <c r="BJ56" s="770"/>
      <c r="BK56" s="770"/>
      <c r="BL56" s="770"/>
      <c r="BM56" s="770"/>
      <c r="BN56" s="770"/>
      <c r="BO56" s="770"/>
      <c r="BP56" s="770"/>
      <c r="BQ56" s="770"/>
      <c r="BR56" s="770"/>
      <c r="BS56" s="770"/>
      <c r="BT56" s="770"/>
      <c r="BU56" s="770"/>
      <c r="BV56" s="770"/>
      <c r="BW56" s="770"/>
      <c r="BX56" s="770"/>
      <c r="BY56" s="770"/>
      <c r="BZ56" s="770"/>
      <c r="CA56" s="770"/>
      <c r="CB56" s="770"/>
    </row>
    <row r="57" spans="1:80" ht="12.95" customHeight="1">
      <c r="A57" s="770"/>
      <c r="B57" s="990"/>
      <c r="C57" s="991" t="s">
        <v>280</v>
      </c>
      <c r="D57" s="977" t="str">
        <f>IF(L57=0,"",(IF(DATA!AH49=1,"12,50,001/- to 15,00,000/- 25% ","")))</f>
        <v/>
      </c>
      <c r="E57" s="977"/>
      <c r="F57" s="977"/>
      <c r="G57" s="977"/>
      <c r="H57" s="1006" t="str">
        <f>IF(L57=0,"",(IF(DATA!AH49=1,CONCATENATE("( ",AL67,"  @","  25% )"),"")))</f>
        <v/>
      </c>
      <c r="I57" s="1007"/>
      <c r="J57" s="993"/>
      <c r="K57" s="1013"/>
      <c r="L57" s="1002">
        <f>IF(DATA!AH49=1,AF67,0)</f>
        <v>0</v>
      </c>
      <c r="M57" s="770"/>
      <c r="N57" s="770"/>
      <c r="O57" s="770"/>
      <c r="P57" s="770"/>
      <c r="Q57" s="770"/>
      <c r="R57" s="1015">
        <f>MAX(0,MIN(T56*U57,T$51*U57))</f>
        <v>0</v>
      </c>
      <c r="S57" s="1016" t="str">
        <f>CONCATENATE(S56," + ")</f>
        <v xml:space="preserve">1500000 + </v>
      </c>
      <c r="T57" s="1017">
        <f>IF((T56-S51)&lt;=0,0,(T56-S51))</f>
        <v>0</v>
      </c>
      <c r="U57" s="1018">
        <v>0.3</v>
      </c>
      <c r="V57" s="837">
        <f>IF(T57&gt;=S56,S56,T57)</f>
        <v>0</v>
      </c>
      <c r="W57" s="837"/>
      <c r="X57" s="770"/>
      <c r="Y57" s="770"/>
      <c r="Z57" s="770"/>
      <c r="AA57" s="770"/>
      <c r="AB57" s="770"/>
      <c r="AC57" s="770"/>
      <c r="AD57" s="770"/>
      <c r="AE57" s="770"/>
      <c r="AF57" s="770"/>
      <c r="AG57" s="770"/>
      <c r="AH57" s="770" t="s">
        <v>896</v>
      </c>
      <c r="AI57" s="770">
        <f>ROUND(AF55*4%,0)</f>
        <v>5192</v>
      </c>
      <c r="AJ57" s="770"/>
      <c r="AK57" s="770"/>
      <c r="AL57" s="770"/>
      <c r="AM57" s="770"/>
      <c r="AN57" s="770"/>
      <c r="AO57" s="770"/>
      <c r="AP57" s="770"/>
      <c r="AQ57" s="770"/>
      <c r="AR57" s="770"/>
      <c r="AS57" s="770"/>
      <c r="AT57" s="770"/>
      <c r="AU57" s="770"/>
      <c r="AV57" s="770"/>
      <c r="AW57" s="770"/>
      <c r="AX57" s="770"/>
      <c r="AY57" s="770"/>
      <c r="AZ57" s="770"/>
      <c r="BA57" s="770"/>
      <c r="BB57" s="770"/>
      <c r="BC57" s="770"/>
      <c r="BD57" s="770"/>
      <c r="BE57" s="770"/>
      <c r="BF57" s="770"/>
      <c r="BG57" s="770"/>
      <c r="BH57" s="770"/>
      <c r="BI57" s="770"/>
      <c r="BJ57" s="770"/>
      <c r="BK57" s="770"/>
      <c r="BL57" s="770"/>
      <c r="BM57" s="770"/>
      <c r="BN57" s="770"/>
      <c r="BO57" s="770"/>
      <c r="BP57" s="770"/>
      <c r="BQ57" s="770"/>
      <c r="BR57" s="770"/>
      <c r="BS57" s="770"/>
      <c r="BT57" s="770"/>
      <c r="BU57" s="770"/>
      <c r="BV57" s="770"/>
      <c r="BW57" s="770"/>
      <c r="BX57" s="770"/>
      <c r="BY57" s="770"/>
      <c r="BZ57" s="770"/>
      <c r="CA57" s="770"/>
      <c r="CB57" s="770"/>
    </row>
    <row r="58" spans="1:80" ht="12.95" customHeight="1">
      <c r="A58" s="770"/>
      <c r="B58" s="990"/>
      <c r="C58" s="991" t="s">
        <v>274</v>
      </c>
      <c r="D58" s="977" t="str">
        <f>IF(L58=0,"",(IF(DATA!AH49=1,"Above 15,00,000 - 30%","")))</f>
        <v/>
      </c>
      <c r="E58" s="977"/>
      <c r="F58" s="977"/>
      <c r="G58" s="977"/>
      <c r="H58" s="1006" t="str">
        <f>IF(L58=0,"",(IF(DATA!AH49=1,CONCATENATE("( ",AL68,"  @","  30% )"),"")))</f>
        <v/>
      </c>
      <c r="I58" s="1007"/>
      <c r="J58" s="993"/>
      <c r="K58" s="1013"/>
      <c r="L58" s="1002">
        <f>IF(DATA!AH49=1,AF68,0)</f>
        <v>0</v>
      </c>
      <c r="M58" s="770"/>
      <c r="N58" s="770"/>
      <c r="O58" s="770"/>
      <c r="P58" s="770"/>
      <c r="Q58" s="770"/>
      <c r="R58" s="1015"/>
      <c r="S58" s="1016"/>
      <c r="T58" s="1017"/>
      <c r="U58" s="1018"/>
      <c r="V58" s="837"/>
      <c r="W58" s="837"/>
      <c r="X58" s="770"/>
      <c r="Y58" s="770"/>
      <c r="Z58" s="770"/>
      <c r="AA58" s="770"/>
      <c r="AB58" s="770"/>
      <c r="AC58" s="770"/>
      <c r="AD58" s="770"/>
      <c r="AE58" s="770"/>
      <c r="AF58" s="770"/>
      <c r="AG58" s="770"/>
      <c r="AH58" s="770"/>
      <c r="AI58" s="770"/>
      <c r="AJ58" s="770"/>
      <c r="AK58" s="770"/>
      <c r="AL58" s="770"/>
      <c r="AM58" s="770"/>
      <c r="AN58" s="770"/>
      <c r="AO58" s="770"/>
      <c r="AP58" s="770"/>
      <c r="AQ58" s="770"/>
      <c r="AR58" s="770"/>
      <c r="AS58" s="770"/>
      <c r="AT58" s="770"/>
      <c r="AU58" s="770"/>
      <c r="AV58" s="770"/>
      <c r="AW58" s="770"/>
      <c r="AX58" s="770"/>
      <c r="AY58" s="770"/>
      <c r="AZ58" s="770"/>
      <c r="BA58" s="770"/>
      <c r="BB58" s="770"/>
      <c r="BC58" s="770"/>
      <c r="BD58" s="770"/>
      <c r="BE58" s="770"/>
      <c r="BF58" s="770"/>
      <c r="BG58" s="770"/>
      <c r="BH58" s="770"/>
      <c r="BI58" s="770"/>
      <c r="BJ58" s="770"/>
      <c r="BK58" s="770"/>
      <c r="BL58" s="770"/>
      <c r="BM58" s="770"/>
      <c r="BN58" s="770"/>
      <c r="BO58" s="770"/>
      <c r="BP58" s="770"/>
      <c r="BQ58" s="770"/>
      <c r="BR58" s="770"/>
      <c r="BS58" s="770"/>
      <c r="BT58" s="770"/>
      <c r="BU58" s="770"/>
      <c r="BV58" s="770"/>
      <c r="BW58" s="770"/>
      <c r="BX58" s="770"/>
      <c r="BY58" s="770"/>
      <c r="BZ58" s="770"/>
      <c r="CA58" s="770"/>
      <c r="CB58" s="770"/>
    </row>
    <row r="59" spans="1:80" ht="16.5" customHeight="1">
      <c r="A59" s="770"/>
      <c r="B59" s="990">
        <v>16</v>
      </c>
      <c r="C59" s="2052" t="s">
        <v>819</v>
      </c>
      <c r="D59" s="2052"/>
      <c r="E59" s="2052"/>
      <c r="F59" s="2052"/>
      <c r="G59" s="2052"/>
      <c r="H59" s="2052"/>
      <c r="I59" s="2052"/>
      <c r="J59" s="993" t="s">
        <v>264</v>
      </c>
      <c r="K59" s="1019"/>
      <c r="L59" s="1020">
        <f>IF(AND(L50&lt;=500000,L50&gt;250000),DATA!CP265,0)</f>
        <v>0</v>
      </c>
      <c r="M59" s="770"/>
      <c r="N59" s="1021" t="str">
        <f>CONCATENATE("If Taxble income "," ",L60," ","deduction ",L59)</f>
        <v>If Taxble income  129804 deduction 0</v>
      </c>
      <c r="O59" s="770"/>
      <c r="P59" s="770"/>
      <c r="Q59" s="770"/>
      <c r="R59" s="984"/>
      <c r="S59" s="1003"/>
      <c r="T59" s="1004"/>
      <c r="U59" s="1005"/>
      <c r="V59" s="810"/>
      <c r="W59" s="770"/>
      <c r="X59" s="770"/>
      <c r="Y59" s="770"/>
      <c r="Z59" s="770"/>
      <c r="AA59" s="770"/>
      <c r="AB59" s="770"/>
      <c r="AC59" s="770"/>
      <c r="AD59" s="770"/>
      <c r="AE59" s="770"/>
      <c r="AF59" s="770"/>
      <c r="AG59" s="770"/>
      <c r="AH59" s="770"/>
      <c r="AI59" s="770"/>
      <c r="AJ59" s="770"/>
      <c r="AK59" s="770"/>
      <c r="AL59" s="770"/>
      <c r="AM59" s="770"/>
      <c r="AN59" s="770"/>
      <c r="AO59" s="770"/>
      <c r="AP59" s="770"/>
      <c r="AQ59" s="770"/>
      <c r="AR59" s="770"/>
      <c r="AS59" s="770"/>
      <c r="AT59" s="770"/>
      <c r="AU59" s="770"/>
      <c r="AV59" s="770"/>
      <c r="AW59" s="770"/>
      <c r="AX59" s="770"/>
      <c r="AY59" s="770"/>
      <c r="AZ59" s="770"/>
      <c r="BA59" s="770"/>
      <c r="BB59" s="770"/>
      <c r="BC59" s="770"/>
      <c r="BD59" s="770"/>
      <c r="BE59" s="770"/>
      <c r="BF59" s="770"/>
      <c r="BG59" s="770"/>
      <c r="BH59" s="770"/>
      <c r="BI59" s="770"/>
      <c r="BJ59" s="770"/>
      <c r="BK59" s="770"/>
      <c r="BL59" s="770"/>
      <c r="BM59" s="770"/>
      <c r="BN59" s="770"/>
      <c r="BO59" s="770"/>
      <c r="BP59" s="770"/>
      <c r="BQ59" s="770"/>
      <c r="BR59" s="770"/>
      <c r="BS59" s="770"/>
      <c r="BT59" s="770"/>
      <c r="BU59" s="770"/>
      <c r="BV59" s="770"/>
      <c r="BW59" s="770"/>
      <c r="BX59" s="770"/>
      <c r="BY59" s="770"/>
      <c r="BZ59" s="770"/>
      <c r="CA59" s="770"/>
      <c r="CB59" s="770"/>
    </row>
    <row r="60" spans="1:80" ht="12" customHeight="1">
      <c r="A60" s="770"/>
      <c r="B60" s="990">
        <v>17</v>
      </c>
      <c r="C60" s="972" t="s">
        <v>356</v>
      </c>
      <c r="D60" s="972"/>
      <c r="E60" s="972"/>
      <c r="F60" s="972"/>
      <c r="G60" s="972"/>
      <c r="H60" s="972"/>
      <c r="I60" s="1022"/>
      <c r="J60" s="993"/>
      <c r="K60" s="1013"/>
      <c r="L60" s="1023">
        <f>IF(((L53-L59)+L54+L55+L56+L57+L58)&gt;0,((L53-L59)+L54+L55+L56+L57+L58),0)</f>
        <v>129804</v>
      </c>
      <c r="M60" s="770"/>
      <c r="N60" s="1024"/>
      <c r="O60" s="1025"/>
      <c r="P60" s="1025"/>
      <c r="Q60" s="1025"/>
      <c r="R60" s="984">
        <f>SUM(R52:R59)</f>
        <v>147108</v>
      </c>
      <c r="S60" s="2124" t="s">
        <v>329</v>
      </c>
      <c r="T60" s="2125"/>
      <c r="U60" s="2126"/>
      <c r="V60" s="770"/>
      <c r="W60" s="770"/>
      <c r="X60" s="770"/>
      <c r="Y60" s="770"/>
      <c r="Z60" s="770"/>
      <c r="AA60" s="770"/>
      <c r="AB60" s="770"/>
      <c r="AC60" s="770"/>
      <c r="AD60" s="770"/>
      <c r="AE60" s="770"/>
      <c r="AF60" s="770"/>
      <c r="AG60" s="770"/>
      <c r="AH60" s="770"/>
      <c r="AI60" s="770"/>
      <c r="AJ60" s="770"/>
      <c r="AK60" s="770"/>
      <c r="AL60" s="770"/>
      <c r="AM60" s="770"/>
      <c r="AN60" s="770"/>
      <c r="AO60" s="770"/>
      <c r="AP60" s="770"/>
      <c r="AQ60" s="770"/>
      <c r="AR60" s="770"/>
      <c r="AS60" s="770"/>
      <c r="AT60" s="770"/>
      <c r="AU60" s="770"/>
      <c r="AV60" s="770"/>
      <c r="AW60" s="770"/>
      <c r="AX60" s="770"/>
      <c r="AY60" s="770"/>
      <c r="AZ60" s="770"/>
      <c r="BA60" s="770"/>
      <c r="BB60" s="770"/>
      <c r="BC60" s="770"/>
      <c r="BD60" s="770"/>
      <c r="BE60" s="770"/>
      <c r="BF60" s="770"/>
      <c r="BG60" s="770"/>
      <c r="BH60" s="770"/>
      <c r="BI60" s="770"/>
      <c r="BJ60" s="770"/>
      <c r="BK60" s="770"/>
      <c r="BL60" s="770"/>
      <c r="BM60" s="770"/>
      <c r="BN60" s="770"/>
      <c r="BO60" s="770"/>
      <c r="BP60" s="770"/>
      <c r="BQ60" s="770"/>
      <c r="BR60" s="770"/>
      <c r="BS60" s="770"/>
      <c r="BT60" s="770"/>
      <c r="BU60" s="770"/>
      <c r="BV60" s="770"/>
      <c r="BW60" s="770"/>
      <c r="BX60" s="770"/>
      <c r="BY60" s="770"/>
      <c r="BZ60" s="770"/>
      <c r="CA60" s="770"/>
      <c r="CB60" s="770"/>
    </row>
    <row r="61" spans="1:80" ht="12" customHeight="1">
      <c r="A61" s="770"/>
      <c r="B61" s="990">
        <v>18</v>
      </c>
      <c r="C61" s="922" t="s">
        <v>820</v>
      </c>
      <c r="D61" s="922"/>
      <c r="E61" s="922"/>
      <c r="F61" s="922"/>
      <c r="G61" s="922"/>
      <c r="H61" s="922"/>
      <c r="I61" s="1007"/>
      <c r="J61" s="993" t="s">
        <v>264</v>
      </c>
      <c r="K61" s="1013"/>
      <c r="L61" s="1026" t="str">
        <f>IF(L60=0,0,AF72)</f>
        <v xml:space="preserve">     5192</v>
      </c>
      <c r="M61" s="821"/>
      <c r="N61" s="1027"/>
      <c r="O61" s="1027"/>
      <c r="P61" s="1028"/>
      <c r="Q61" s="770"/>
      <c r="R61" s="1029"/>
      <c r="S61" s="770"/>
      <c r="T61" s="1030" t="s">
        <v>896</v>
      </c>
      <c r="U61" s="1030">
        <f>ROUND(R60*4%,0)</f>
        <v>5884</v>
      </c>
      <c r="V61" s="770"/>
      <c r="W61" s="770"/>
      <c r="X61" s="770"/>
      <c r="Y61" s="770"/>
      <c r="Z61" s="770"/>
      <c r="AA61" s="770"/>
      <c r="AB61" s="770"/>
      <c r="AC61" s="770"/>
      <c r="AD61" s="770"/>
      <c r="AE61" s="986" t="s">
        <v>909</v>
      </c>
      <c r="AF61" s="1031" t="s">
        <v>242</v>
      </c>
      <c r="AG61" s="1031" t="s">
        <v>910</v>
      </c>
      <c r="AH61" s="1031" t="s">
        <v>911</v>
      </c>
      <c r="AI61" s="1031" t="s">
        <v>912</v>
      </c>
      <c r="AJ61" s="1031" t="s">
        <v>913</v>
      </c>
      <c r="AK61" s="1"/>
      <c r="AL61" s="770"/>
      <c r="AM61" s="770"/>
      <c r="AN61" s="770"/>
      <c r="AO61" s="770"/>
      <c r="AP61" s="770"/>
      <c r="AQ61" s="770"/>
      <c r="AR61" s="770"/>
      <c r="AS61" s="770"/>
      <c r="AT61" s="770"/>
      <c r="AU61" s="770"/>
      <c r="AV61" s="770"/>
      <c r="AW61" s="770"/>
      <c r="AX61" s="770"/>
      <c r="AY61" s="770"/>
      <c r="AZ61" s="770"/>
      <c r="BA61" s="770"/>
      <c r="BB61" s="770"/>
      <c r="BC61" s="770"/>
      <c r="BD61" s="770"/>
      <c r="BE61" s="770"/>
      <c r="BF61" s="770"/>
      <c r="BG61" s="770"/>
      <c r="BH61" s="770"/>
      <c r="BI61" s="770"/>
      <c r="BJ61" s="770"/>
      <c r="BK61" s="770"/>
      <c r="BL61" s="770"/>
      <c r="BM61" s="770"/>
      <c r="BN61" s="770"/>
      <c r="BO61" s="770"/>
      <c r="BP61" s="770"/>
      <c r="BQ61" s="770"/>
      <c r="BR61" s="770"/>
      <c r="BS61" s="770"/>
      <c r="BT61" s="770"/>
      <c r="BU61" s="770"/>
      <c r="BV61" s="770"/>
      <c r="BW61" s="770"/>
      <c r="BX61" s="770"/>
      <c r="BY61" s="770"/>
      <c r="BZ61" s="770"/>
      <c r="CA61" s="770"/>
      <c r="CB61" s="770"/>
    </row>
    <row r="62" spans="1:80" ht="9" hidden="1" customHeight="1">
      <c r="A62" s="770"/>
      <c r="B62" s="990"/>
      <c r="C62" s="972"/>
      <c r="D62" s="972"/>
      <c r="E62" s="972"/>
      <c r="F62" s="972"/>
      <c r="G62" s="972"/>
      <c r="H62" s="972"/>
      <c r="I62" s="972"/>
      <c r="J62" s="993"/>
      <c r="K62" s="1013"/>
      <c r="L62" s="1026"/>
      <c r="M62" s="821"/>
      <c r="N62" s="821"/>
      <c r="O62" s="1032"/>
      <c r="P62" s="821"/>
      <c r="Q62" s="770"/>
      <c r="R62" s="770"/>
      <c r="S62" s="770"/>
      <c r="T62" s="770"/>
      <c r="U62" s="770"/>
      <c r="V62" s="770"/>
      <c r="W62" s="770"/>
      <c r="X62" s="770"/>
      <c r="Y62" s="770"/>
      <c r="Z62" s="770"/>
      <c r="AA62" s="770"/>
      <c r="AB62" s="770"/>
      <c r="AC62" s="770"/>
      <c r="AD62" s="770"/>
      <c r="AE62" s="986" t="s">
        <v>914</v>
      </c>
      <c r="AF62" s="1033">
        <f>AJ62*AI62</f>
        <v>0</v>
      </c>
      <c r="AG62" s="1033">
        <v>250000</v>
      </c>
      <c r="AH62" s="1033"/>
      <c r="AI62" s="1033">
        <f>AG62</f>
        <v>250000</v>
      </c>
      <c r="AJ62" s="989">
        <v>0</v>
      </c>
      <c r="AK62" s="1"/>
      <c r="AL62" s="770"/>
      <c r="AM62" s="770"/>
      <c r="AN62" s="770"/>
      <c r="AO62" s="770"/>
      <c r="AP62" s="770"/>
      <c r="AQ62" s="770"/>
      <c r="AR62" s="770"/>
      <c r="AS62" s="770"/>
      <c r="AT62" s="770"/>
      <c r="AU62" s="770"/>
      <c r="AV62" s="770"/>
      <c r="AW62" s="770"/>
      <c r="AX62" s="770"/>
      <c r="AY62" s="770"/>
      <c r="AZ62" s="770"/>
      <c r="BA62" s="770"/>
      <c r="BB62" s="770"/>
      <c r="BC62" s="770"/>
      <c r="BD62" s="770"/>
      <c r="BE62" s="770"/>
      <c r="BF62" s="770"/>
      <c r="BG62" s="770"/>
      <c r="BH62" s="770"/>
      <c r="BI62" s="770"/>
      <c r="BJ62" s="770"/>
      <c r="BK62" s="770"/>
      <c r="BL62" s="770"/>
      <c r="BM62" s="770"/>
      <c r="BN62" s="770"/>
      <c r="BO62" s="770"/>
      <c r="BP62" s="770"/>
      <c r="BQ62" s="770"/>
      <c r="BR62" s="770"/>
      <c r="BS62" s="770"/>
      <c r="BT62" s="770"/>
      <c r="BU62" s="770"/>
      <c r="BV62" s="770"/>
      <c r="BW62" s="770"/>
      <c r="BX62" s="770"/>
      <c r="BY62" s="770"/>
      <c r="BZ62" s="770"/>
      <c r="CA62" s="770"/>
      <c r="CB62" s="770"/>
    </row>
    <row r="63" spans="1:80" ht="12" customHeight="1">
      <c r="A63" s="770"/>
      <c r="B63" s="990">
        <v>19</v>
      </c>
      <c r="C63" s="2050" t="s">
        <v>854</v>
      </c>
      <c r="D63" s="2051"/>
      <c r="E63" s="2051"/>
      <c r="F63" s="2051"/>
      <c r="G63" s="2051"/>
      <c r="H63" s="2051"/>
      <c r="I63" s="1022"/>
      <c r="J63" s="993" t="s">
        <v>264</v>
      </c>
      <c r="K63" s="1013"/>
      <c r="L63" s="995">
        <f>L60+L61</f>
        <v>134996</v>
      </c>
      <c r="M63" s="821"/>
      <c r="N63" s="772"/>
      <c r="O63" s="1032"/>
      <c r="P63" s="821"/>
      <c r="Q63" s="770"/>
      <c r="R63" s="770"/>
      <c r="S63" s="770"/>
      <c r="T63" s="770"/>
      <c r="U63" s="770"/>
      <c r="V63" s="770"/>
      <c r="W63" s="770"/>
      <c r="X63" s="770"/>
      <c r="Y63" s="770"/>
      <c r="Z63" s="770"/>
      <c r="AA63" s="770"/>
      <c r="AB63" s="770"/>
      <c r="AC63" s="770"/>
      <c r="AD63" s="770"/>
      <c r="AE63" s="986" t="s">
        <v>915</v>
      </c>
      <c r="AF63" s="1033">
        <f t="shared" ref="AF63:AF68" si="0">MAX(0,MIN(AJ63*AI63,AJ63*AH63))</f>
        <v>12500</v>
      </c>
      <c r="AG63" s="1033">
        <v>500000</v>
      </c>
      <c r="AH63" s="1033">
        <f>AG63-AG62</f>
        <v>250000</v>
      </c>
      <c r="AI63" s="1033">
        <f>L50-AI62</f>
        <v>807680</v>
      </c>
      <c r="AJ63" s="989">
        <v>0.05</v>
      </c>
      <c r="AK63" s="1"/>
      <c r="AL63" s="770">
        <f t="shared" ref="AL63:AL68" si="1">IF(AH63&lt;=AI63,AH63,AI63)</f>
        <v>250000</v>
      </c>
      <c r="AM63" s="770"/>
      <c r="AN63" s="770"/>
      <c r="AO63" s="770"/>
      <c r="AP63" s="770"/>
      <c r="AQ63" s="770"/>
      <c r="AR63" s="770"/>
      <c r="AS63" s="770"/>
      <c r="AT63" s="770"/>
      <c r="AU63" s="770"/>
      <c r="AV63" s="770"/>
      <c r="AW63" s="770"/>
      <c r="AX63" s="770"/>
      <c r="AY63" s="770"/>
      <c r="AZ63" s="770"/>
      <c r="BA63" s="770"/>
      <c r="BB63" s="770"/>
      <c r="BC63" s="770"/>
      <c r="BD63" s="770"/>
      <c r="BE63" s="770"/>
      <c r="BF63" s="770"/>
      <c r="BG63" s="770"/>
      <c r="BH63" s="770"/>
      <c r="BI63" s="770"/>
      <c r="BJ63" s="770"/>
      <c r="BK63" s="770"/>
      <c r="BL63" s="770"/>
      <c r="BM63" s="770"/>
      <c r="BN63" s="770"/>
      <c r="BO63" s="770"/>
      <c r="BP63" s="770"/>
      <c r="BQ63" s="770"/>
      <c r="BR63" s="770"/>
      <c r="BS63" s="770"/>
      <c r="BT63" s="770"/>
      <c r="BU63" s="770"/>
      <c r="BV63" s="770"/>
      <c r="BW63" s="770"/>
      <c r="BX63" s="770"/>
      <c r="BY63" s="770"/>
      <c r="BZ63" s="770"/>
      <c r="CA63" s="770"/>
      <c r="CB63" s="770"/>
    </row>
    <row r="64" spans="1:80" ht="12" customHeight="1">
      <c r="A64" s="770"/>
      <c r="B64" s="990">
        <v>20</v>
      </c>
      <c r="C64" s="972" t="s">
        <v>779</v>
      </c>
      <c r="D64" s="1034"/>
      <c r="E64" s="1034"/>
      <c r="F64" s="1034"/>
      <c r="G64" s="972"/>
      <c r="H64" s="972"/>
      <c r="I64" s="1022"/>
      <c r="J64" s="1035" t="s">
        <v>264</v>
      </c>
      <c r="K64" s="1036"/>
      <c r="L64" s="1037">
        <f>IF(M65&gt;0,M65,0)</f>
        <v>0</v>
      </c>
      <c r="M64" s="821"/>
      <c r="N64" s="772"/>
      <c r="O64" s="821"/>
      <c r="P64" s="821"/>
      <c r="Q64" s="770"/>
      <c r="R64" s="770"/>
      <c r="S64" s="770"/>
      <c r="T64" s="770"/>
      <c r="U64" s="770"/>
      <c r="V64" s="770"/>
      <c r="W64" s="770"/>
      <c r="X64" s="770"/>
      <c r="Y64" s="770"/>
      <c r="Z64" s="770"/>
      <c r="AA64" s="770"/>
      <c r="AB64" s="770"/>
      <c r="AC64" s="770"/>
      <c r="AD64" s="770"/>
      <c r="AE64" s="986" t="s">
        <v>916</v>
      </c>
      <c r="AF64" s="1033">
        <f t="shared" si="0"/>
        <v>25000</v>
      </c>
      <c r="AG64" s="1033">
        <v>750000</v>
      </c>
      <c r="AH64" s="1033">
        <f>AG64-AG63</f>
        <v>250000</v>
      </c>
      <c r="AI64" s="1033">
        <f>AI63-AH63</f>
        <v>557680</v>
      </c>
      <c r="AJ64" s="989">
        <v>0.1</v>
      </c>
      <c r="AK64" s="1"/>
      <c r="AL64" s="770">
        <f t="shared" si="1"/>
        <v>250000</v>
      </c>
      <c r="AM64" s="770"/>
      <c r="AN64" s="770"/>
      <c r="AO64" s="770"/>
      <c r="AP64" s="770"/>
      <c r="AQ64" s="770"/>
      <c r="AR64" s="770"/>
      <c r="AS64" s="770"/>
      <c r="AT64" s="770"/>
      <c r="AU64" s="770"/>
      <c r="AV64" s="770"/>
      <c r="AW64" s="770"/>
      <c r="AX64" s="770"/>
      <c r="AY64" s="770"/>
      <c r="AZ64" s="770"/>
      <c r="BA64" s="770"/>
      <c r="BB64" s="770"/>
      <c r="BC64" s="770"/>
      <c r="BD64" s="770"/>
      <c r="BE64" s="770"/>
      <c r="BF64" s="770"/>
      <c r="BG64" s="770"/>
      <c r="BH64" s="770"/>
      <c r="BI64" s="770"/>
      <c r="BJ64" s="770"/>
      <c r="BK64" s="770"/>
      <c r="BL64" s="770"/>
      <c r="BM64" s="770"/>
      <c r="BN64" s="770"/>
      <c r="BO64" s="770"/>
      <c r="BP64" s="770"/>
      <c r="BQ64" s="770"/>
      <c r="BR64" s="770"/>
      <c r="BS64" s="770"/>
      <c r="BT64" s="770"/>
      <c r="BU64" s="770"/>
      <c r="BV64" s="770"/>
      <c r="BW64" s="770"/>
      <c r="BX64" s="770"/>
      <c r="BY64" s="770"/>
      <c r="BZ64" s="770"/>
      <c r="CA64" s="770"/>
      <c r="CB64" s="770"/>
    </row>
    <row r="65" spans="1:80" ht="12" customHeight="1">
      <c r="A65" s="770"/>
      <c r="B65" s="990">
        <v>21</v>
      </c>
      <c r="C65" s="972" t="s">
        <v>679</v>
      </c>
      <c r="D65" s="1034"/>
      <c r="E65" s="1034"/>
      <c r="F65" s="1034"/>
      <c r="G65" s="972"/>
      <c r="H65" s="972"/>
      <c r="I65" s="1022"/>
      <c r="J65" s="1035"/>
      <c r="K65" s="1036"/>
      <c r="L65" s="1037">
        <f>SUM(F67:F72)+SUM(H67:H72)</f>
        <v>92000</v>
      </c>
      <c r="M65" s="1038">
        <f>ROUND('Form 10E'!U61,0)</f>
        <v>0</v>
      </c>
      <c r="N65" s="1039">
        <f>IF((N66-L65)&gt;0,(N66-L65),0)</f>
        <v>42996</v>
      </c>
      <c r="O65" s="1039">
        <f>-(N66-L65)</f>
        <v>-42996</v>
      </c>
      <c r="P65" s="810"/>
      <c r="Q65" s="810"/>
      <c r="R65" s="810"/>
      <c r="S65" s="810"/>
      <c r="T65" s="810"/>
      <c r="U65" s="810"/>
      <c r="V65" s="810"/>
      <c r="W65" s="810"/>
      <c r="X65" s="1040">
        <f>SUM(F67:F69)</f>
        <v>24000</v>
      </c>
      <c r="Y65" s="770"/>
      <c r="Z65" s="770"/>
      <c r="AA65" s="770"/>
      <c r="AB65" s="770"/>
      <c r="AC65" s="770"/>
      <c r="AD65" s="770"/>
      <c r="AE65" s="986" t="s">
        <v>917</v>
      </c>
      <c r="AF65" s="1033">
        <f t="shared" si="0"/>
        <v>37500</v>
      </c>
      <c r="AG65" s="1033">
        <v>1000000</v>
      </c>
      <c r="AH65" s="1033">
        <f>AG65-AG64</f>
        <v>250000</v>
      </c>
      <c r="AI65" s="1033">
        <f>AI64-AH64</f>
        <v>307680</v>
      </c>
      <c r="AJ65" s="989">
        <v>0.15</v>
      </c>
      <c r="AK65" s="1"/>
      <c r="AL65" s="770">
        <f t="shared" si="1"/>
        <v>250000</v>
      </c>
      <c r="AM65" s="770"/>
      <c r="AN65" s="770"/>
      <c r="AO65" s="770"/>
      <c r="AP65" s="770"/>
      <c r="AQ65" s="770"/>
      <c r="AR65" s="770"/>
      <c r="AS65" s="770"/>
      <c r="AT65" s="770"/>
      <c r="AU65" s="770"/>
      <c r="AV65" s="770"/>
      <c r="AW65" s="770"/>
      <c r="AX65" s="770"/>
      <c r="AY65" s="770"/>
      <c r="AZ65" s="770"/>
      <c r="BA65" s="770"/>
      <c r="BB65" s="770"/>
      <c r="BC65" s="770"/>
      <c r="BD65" s="770"/>
      <c r="BE65" s="770"/>
      <c r="BF65" s="770"/>
      <c r="BG65" s="770"/>
      <c r="BH65" s="770"/>
      <c r="BI65" s="770"/>
      <c r="BJ65" s="770"/>
      <c r="BK65" s="770"/>
      <c r="BL65" s="770"/>
      <c r="BM65" s="770"/>
      <c r="BN65" s="770"/>
      <c r="BO65" s="770"/>
      <c r="BP65" s="770"/>
      <c r="BQ65" s="770"/>
      <c r="BR65" s="770"/>
      <c r="BS65" s="770"/>
      <c r="BT65" s="770"/>
      <c r="BU65" s="770"/>
      <c r="BV65" s="770"/>
      <c r="BW65" s="770"/>
      <c r="BX65" s="770"/>
      <c r="BY65" s="770"/>
      <c r="BZ65" s="770"/>
      <c r="CA65" s="770"/>
      <c r="CB65" s="770"/>
    </row>
    <row r="66" spans="1:80" ht="12" customHeight="1">
      <c r="A66" s="770"/>
      <c r="B66" s="990"/>
      <c r="C66" s="2056" t="s">
        <v>284</v>
      </c>
      <c r="D66" s="2056"/>
      <c r="E66" s="2056"/>
      <c r="F66" s="2056"/>
      <c r="G66" s="2056"/>
      <c r="H66" s="2056"/>
      <c r="I66" s="1022"/>
      <c r="J66" s="2082"/>
      <c r="K66" s="2083"/>
      <c r="L66" s="1037"/>
      <c r="M66" s="772"/>
      <c r="N66" s="1039">
        <f>IF((L63-L64)&gt;0,(L63-L64),0)</f>
        <v>134996</v>
      </c>
      <c r="O66" s="1039">
        <f>L63-L64</f>
        <v>134996</v>
      </c>
      <c r="P66" s="810"/>
      <c r="Q66" s="810"/>
      <c r="R66" s="810"/>
      <c r="S66" s="810"/>
      <c r="T66" s="810"/>
      <c r="U66" s="810"/>
      <c r="V66" s="810"/>
      <c r="W66" s="810"/>
      <c r="X66" s="1040">
        <f>SUM(F70:F72)</f>
        <v>24000</v>
      </c>
      <c r="Y66" s="770"/>
      <c r="Z66" s="770"/>
      <c r="AA66" s="770"/>
      <c r="AB66" s="770"/>
      <c r="AC66" s="770"/>
      <c r="AD66" s="770"/>
      <c r="AE66" s="986" t="s">
        <v>918</v>
      </c>
      <c r="AF66" s="1033">
        <f t="shared" si="0"/>
        <v>11536</v>
      </c>
      <c r="AG66" s="1033">
        <v>1250000</v>
      </c>
      <c r="AH66" s="1033">
        <f>AG66-AG65</f>
        <v>250000</v>
      </c>
      <c r="AI66" s="1033">
        <f>AI65-AH65</f>
        <v>57680</v>
      </c>
      <c r="AJ66" s="989">
        <v>0.2</v>
      </c>
      <c r="AK66" s="1"/>
      <c r="AL66" s="770">
        <f t="shared" si="1"/>
        <v>57680</v>
      </c>
      <c r="AM66" s="770"/>
      <c r="AN66" s="770"/>
      <c r="AO66" s="770"/>
      <c r="AP66" s="770"/>
      <c r="AQ66" s="770"/>
      <c r="AR66" s="770"/>
      <c r="AS66" s="770"/>
      <c r="AT66" s="770"/>
      <c r="AU66" s="770"/>
      <c r="AV66" s="770"/>
      <c r="AW66" s="770"/>
      <c r="AX66" s="770"/>
      <c r="AY66" s="770"/>
      <c r="AZ66" s="770"/>
      <c r="BA66" s="770"/>
      <c r="BB66" s="770"/>
      <c r="BC66" s="770"/>
      <c r="BD66" s="770"/>
      <c r="BE66" s="770"/>
      <c r="BF66" s="770"/>
      <c r="BG66" s="770"/>
      <c r="BH66" s="770"/>
      <c r="BI66" s="770"/>
      <c r="BJ66" s="770"/>
      <c r="BK66" s="770"/>
      <c r="BL66" s="770"/>
      <c r="BM66" s="770"/>
      <c r="BN66" s="770"/>
      <c r="BO66" s="770"/>
      <c r="BP66" s="770"/>
      <c r="BQ66" s="770"/>
      <c r="BR66" s="770"/>
      <c r="BS66" s="770"/>
      <c r="BT66" s="770"/>
      <c r="BU66" s="770"/>
      <c r="BV66" s="770"/>
      <c r="BW66" s="770"/>
      <c r="BX66" s="770"/>
      <c r="BY66" s="770"/>
      <c r="BZ66" s="770"/>
      <c r="CA66" s="770"/>
      <c r="CB66" s="770"/>
    </row>
    <row r="67" spans="1:80" ht="12" customHeight="1">
      <c r="A67" s="770"/>
      <c r="B67" s="990"/>
      <c r="C67" s="1041"/>
      <c r="D67" s="1042"/>
      <c r="E67" s="1043">
        <v>44256</v>
      </c>
      <c r="F67" s="1044">
        <f>IF(Bill!AI7="","",Bill!AI7)</f>
        <v>8000</v>
      </c>
      <c r="G67" s="1045">
        <v>44440</v>
      </c>
      <c r="H67" s="1046">
        <f>IF(Bill!AI13="","",Bill!AI13)</f>
        <v>8000</v>
      </c>
      <c r="I67" s="1047"/>
      <c r="J67" s="2044" t="str">
        <f>O69</f>
        <v>Net Tax to be Paid</v>
      </c>
      <c r="K67" s="2045"/>
      <c r="L67" s="2069">
        <f>O70</f>
        <v>42996</v>
      </c>
      <c r="M67" s="772"/>
      <c r="N67" s="1048"/>
      <c r="O67" s="810"/>
      <c r="P67" s="810"/>
      <c r="Q67" s="810"/>
      <c r="R67" s="810"/>
      <c r="S67" s="810"/>
      <c r="T67" s="810"/>
      <c r="U67" s="810"/>
      <c r="V67" s="810"/>
      <c r="W67" s="810"/>
      <c r="X67" s="1040">
        <f>SUM(H67:H69)</f>
        <v>24000</v>
      </c>
      <c r="Y67" s="770"/>
      <c r="Z67" s="770"/>
      <c r="AA67" s="770"/>
      <c r="AB67" s="770"/>
      <c r="AC67" s="770"/>
      <c r="AD67" s="770"/>
      <c r="AE67" s="986" t="s">
        <v>919</v>
      </c>
      <c r="AF67" s="1033">
        <f t="shared" si="0"/>
        <v>0</v>
      </c>
      <c r="AG67" s="1033">
        <v>1500000</v>
      </c>
      <c r="AH67" s="1033">
        <f>AG67-AG66</f>
        <v>250000</v>
      </c>
      <c r="AI67" s="1033">
        <f>AI66-AH66</f>
        <v>-192320</v>
      </c>
      <c r="AJ67" s="989">
        <v>0.25</v>
      </c>
      <c r="AK67" s="1"/>
      <c r="AL67" s="770">
        <f t="shared" si="1"/>
        <v>-192320</v>
      </c>
      <c r="AM67" s="770"/>
      <c r="AN67" s="770"/>
      <c r="AO67" s="770"/>
      <c r="AP67" s="770"/>
      <c r="AQ67" s="770"/>
      <c r="AR67" s="770"/>
      <c r="AS67" s="770"/>
      <c r="AT67" s="770"/>
      <c r="AU67" s="770"/>
      <c r="AV67" s="770"/>
      <c r="AW67" s="770"/>
      <c r="AX67" s="770"/>
      <c r="AY67" s="770"/>
      <c r="AZ67" s="770"/>
      <c r="BA67" s="770"/>
      <c r="BB67" s="770"/>
      <c r="BC67" s="770"/>
      <c r="BD67" s="770"/>
      <c r="BE67" s="770"/>
      <c r="BF67" s="770"/>
      <c r="BG67" s="770"/>
      <c r="BH67" s="770"/>
      <c r="BI67" s="770"/>
      <c r="BJ67" s="770"/>
      <c r="BK67" s="770"/>
      <c r="BL67" s="770"/>
      <c r="BM67" s="770"/>
      <c r="BN67" s="770"/>
      <c r="BO67" s="770"/>
      <c r="BP67" s="770"/>
      <c r="BQ67" s="770"/>
      <c r="BR67" s="770"/>
      <c r="BS67" s="770"/>
      <c r="BT67" s="770"/>
      <c r="BU67" s="770"/>
      <c r="BV67" s="770"/>
      <c r="BW67" s="770"/>
      <c r="BX67" s="770"/>
      <c r="BY67" s="770"/>
      <c r="BZ67" s="770"/>
      <c r="CA67" s="770"/>
      <c r="CB67" s="770"/>
    </row>
    <row r="68" spans="1:80" ht="12" customHeight="1">
      <c r="A68" s="770"/>
      <c r="B68" s="990"/>
      <c r="C68" s="1041"/>
      <c r="D68" s="1049"/>
      <c r="E68" s="1050">
        <v>44287</v>
      </c>
      <c r="F68" s="1044">
        <f>IF(Bill!AI8="","",Bill!AI8)</f>
        <v>8000</v>
      </c>
      <c r="G68" s="1045">
        <v>44470</v>
      </c>
      <c r="H68" s="1046">
        <f>IF(Bill!AI14="","",Bill!AI14)</f>
        <v>8000</v>
      </c>
      <c r="I68" s="1047"/>
      <c r="J68" s="2046"/>
      <c r="K68" s="2047"/>
      <c r="L68" s="2070"/>
      <c r="M68" s="772"/>
      <c r="N68" s="1048">
        <f>IF(N65&gt;0,N65,"No Tax")</f>
        <v>42996</v>
      </c>
      <c r="O68" s="1039">
        <f>IF(N65&gt;0,N65,O65)</f>
        <v>42996</v>
      </c>
      <c r="P68" s="810"/>
      <c r="Q68" s="810"/>
      <c r="R68" s="810"/>
      <c r="S68" s="810"/>
      <c r="T68" s="810"/>
      <c r="U68" s="810"/>
      <c r="V68" s="810"/>
      <c r="W68" s="810"/>
      <c r="X68" s="1040">
        <f>SUM(H70:H72)</f>
        <v>20000</v>
      </c>
      <c r="Y68" s="770"/>
      <c r="Z68" s="770"/>
      <c r="AA68" s="770"/>
      <c r="AB68" s="770"/>
      <c r="AC68" s="770"/>
      <c r="AD68" s="770"/>
      <c r="AE68" s="986" t="s">
        <v>920</v>
      </c>
      <c r="AF68" s="1051">
        <f t="shared" si="0"/>
        <v>0</v>
      </c>
      <c r="AG68" s="1033"/>
      <c r="AH68" s="1033">
        <f>L50-AG67</f>
        <v>-442320</v>
      </c>
      <c r="AI68" s="1033">
        <f>AI67-AH67</f>
        <v>-442320</v>
      </c>
      <c r="AJ68" s="989">
        <v>0.3</v>
      </c>
      <c r="AK68" s="1"/>
      <c r="AL68" s="770">
        <f t="shared" si="1"/>
        <v>-442320</v>
      </c>
      <c r="AM68" s="770"/>
      <c r="AN68" s="770"/>
      <c r="AO68" s="770"/>
      <c r="AP68" s="770"/>
      <c r="AQ68" s="770"/>
      <c r="AR68" s="770"/>
      <c r="AS68" s="770"/>
      <c r="AT68" s="770"/>
      <c r="AU68" s="770"/>
      <c r="AV68" s="770"/>
      <c r="AW68" s="770"/>
      <c r="AX68" s="770"/>
      <c r="AY68" s="770"/>
      <c r="AZ68" s="770"/>
      <c r="BA68" s="770"/>
      <c r="BB68" s="770"/>
      <c r="BC68" s="770"/>
      <c r="BD68" s="770"/>
      <c r="BE68" s="770"/>
      <c r="BF68" s="770"/>
      <c r="BG68" s="770"/>
      <c r="BH68" s="770"/>
      <c r="BI68" s="770"/>
      <c r="BJ68" s="770"/>
      <c r="BK68" s="770"/>
      <c r="BL68" s="770"/>
      <c r="BM68" s="770"/>
      <c r="BN68" s="770"/>
      <c r="BO68" s="770"/>
      <c r="BP68" s="770"/>
      <c r="BQ68" s="770"/>
      <c r="BR68" s="770"/>
      <c r="BS68" s="770"/>
      <c r="BT68" s="770"/>
      <c r="BU68" s="770"/>
      <c r="BV68" s="770"/>
      <c r="BW68" s="770"/>
      <c r="BX68" s="770"/>
      <c r="BY68" s="770"/>
      <c r="BZ68" s="770"/>
      <c r="CA68" s="770"/>
      <c r="CB68" s="770"/>
    </row>
    <row r="69" spans="1:80" ht="12" customHeight="1">
      <c r="A69" s="770"/>
      <c r="B69" s="990"/>
      <c r="C69" s="1041"/>
      <c r="D69" s="1049"/>
      <c r="E69" s="1043">
        <v>44317</v>
      </c>
      <c r="F69" s="1044">
        <f>IF(Bill!AI9="","",Bill!AI9)</f>
        <v>8000</v>
      </c>
      <c r="G69" s="1045">
        <v>44501</v>
      </c>
      <c r="H69" s="1046">
        <f>IF(Bill!AI15="","",Bill!AI15)</f>
        <v>8000</v>
      </c>
      <c r="I69" s="1047"/>
      <c r="J69" s="2048"/>
      <c r="K69" s="2049"/>
      <c r="L69" s="2071"/>
      <c r="M69" s="772"/>
      <c r="N69" s="810"/>
      <c r="O69" s="810" t="str">
        <f>IF(L65&lt;=N66,"Net Tax to be Paid","Tax to be Refundable")</f>
        <v>Net Tax to be Paid</v>
      </c>
      <c r="P69" s="810"/>
      <c r="Q69" s="810" t="s">
        <v>761</v>
      </c>
      <c r="R69" s="810"/>
      <c r="S69" s="810"/>
      <c r="T69" s="810"/>
      <c r="U69" s="810"/>
      <c r="V69" s="810"/>
      <c r="W69" s="810"/>
      <c r="X69" s="770"/>
      <c r="Y69" s="770"/>
      <c r="Z69" s="770"/>
      <c r="AA69" s="770"/>
      <c r="AB69" s="770"/>
      <c r="AC69" s="770"/>
      <c r="AD69" s="770"/>
      <c r="AE69" s="986" t="s">
        <v>329</v>
      </c>
      <c r="AF69" s="1052">
        <f>SUM(AF62:AF68)</f>
        <v>86536</v>
      </c>
      <c r="AG69" s="1033"/>
      <c r="AH69" s="1033"/>
      <c r="AI69" s="1033"/>
      <c r="AJ69" s="1053"/>
      <c r="AK69" s="1"/>
      <c r="AL69" s="770"/>
      <c r="AM69" s="770"/>
      <c r="AN69" s="770"/>
      <c r="AO69" s="770"/>
      <c r="AP69" s="770"/>
      <c r="AQ69" s="770"/>
      <c r="AR69" s="770"/>
      <c r="AS69" s="770"/>
      <c r="AT69" s="770"/>
      <c r="AU69" s="770"/>
      <c r="AV69" s="770"/>
      <c r="AW69" s="770"/>
      <c r="AX69" s="770"/>
      <c r="AY69" s="770"/>
      <c r="AZ69" s="770"/>
      <c r="BA69" s="770"/>
      <c r="BB69" s="770"/>
      <c r="BC69" s="770"/>
      <c r="BD69" s="770"/>
      <c r="BE69" s="770"/>
      <c r="BF69" s="770"/>
      <c r="BG69" s="770"/>
      <c r="BH69" s="770"/>
      <c r="BI69" s="770"/>
      <c r="BJ69" s="770"/>
      <c r="BK69" s="770"/>
      <c r="BL69" s="770"/>
      <c r="BM69" s="770"/>
      <c r="BN69" s="770"/>
      <c r="BO69" s="770"/>
      <c r="BP69" s="770"/>
      <c r="BQ69" s="770"/>
      <c r="BR69" s="770"/>
      <c r="BS69" s="770"/>
      <c r="BT69" s="770"/>
      <c r="BU69" s="770"/>
      <c r="BV69" s="770"/>
      <c r="BW69" s="770"/>
      <c r="BX69" s="770"/>
      <c r="BY69" s="770"/>
      <c r="BZ69" s="770"/>
      <c r="CA69" s="770"/>
      <c r="CB69" s="770"/>
    </row>
    <row r="70" spans="1:80" ht="12" customHeight="1">
      <c r="A70" s="770"/>
      <c r="B70" s="990"/>
      <c r="C70" s="1041"/>
      <c r="D70" s="1049"/>
      <c r="E70" s="1050">
        <v>44348</v>
      </c>
      <c r="F70" s="1044">
        <f>IF(Bill!AI10="","",Bill!AI10)</f>
        <v>8000</v>
      </c>
      <c r="G70" s="1045">
        <v>44531</v>
      </c>
      <c r="H70" s="1046">
        <f>IF(Bill!AI16="","",Bill!AI16)</f>
        <v>20000</v>
      </c>
      <c r="I70" s="1047"/>
      <c r="J70" s="1047"/>
      <c r="K70" s="1054"/>
      <c r="L70" s="1055"/>
      <c r="M70" s="772"/>
      <c r="N70" s="1056"/>
      <c r="O70" s="810">
        <f>IF(N66=L65,N68,O68)</f>
        <v>42996</v>
      </c>
      <c r="P70" s="810"/>
      <c r="Q70" s="810"/>
      <c r="R70" s="810"/>
      <c r="S70" s="810"/>
      <c r="T70" s="810"/>
      <c r="U70" s="810"/>
      <c r="V70" s="810"/>
      <c r="W70" s="810"/>
      <c r="X70" s="770"/>
      <c r="Y70" s="770"/>
      <c r="Z70" s="770"/>
      <c r="AA70" s="770"/>
      <c r="AB70" s="770"/>
      <c r="AC70" s="770"/>
      <c r="AD70" s="770"/>
      <c r="AE70" s="770"/>
      <c r="AF70" s="770"/>
      <c r="AG70" s="770"/>
      <c r="AH70" s="770" t="s">
        <v>896</v>
      </c>
      <c r="AI70" s="770">
        <f>ROUND(AF69*4%,0)</f>
        <v>3461</v>
      </c>
      <c r="AJ70" s="770"/>
      <c r="AK70" s="770"/>
      <c r="AL70" s="770"/>
      <c r="AM70" s="770"/>
      <c r="AN70" s="770"/>
      <c r="AO70" s="770"/>
      <c r="AP70" s="770"/>
      <c r="AQ70" s="770"/>
      <c r="AR70" s="770"/>
      <c r="AS70" s="770"/>
      <c r="AT70" s="770"/>
      <c r="AU70" s="770"/>
      <c r="AV70" s="770"/>
      <c r="AW70" s="770"/>
      <c r="AX70" s="770"/>
      <c r="AY70" s="770"/>
      <c r="AZ70" s="770"/>
      <c r="BA70" s="770"/>
      <c r="BB70" s="770"/>
      <c r="BC70" s="770"/>
      <c r="BD70" s="770"/>
      <c r="BE70" s="770"/>
      <c r="BF70" s="770"/>
      <c r="BG70" s="770"/>
      <c r="BH70" s="770"/>
      <c r="BI70" s="770"/>
      <c r="BJ70" s="770"/>
      <c r="BK70" s="770"/>
      <c r="BL70" s="770"/>
      <c r="BM70" s="770"/>
      <c r="BN70" s="770"/>
      <c r="BO70" s="770"/>
      <c r="BP70" s="770"/>
      <c r="BQ70" s="770"/>
      <c r="BR70" s="770"/>
      <c r="BS70" s="770"/>
      <c r="BT70" s="770"/>
      <c r="BU70" s="770"/>
      <c r="BV70" s="770"/>
      <c r="BW70" s="770"/>
      <c r="BX70" s="770"/>
      <c r="BY70" s="770"/>
      <c r="BZ70" s="770"/>
      <c r="CA70" s="770"/>
      <c r="CB70" s="770"/>
    </row>
    <row r="71" spans="1:80" ht="12" customHeight="1">
      <c r="A71" s="770"/>
      <c r="B71" s="990"/>
      <c r="C71" s="1041"/>
      <c r="D71" s="1049"/>
      <c r="E71" s="1043">
        <v>44378</v>
      </c>
      <c r="F71" s="1044">
        <f>IF(Bill!AI11="","",Bill!AI11)</f>
        <v>8000</v>
      </c>
      <c r="G71" s="1045">
        <v>44562</v>
      </c>
      <c r="H71" s="1046" t="str">
        <f>IF(Bill!AI17="","",Bill!AI17)</f>
        <v/>
      </c>
      <c r="I71" s="1047"/>
      <c r="J71" s="1047"/>
      <c r="K71" s="1054"/>
      <c r="L71" s="1055"/>
      <c r="M71" s="772"/>
      <c r="N71" s="810"/>
      <c r="O71" s="810"/>
      <c r="P71" s="810"/>
      <c r="Q71" s="770"/>
      <c r="R71" s="770"/>
      <c r="S71" s="770"/>
      <c r="T71" s="770"/>
      <c r="U71" s="770"/>
      <c r="V71" s="770"/>
      <c r="W71" s="770"/>
      <c r="X71" s="770"/>
      <c r="Y71" s="770"/>
      <c r="Z71" s="770"/>
      <c r="AA71" s="770"/>
      <c r="AB71" s="770"/>
      <c r="AC71" s="770"/>
      <c r="AD71" s="770"/>
      <c r="AE71" s="770"/>
      <c r="AF71" s="770"/>
      <c r="AG71" s="770"/>
      <c r="AH71" s="770"/>
      <c r="AI71" s="770"/>
      <c r="AJ71" s="770"/>
      <c r="AK71" s="770"/>
      <c r="AL71" s="770"/>
      <c r="AM71" s="770"/>
      <c r="AN71" s="770"/>
      <c r="AO71" s="770"/>
      <c r="AP71" s="770"/>
      <c r="AQ71" s="770"/>
      <c r="AR71" s="770"/>
      <c r="AS71" s="770"/>
      <c r="AT71" s="770"/>
      <c r="AU71" s="770"/>
      <c r="AV71" s="770"/>
      <c r="AW71" s="770"/>
      <c r="AX71" s="770"/>
      <c r="AY71" s="770"/>
      <c r="AZ71" s="770"/>
      <c r="BA71" s="770"/>
      <c r="BB71" s="770"/>
      <c r="BC71" s="770"/>
      <c r="BD71" s="770"/>
      <c r="BE71" s="770"/>
      <c r="BF71" s="770"/>
      <c r="BG71" s="770"/>
      <c r="BH71" s="770"/>
      <c r="BI71" s="770"/>
      <c r="BJ71" s="770"/>
      <c r="BK71" s="770"/>
      <c r="BL71" s="770"/>
      <c r="BM71" s="770"/>
      <c r="BN71" s="770"/>
      <c r="BO71" s="770"/>
      <c r="BP71" s="770"/>
      <c r="BQ71" s="770"/>
      <c r="BR71" s="770"/>
      <c r="BS71" s="770"/>
      <c r="BT71" s="770"/>
      <c r="BU71" s="770"/>
      <c r="BV71" s="770"/>
      <c r="BW71" s="770"/>
      <c r="BX71" s="770"/>
      <c r="BY71" s="770"/>
      <c r="BZ71" s="770"/>
      <c r="CA71" s="770"/>
      <c r="CB71" s="770"/>
    </row>
    <row r="72" spans="1:80" ht="12" customHeight="1">
      <c r="A72" s="770"/>
      <c r="B72" s="1057"/>
      <c r="C72" s="1058"/>
      <c r="D72" s="1059"/>
      <c r="E72" s="1050">
        <v>44409</v>
      </c>
      <c r="F72" s="1044">
        <f>IF(Bill!AI12="","",Bill!AI12)</f>
        <v>8000</v>
      </c>
      <c r="G72" s="1045">
        <v>44593</v>
      </c>
      <c r="H72" s="1046" t="str">
        <f>IF(Bill!AI18="","",Bill!AI18)</f>
        <v/>
      </c>
      <c r="I72" s="1060"/>
      <c r="J72" s="1061"/>
      <c r="K72" s="1062"/>
      <c r="L72" s="1063"/>
      <c r="M72" s="772"/>
      <c r="N72" s="772"/>
      <c r="O72" s="772"/>
      <c r="P72" s="772"/>
      <c r="Q72" s="770"/>
      <c r="R72" s="770"/>
      <c r="S72" s="770"/>
      <c r="T72" s="770"/>
      <c r="U72" s="770"/>
      <c r="V72" s="770"/>
      <c r="W72" s="770"/>
      <c r="X72" s="770"/>
      <c r="Y72" s="770"/>
      <c r="Z72" s="770"/>
      <c r="AA72" s="770"/>
      <c r="AB72" s="770"/>
      <c r="AC72" s="770"/>
      <c r="AD72" s="770"/>
      <c r="AE72" s="770"/>
      <c r="AF72" s="770" t="str">
        <f>IF(DATA!AH49=1,CONCATENATE("     ",AI70),CONCATENATE("     ",AI57))</f>
        <v xml:space="preserve">     5192</v>
      </c>
      <c r="AG72" s="770"/>
      <c r="AH72" s="770"/>
      <c r="AI72" s="770"/>
      <c r="AJ72" s="770"/>
      <c r="AK72" s="770"/>
      <c r="AL72" s="770"/>
      <c r="AM72" s="770"/>
      <c r="AN72" s="770"/>
      <c r="AO72" s="770"/>
      <c r="AP72" s="770"/>
      <c r="AQ72" s="770"/>
      <c r="AR72" s="770"/>
      <c r="AS72" s="770"/>
      <c r="AT72" s="770"/>
      <c r="AU72" s="770"/>
      <c r="AV72" s="770"/>
      <c r="AW72" s="770"/>
      <c r="AX72" s="770"/>
      <c r="AY72" s="770"/>
      <c r="AZ72" s="770"/>
      <c r="BA72" s="770"/>
      <c r="BB72" s="770"/>
      <c r="BC72" s="770"/>
      <c r="BD72" s="770"/>
      <c r="BE72" s="770"/>
      <c r="BF72" s="770"/>
      <c r="BG72" s="770"/>
      <c r="BH72" s="770"/>
      <c r="BI72" s="770"/>
      <c r="BJ72" s="770"/>
      <c r="BK72" s="770"/>
      <c r="BL72" s="770"/>
      <c r="BM72" s="770"/>
      <c r="BN72" s="770"/>
      <c r="BO72" s="770"/>
      <c r="BP72" s="770"/>
      <c r="BQ72" s="770"/>
      <c r="BR72" s="770"/>
      <c r="BS72" s="770"/>
      <c r="BT72" s="770"/>
      <c r="BU72" s="770"/>
      <c r="BV72" s="770"/>
      <c r="BW72" s="770"/>
      <c r="BX72" s="770"/>
      <c r="BY72" s="770"/>
      <c r="BZ72" s="770"/>
      <c r="CA72" s="770"/>
      <c r="CB72" s="770"/>
    </row>
    <row r="73" spans="1:80" ht="16.5" customHeight="1">
      <c r="A73" s="770"/>
      <c r="B73" s="2076" t="str">
        <f>DATA!CM240</f>
        <v xml:space="preserve"> Undertaking Certificate</v>
      </c>
      <c r="C73" s="2077"/>
      <c r="D73" s="2078"/>
      <c r="E73" s="2077"/>
      <c r="F73" s="2077"/>
      <c r="G73" s="2077"/>
      <c r="H73" s="2077"/>
      <c r="I73" s="2077"/>
      <c r="J73" s="2077"/>
      <c r="K73" s="2077"/>
      <c r="L73" s="2079"/>
      <c r="M73" s="772"/>
      <c r="N73" s="772"/>
      <c r="O73" s="772"/>
      <c r="P73" s="772"/>
      <c r="Q73" s="770"/>
      <c r="R73" s="770"/>
      <c r="S73" s="770"/>
      <c r="T73" s="770"/>
      <c r="U73" s="770"/>
      <c r="V73" s="770"/>
      <c r="W73" s="770"/>
      <c r="X73" s="770"/>
      <c r="Y73" s="770"/>
      <c r="Z73" s="770"/>
      <c r="AA73" s="770"/>
      <c r="AB73" s="770"/>
      <c r="AC73" s="770"/>
      <c r="AD73" s="770"/>
      <c r="AE73" s="770"/>
      <c r="AF73" s="770"/>
      <c r="AG73" s="770"/>
      <c r="AH73" s="770"/>
      <c r="AI73" s="770"/>
      <c r="AJ73" s="770"/>
      <c r="AK73" s="770"/>
      <c r="AL73" s="770"/>
      <c r="AM73" s="770"/>
      <c r="AN73" s="770"/>
      <c r="AO73" s="770"/>
      <c r="AP73" s="770"/>
      <c r="AQ73" s="770"/>
      <c r="AR73" s="770"/>
      <c r="AS73" s="770"/>
      <c r="AT73" s="770"/>
      <c r="AU73" s="770"/>
      <c r="AV73" s="770"/>
      <c r="AW73" s="770"/>
      <c r="AX73" s="770"/>
      <c r="AY73" s="770"/>
      <c r="AZ73" s="770"/>
      <c r="BA73" s="770"/>
      <c r="BB73" s="770"/>
      <c r="BC73" s="770"/>
      <c r="BD73" s="770"/>
      <c r="BE73" s="770"/>
      <c r="BF73" s="770"/>
      <c r="BG73" s="770"/>
      <c r="BH73" s="770"/>
      <c r="BI73" s="770"/>
      <c r="BJ73" s="770"/>
      <c r="BK73" s="770"/>
      <c r="BL73" s="770"/>
      <c r="BM73" s="770"/>
      <c r="BN73" s="770"/>
      <c r="BO73" s="770"/>
      <c r="BP73" s="770"/>
      <c r="BQ73" s="770"/>
      <c r="BR73" s="770"/>
      <c r="BS73" s="770"/>
      <c r="BT73" s="770"/>
      <c r="BU73" s="770"/>
      <c r="BV73" s="770"/>
      <c r="BW73" s="770"/>
      <c r="BX73" s="770"/>
      <c r="BY73" s="770"/>
      <c r="BZ73" s="770"/>
      <c r="CA73" s="770"/>
      <c r="CB73" s="770"/>
    </row>
    <row r="74" spans="1:80" ht="12" customHeight="1">
      <c r="A74" s="770"/>
      <c r="B74" s="2057" t="str">
        <f>CONCATENATE("                   ",DATA!CM238)</f>
        <v xml:space="preserve">                   This is to certify that I have paid an amount of Rs.144000 (One Lakh Fourty Four Thousands  and    only)  towards house rent year  2021 - 2022.  (Rent 12000 per month X 12 months) )</v>
      </c>
      <c r="C74" s="2058"/>
      <c r="D74" s="2058"/>
      <c r="E74" s="2058"/>
      <c r="F74" s="2058"/>
      <c r="G74" s="2058"/>
      <c r="H74" s="2058"/>
      <c r="I74" s="2058"/>
      <c r="J74" s="2058"/>
      <c r="K74" s="2058"/>
      <c r="L74" s="2059"/>
      <c r="M74" s="770"/>
      <c r="N74" s="770"/>
      <c r="O74" s="770"/>
      <c r="P74" s="770"/>
      <c r="Q74" s="770"/>
      <c r="R74" s="770"/>
      <c r="S74" s="770"/>
      <c r="T74" s="770"/>
      <c r="U74" s="770"/>
      <c r="V74" s="770"/>
      <c r="W74" s="770"/>
      <c r="X74" s="770"/>
      <c r="Y74" s="770"/>
      <c r="Z74" s="770"/>
      <c r="AA74" s="770"/>
      <c r="AB74" s="770"/>
      <c r="AC74" s="770"/>
      <c r="AD74" s="770"/>
      <c r="AE74" s="770"/>
      <c r="AF74" s="770"/>
      <c r="AG74" s="770"/>
      <c r="AH74" s="770"/>
      <c r="AI74" s="770"/>
      <c r="AJ74" s="770"/>
      <c r="AK74" s="770"/>
      <c r="AL74" s="770"/>
      <c r="AM74" s="770"/>
      <c r="AN74" s="770"/>
      <c r="AO74" s="770"/>
      <c r="AP74" s="770"/>
      <c r="AQ74" s="770"/>
      <c r="AR74" s="770"/>
      <c r="AS74" s="770"/>
      <c r="AT74" s="770"/>
      <c r="AU74" s="770"/>
      <c r="AV74" s="770"/>
      <c r="AW74" s="770"/>
      <c r="AX74" s="770"/>
      <c r="AY74" s="770"/>
      <c r="AZ74" s="770"/>
      <c r="BA74" s="770"/>
      <c r="BB74" s="770"/>
      <c r="BC74" s="770"/>
      <c r="BD74" s="770"/>
      <c r="BE74" s="770"/>
      <c r="BF74" s="770"/>
      <c r="BG74" s="770"/>
      <c r="BH74" s="770"/>
      <c r="BI74" s="770"/>
      <c r="BJ74" s="770"/>
      <c r="BK74" s="770"/>
      <c r="BL74" s="770"/>
      <c r="BM74" s="770"/>
      <c r="BN74" s="770"/>
      <c r="BO74" s="770"/>
      <c r="BP74" s="770"/>
      <c r="BQ74" s="770"/>
      <c r="BR74" s="770"/>
      <c r="BS74" s="770"/>
      <c r="BT74" s="770"/>
      <c r="BU74" s="770"/>
      <c r="BV74" s="770"/>
      <c r="BW74" s="770"/>
      <c r="BX74" s="770"/>
      <c r="BY74" s="770"/>
      <c r="BZ74" s="770"/>
      <c r="CA74" s="770"/>
      <c r="CB74" s="770"/>
    </row>
    <row r="75" spans="1:80" ht="12" customHeight="1">
      <c r="A75" s="770"/>
      <c r="B75" s="2057"/>
      <c r="C75" s="2058"/>
      <c r="D75" s="2058"/>
      <c r="E75" s="2058"/>
      <c r="F75" s="2058"/>
      <c r="G75" s="2058"/>
      <c r="H75" s="2058"/>
      <c r="I75" s="2058"/>
      <c r="J75" s="2058"/>
      <c r="K75" s="2058"/>
      <c r="L75" s="2059"/>
      <c r="M75" s="770"/>
      <c r="N75" s="770"/>
      <c r="O75" s="770"/>
      <c r="P75" s="770"/>
      <c r="Q75" s="770"/>
      <c r="R75" s="770"/>
      <c r="S75" s="770"/>
      <c r="T75" s="770"/>
      <c r="U75" s="770"/>
      <c r="V75" s="770"/>
      <c r="W75" s="770"/>
      <c r="X75" s="770"/>
      <c r="Y75" s="770"/>
      <c r="Z75" s="770"/>
      <c r="AA75" s="770"/>
      <c r="AB75" s="770"/>
      <c r="AC75" s="770"/>
      <c r="AD75" s="770"/>
      <c r="AE75" s="770"/>
      <c r="AF75" s="770"/>
      <c r="AG75" s="770"/>
      <c r="AH75" s="770"/>
      <c r="AI75" s="770"/>
      <c r="AJ75" s="770"/>
      <c r="AK75" s="770"/>
      <c r="AL75" s="770"/>
      <c r="AM75" s="770"/>
      <c r="AN75" s="770"/>
      <c r="AO75" s="770"/>
      <c r="AP75" s="770"/>
      <c r="AQ75" s="770"/>
      <c r="AR75" s="770"/>
      <c r="AS75" s="770"/>
      <c r="AT75" s="770"/>
      <c r="AU75" s="770"/>
      <c r="AV75" s="770"/>
      <c r="AW75" s="770"/>
      <c r="AX75" s="770"/>
      <c r="AY75" s="770"/>
      <c r="AZ75" s="770"/>
      <c r="BA75" s="770"/>
      <c r="BB75" s="770"/>
      <c r="BC75" s="770"/>
      <c r="BD75" s="770"/>
      <c r="BE75" s="770"/>
      <c r="BF75" s="770"/>
      <c r="BG75" s="770"/>
      <c r="BH75" s="770"/>
      <c r="BI75" s="770"/>
      <c r="BJ75" s="770"/>
      <c r="BK75" s="770"/>
      <c r="BL75" s="770"/>
      <c r="BM75" s="770"/>
      <c r="BN75" s="770"/>
      <c r="BO75" s="770"/>
      <c r="BP75" s="770"/>
      <c r="BQ75" s="770"/>
      <c r="BR75" s="770"/>
      <c r="BS75" s="770"/>
      <c r="BT75" s="770"/>
      <c r="BU75" s="770"/>
      <c r="BV75" s="770"/>
      <c r="BW75" s="770"/>
      <c r="BX75" s="770"/>
      <c r="BY75" s="770"/>
      <c r="BZ75" s="770"/>
      <c r="CA75" s="770"/>
      <c r="CB75" s="770"/>
    </row>
    <row r="76" spans="1:80" ht="12" customHeight="1">
      <c r="A76" s="770"/>
      <c r="B76" s="1064"/>
      <c r="C76" s="1065"/>
      <c r="D76" s="1065"/>
      <c r="E76" s="1065"/>
      <c r="F76" s="1065"/>
      <c r="G76" s="1065"/>
      <c r="H76" s="1065"/>
      <c r="I76" s="1065"/>
      <c r="J76" s="1065"/>
      <c r="K76" s="1065"/>
      <c r="L76" s="1066"/>
      <c r="M76" s="770"/>
      <c r="N76" s="770"/>
      <c r="O76" s="770"/>
      <c r="P76" s="770"/>
      <c r="Q76" s="770"/>
      <c r="R76" s="770"/>
      <c r="S76" s="770"/>
      <c r="T76" s="770"/>
      <c r="U76" s="770"/>
      <c r="V76" s="770"/>
      <c r="W76" s="770"/>
      <c r="X76" s="770"/>
      <c r="Y76" s="770"/>
      <c r="Z76" s="770"/>
      <c r="AA76" s="770"/>
      <c r="AB76" s="770"/>
      <c r="AC76" s="770"/>
      <c r="AD76" s="770"/>
      <c r="AE76" s="770"/>
      <c r="AF76" s="770"/>
      <c r="AG76" s="770"/>
      <c r="AH76" s="770"/>
      <c r="AI76" s="770"/>
      <c r="AJ76" s="770"/>
      <c r="AK76" s="770"/>
      <c r="AL76" s="770"/>
      <c r="AM76" s="770"/>
      <c r="AN76" s="770"/>
      <c r="AO76" s="770"/>
      <c r="AP76" s="770"/>
      <c r="AQ76" s="770"/>
      <c r="AR76" s="770"/>
      <c r="AS76" s="770"/>
      <c r="AT76" s="770"/>
      <c r="AU76" s="770"/>
      <c r="AV76" s="770"/>
      <c r="AW76" s="770"/>
      <c r="AX76" s="770"/>
      <c r="AY76" s="770"/>
      <c r="AZ76" s="770"/>
      <c r="BA76" s="770"/>
      <c r="BB76" s="770"/>
      <c r="BC76" s="770"/>
      <c r="BD76" s="770"/>
      <c r="BE76" s="770"/>
      <c r="BF76" s="770"/>
      <c r="BG76" s="770"/>
      <c r="BH76" s="770"/>
      <c r="BI76" s="770"/>
      <c r="BJ76" s="770"/>
      <c r="BK76" s="770"/>
      <c r="BL76" s="770"/>
      <c r="BM76" s="770"/>
      <c r="BN76" s="770"/>
      <c r="BO76" s="770"/>
      <c r="BP76" s="770"/>
      <c r="BQ76" s="770"/>
      <c r="BR76" s="770"/>
      <c r="BS76" s="770"/>
      <c r="BT76" s="770"/>
      <c r="BU76" s="770"/>
      <c r="BV76" s="770"/>
      <c r="BW76" s="770"/>
      <c r="BX76" s="770"/>
      <c r="BY76" s="770"/>
      <c r="BZ76" s="770"/>
      <c r="CA76" s="770"/>
      <c r="CB76" s="770"/>
    </row>
    <row r="77" spans="1:80" ht="12" customHeight="1">
      <c r="A77" s="770"/>
      <c r="B77" s="2060"/>
      <c r="C77" s="2060"/>
      <c r="D77" s="2060"/>
      <c r="E77" s="2060"/>
      <c r="F77" s="2060"/>
      <c r="G77" s="2060"/>
      <c r="H77" s="2060"/>
      <c r="I77" s="2060"/>
      <c r="J77" s="2060"/>
      <c r="K77" s="2060"/>
      <c r="L77" s="2060"/>
      <c r="M77" s="770"/>
      <c r="N77" s="770"/>
      <c r="O77" s="770"/>
      <c r="P77" s="770"/>
      <c r="Q77" s="770"/>
      <c r="R77" s="770"/>
      <c r="S77" s="770"/>
      <c r="T77" s="770"/>
      <c r="U77" s="770"/>
      <c r="V77" s="770"/>
      <c r="W77" s="770"/>
      <c r="X77" s="770"/>
      <c r="Y77" s="770"/>
      <c r="Z77" s="770"/>
      <c r="AA77" s="770"/>
      <c r="AB77" s="770"/>
      <c r="AC77" s="770"/>
      <c r="AD77" s="770"/>
      <c r="AE77" s="770"/>
      <c r="AF77" s="770"/>
      <c r="AG77" s="770"/>
      <c r="AH77" s="770"/>
      <c r="AI77" s="770"/>
      <c r="AJ77" s="770"/>
      <c r="AK77" s="770"/>
      <c r="AL77" s="770"/>
      <c r="AM77" s="770"/>
      <c r="AN77" s="770"/>
      <c r="AO77" s="770"/>
      <c r="AP77" s="770"/>
      <c r="AQ77" s="770"/>
      <c r="AR77" s="770"/>
      <c r="AS77" s="770"/>
      <c r="AT77" s="770"/>
      <c r="AU77" s="770"/>
      <c r="AV77" s="770"/>
      <c r="AW77" s="770"/>
      <c r="AX77" s="770"/>
      <c r="AY77" s="770"/>
      <c r="AZ77" s="770"/>
      <c r="BA77" s="770"/>
      <c r="BB77" s="770"/>
      <c r="BC77" s="770"/>
      <c r="BD77" s="770"/>
      <c r="BE77" s="770"/>
      <c r="BF77" s="770"/>
      <c r="BG77" s="770"/>
      <c r="BH77" s="770"/>
      <c r="BI77" s="770"/>
      <c r="BJ77" s="770"/>
      <c r="BK77" s="770"/>
      <c r="BL77" s="770"/>
      <c r="BM77" s="770"/>
      <c r="BN77" s="770"/>
      <c r="BO77" s="770"/>
      <c r="BP77" s="770"/>
      <c r="BQ77" s="770"/>
      <c r="BR77" s="770"/>
      <c r="BS77" s="770"/>
      <c r="BT77" s="770"/>
      <c r="BU77" s="770"/>
      <c r="BV77" s="770"/>
      <c r="BW77" s="770"/>
      <c r="BX77" s="770"/>
      <c r="BY77" s="770"/>
      <c r="BZ77" s="770"/>
      <c r="CA77" s="770"/>
      <c r="CB77" s="770"/>
    </row>
    <row r="78" spans="1:80" ht="12" customHeight="1">
      <c r="A78" s="770"/>
      <c r="B78" s="2094" t="s">
        <v>285</v>
      </c>
      <c r="C78" s="2094"/>
      <c r="D78" s="2094"/>
      <c r="E78" s="2094"/>
      <c r="F78" s="2094"/>
      <c r="G78" s="2094"/>
      <c r="H78" s="1067"/>
      <c r="I78" s="2084" t="s">
        <v>261</v>
      </c>
      <c r="J78" s="2084"/>
      <c r="K78" s="2084"/>
      <c r="L78" s="2084"/>
      <c r="M78" s="770"/>
      <c r="N78" s="770"/>
      <c r="O78" s="770"/>
      <c r="P78" s="770"/>
      <c r="Q78" s="770"/>
      <c r="R78" s="770"/>
      <c r="S78" s="770"/>
      <c r="T78" s="770"/>
      <c r="U78" s="770"/>
      <c r="V78" s="770"/>
      <c r="W78" s="770"/>
      <c r="X78" s="770"/>
      <c r="Y78" s="770"/>
      <c r="Z78" s="770"/>
      <c r="AA78" s="770"/>
      <c r="AB78" s="770"/>
      <c r="AC78" s="770"/>
      <c r="AD78" s="770"/>
      <c r="AE78" s="770"/>
      <c r="AF78" s="770"/>
      <c r="AG78" s="770"/>
      <c r="AH78" s="770"/>
      <c r="AI78" s="770"/>
      <c r="AJ78" s="770"/>
      <c r="AK78" s="770"/>
      <c r="AL78" s="770"/>
      <c r="AM78" s="770"/>
      <c r="AN78" s="770"/>
      <c r="AO78" s="770"/>
      <c r="AP78" s="770"/>
      <c r="AQ78" s="770"/>
      <c r="AR78" s="770"/>
      <c r="AS78" s="770"/>
      <c r="AT78" s="770"/>
      <c r="AU78" s="770"/>
      <c r="AV78" s="770"/>
      <c r="AW78" s="770"/>
      <c r="AX78" s="770"/>
      <c r="AY78" s="770"/>
      <c r="AZ78" s="770"/>
      <c r="BA78" s="770"/>
      <c r="BB78" s="770"/>
      <c r="BC78" s="770"/>
      <c r="BD78" s="770"/>
      <c r="BE78" s="770"/>
      <c r="BF78" s="770"/>
      <c r="BG78" s="770"/>
      <c r="BH78" s="770"/>
      <c r="BI78" s="770"/>
      <c r="BJ78" s="770"/>
      <c r="BK78" s="770"/>
      <c r="BL78" s="770"/>
      <c r="BM78" s="770"/>
      <c r="BN78" s="770"/>
      <c r="BO78" s="770"/>
      <c r="BP78" s="770"/>
      <c r="BQ78" s="770"/>
      <c r="BR78" s="770"/>
      <c r="BS78" s="770"/>
      <c r="BT78" s="770"/>
      <c r="BU78" s="770"/>
      <c r="BV78" s="770"/>
      <c r="BW78" s="770"/>
      <c r="BX78" s="770"/>
      <c r="BY78" s="770"/>
      <c r="BZ78" s="770"/>
      <c r="CA78" s="770"/>
      <c r="CB78" s="770"/>
    </row>
    <row r="79" spans="1:80" ht="12" customHeight="1">
      <c r="A79" s="770"/>
      <c r="B79" s="1068"/>
      <c r="C79" s="922"/>
      <c r="D79" s="922"/>
      <c r="E79" s="922"/>
      <c r="F79" s="922"/>
      <c r="G79" s="922"/>
      <c r="H79" s="922"/>
      <c r="I79" s="1047"/>
      <c r="J79" s="1069"/>
      <c r="K79" s="922"/>
      <c r="L79" s="1070"/>
      <c r="M79" s="770"/>
      <c r="N79" s="770"/>
      <c r="O79" s="770"/>
      <c r="P79" s="770"/>
      <c r="Q79" s="770"/>
      <c r="R79" s="770"/>
      <c r="S79" s="770"/>
      <c r="T79" s="770"/>
      <c r="U79" s="770"/>
      <c r="V79" s="770"/>
      <c r="W79" s="770"/>
      <c r="X79" s="770"/>
      <c r="Y79" s="770"/>
      <c r="Z79" s="770"/>
      <c r="AA79" s="770"/>
      <c r="AB79" s="770"/>
      <c r="AC79" s="770"/>
      <c r="AD79" s="770"/>
      <c r="AE79" s="770"/>
      <c r="AF79" s="770"/>
      <c r="AG79" s="770"/>
      <c r="AH79" s="770"/>
      <c r="AI79" s="770"/>
      <c r="AJ79" s="770"/>
      <c r="AK79" s="770"/>
      <c r="AL79" s="770"/>
      <c r="AM79" s="770"/>
      <c r="AN79" s="770"/>
      <c r="AO79" s="770"/>
      <c r="AP79" s="770"/>
      <c r="AQ79" s="770"/>
      <c r="AR79" s="770"/>
      <c r="AS79" s="770"/>
      <c r="AT79" s="770"/>
      <c r="AU79" s="770"/>
      <c r="AV79" s="770"/>
      <c r="AW79" s="770"/>
      <c r="AX79" s="770"/>
      <c r="AY79" s="770"/>
      <c r="AZ79" s="770"/>
      <c r="BA79" s="770"/>
      <c r="BB79" s="770"/>
      <c r="BC79" s="770"/>
      <c r="BD79" s="770"/>
      <c r="BE79" s="770"/>
      <c r="BF79" s="770"/>
      <c r="BG79" s="770"/>
      <c r="BH79" s="770"/>
      <c r="BI79" s="770"/>
      <c r="BJ79" s="770"/>
      <c r="BK79" s="770"/>
      <c r="BL79" s="770"/>
      <c r="BM79" s="770"/>
      <c r="BN79" s="770"/>
      <c r="BO79" s="770"/>
      <c r="BP79" s="770"/>
      <c r="BQ79" s="770"/>
      <c r="BR79" s="770"/>
      <c r="BS79" s="770"/>
      <c r="BT79" s="770"/>
      <c r="BU79" s="770"/>
      <c r="BV79" s="770"/>
      <c r="BW79" s="770"/>
      <c r="BX79" s="770"/>
      <c r="BY79" s="770"/>
      <c r="BZ79" s="770"/>
      <c r="CA79" s="770"/>
      <c r="CB79" s="770"/>
    </row>
    <row r="80" spans="1:80" ht="6" customHeight="1">
      <c r="A80" s="770"/>
      <c r="B80" s="1071"/>
      <c r="C80" s="1072"/>
      <c r="D80" s="1072"/>
      <c r="E80" s="1072"/>
      <c r="F80" s="1072"/>
      <c r="G80" s="1072"/>
      <c r="H80" s="1072"/>
      <c r="I80" s="1073"/>
      <c r="J80" s="1074"/>
      <c r="K80" s="1075"/>
      <c r="L80" s="1076"/>
      <c r="M80" s="770"/>
      <c r="N80" s="770"/>
      <c r="O80" s="770"/>
      <c r="P80" s="770"/>
      <c r="Q80" s="770"/>
      <c r="R80" s="770"/>
      <c r="S80" s="770"/>
      <c r="T80" s="770"/>
      <c r="U80" s="770"/>
      <c r="V80" s="770"/>
      <c r="W80" s="770"/>
      <c r="X80" s="770"/>
      <c r="Y80" s="770"/>
      <c r="Z80" s="770"/>
      <c r="AA80" s="770"/>
      <c r="AB80" s="770"/>
      <c r="AC80" s="770"/>
      <c r="AD80" s="770"/>
      <c r="AE80" s="770"/>
      <c r="AF80" s="770"/>
      <c r="AG80" s="770"/>
      <c r="AH80" s="770"/>
      <c r="AI80" s="770"/>
      <c r="AJ80" s="770"/>
      <c r="AK80" s="770"/>
      <c r="AL80" s="770"/>
      <c r="AM80" s="770"/>
      <c r="AN80" s="770"/>
      <c r="AO80" s="770"/>
      <c r="AP80" s="770"/>
      <c r="AQ80" s="770"/>
      <c r="AR80" s="770"/>
      <c r="AS80" s="770"/>
      <c r="AT80" s="770"/>
      <c r="AU80" s="770"/>
      <c r="AV80" s="770"/>
      <c r="AW80" s="770"/>
      <c r="AX80" s="770"/>
      <c r="AY80" s="770"/>
      <c r="AZ80" s="770"/>
      <c r="BA80" s="770"/>
      <c r="BB80" s="770"/>
      <c r="BC80" s="770"/>
      <c r="BD80" s="770"/>
      <c r="BE80" s="770"/>
      <c r="BF80" s="770"/>
      <c r="BG80" s="770"/>
      <c r="BH80" s="770"/>
      <c r="BI80" s="770"/>
      <c r="BJ80" s="770"/>
      <c r="BK80" s="770"/>
      <c r="BL80" s="770"/>
      <c r="BM80" s="770"/>
      <c r="BN80" s="770"/>
      <c r="BO80" s="770"/>
      <c r="BP80" s="770"/>
      <c r="BQ80" s="770"/>
      <c r="BR80" s="770"/>
      <c r="BS80" s="770"/>
      <c r="BT80" s="770"/>
      <c r="BU80" s="770"/>
      <c r="BV80" s="770"/>
      <c r="BW80" s="770"/>
      <c r="BX80" s="770"/>
      <c r="BY80" s="770"/>
      <c r="BZ80" s="770"/>
      <c r="CA80" s="770"/>
      <c r="CB80" s="770"/>
    </row>
    <row r="81" spans="1:80" ht="15.75" customHeight="1">
      <c r="A81" s="770"/>
      <c r="B81" s="1077" t="s">
        <v>551</v>
      </c>
      <c r="C81" s="1078"/>
      <c r="D81" s="1078"/>
      <c r="E81" s="1078"/>
      <c r="F81" s="1078"/>
      <c r="G81" s="1078"/>
      <c r="H81" s="1078"/>
      <c r="I81" s="1078"/>
      <c r="J81" s="1078"/>
      <c r="K81" s="1078"/>
      <c r="L81" s="1079"/>
      <c r="M81" s="770"/>
      <c r="N81" s="770"/>
      <c r="O81" s="770"/>
      <c r="P81" s="770"/>
      <c r="Q81" s="770"/>
      <c r="R81" s="770"/>
      <c r="S81" s="770"/>
      <c r="T81" s="770"/>
      <c r="U81" s="770"/>
      <c r="V81" s="770"/>
      <c r="W81" s="770"/>
      <c r="X81" s="770"/>
      <c r="Y81" s="770"/>
      <c r="Z81" s="770"/>
      <c r="AA81" s="770"/>
      <c r="AB81" s="770"/>
      <c r="AC81" s="770"/>
      <c r="AD81" s="770"/>
      <c r="AE81" s="770"/>
      <c r="AF81" s="770"/>
      <c r="AG81" s="770"/>
      <c r="AH81" s="770"/>
      <c r="AI81" s="770"/>
      <c r="AJ81" s="770"/>
      <c r="AK81" s="770"/>
      <c r="AL81" s="770"/>
      <c r="AM81" s="770"/>
      <c r="AN81" s="770"/>
      <c r="AO81" s="770"/>
      <c r="AP81" s="770"/>
      <c r="AQ81" s="770"/>
      <c r="AR81" s="770"/>
      <c r="AS81" s="770"/>
      <c r="AT81" s="770"/>
      <c r="AU81" s="770"/>
      <c r="AV81" s="770"/>
      <c r="AW81" s="770"/>
      <c r="AX81" s="770"/>
      <c r="AY81" s="770"/>
      <c r="AZ81" s="770"/>
      <c r="BA81" s="770"/>
      <c r="BB81" s="770"/>
      <c r="BC81" s="770"/>
      <c r="BD81" s="770"/>
      <c r="BE81" s="770"/>
      <c r="BF81" s="770"/>
      <c r="BG81" s="770"/>
      <c r="BH81" s="770"/>
      <c r="BI81" s="770"/>
      <c r="BJ81" s="770"/>
      <c r="BK81" s="770"/>
      <c r="BL81" s="770"/>
      <c r="BM81" s="770"/>
      <c r="BN81" s="770"/>
      <c r="BO81" s="770"/>
      <c r="BP81" s="770"/>
      <c r="BQ81" s="770"/>
      <c r="BR81" s="770"/>
      <c r="BS81" s="770"/>
      <c r="BT81" s="770"/>
      <c r="BU81" s="770"/>
      <c r="BV81" s="770"/>
      <c r="BW81" s="770"/>
      <c r="BX81" s="770"/>
      <c r="BY81" s="770"/>
      <c r="BZ81" s="770"/>
      <c r="CA81" s="770"/>
      <c r="CB81" s="770"/>
    </row>
    <row r="82" spans="1:80">
      <c r="A82" s="770"/>
      <c r="B82" s="770"/>
      <c r="C82" s="770"/>
      <c r="D82" s="770"/>
      <c r="E82" s="770"/>
      <c r="F82" s="770"/>
      <c r="G82" s="770"/>
      <c r="H82" s="770"/>
      <c r="I82" s="770"/>
      <c r="J82" s="770"/>
      <c r="K82" s="770"/>
      <c r="L82" s="876"/>
      <c r="M82" s="770"/>
      <c r="N82" s="770"/>
      <c r="O82" s="770"/>
      <c r="P82" s="770"/>
      <c r="Q82" s="770"/>
      <c r="R82" s="770"/>
      <c r="S82" s="770"/>
      <c r="T82" s="770"/>
      <c r="U82" s="770"/>
      <c r="V82" s="770"/>
      <c r="W82" s="770"/>
      <c r="X82" s="770"/>
      <c r="Y82" s="770"/>
      <c r="Z82" s="770"/>
      <c r="AA82" s="770"/>
      <c r="AB82" s="770"/>
      <c r="AC82" s="770"/>
      <c r="AD82" s="770"/>
      <c r="AE82" s="770"/>
      <c r="AF82" s="770"/>
      <c r="AG82" s="770"/>
      <c r="AH82" s="770"/>
      <c r="AI82" s="770"/>
      <c r="AJ82" s="770"/>
      <c r="AK82" s="770"/>
      <c r="AL82" s="770"/>
      <c r="AM82" s="770"/>
      <c r="AN82" s="770"/>
      <c r="AO82" s="770"/>
      <c r="AP82" s="770"/>
      <c r="AQ82" s="770"/>
      <c r="AR82" s="770"/>
      <c r="AS82" s="770"/>
      <c r="AT82" s="770"/>
      <c r="AU82" s="770"/>
      <c r="AV82" s="770"/>
      <c r="AW82" s="770"/>
      <c r="AX82" s="770"/>
      <c r="AY82" s="770"/>
      <c r="AZ82" s="770"/>
      <c r="BA82" s="770"/>
      <c r="BB82" s="770"/>
      <c r="BC82" s="770"/>
      <c r="BD82" s="770"/>
      <c r="BE82" s="770"/>
      <c r="BF82" s="770"/>
      <c r="BG82" s="770"/>
      <c r="BH82" s="770"/>
      <c r="BI82" s="770"/>
      <c r="BJ82" s="770"/>
      <c r="BK82" s="770"/>
      <c r="BL82" s="770"/>
      <c r="BM82" s="770"/>
      <c r="BN82" s="770"/>
      <c r="BO82" s="770"/>
      <c r="BP82" s="770"/>
      <c r="BQ82" s="770"/>
      <c r="BR82" s="770"/>
      <c r="BS82" s="770"/>
      <c r="BT82" s="770"/>
      <c r="BU82" s="770"/>
      <c r="BV82" s="770"/>
      <c r="BW82" s="770"/>
      <c r="BX82" s="770"/>
      <c r="BY82" s="770"/>
      <c r="BZ82" s="770"/>
      <c r="CA82" s="770"/>
      <c r="CB82" s="770"/>
    </row>
    <row r="83" spans="1:80">
      <c r="A83" s="770"/>
      <c r="B83" s="770"/>
      <c r="C83" s="770"/>
      <c r="D83" s="770"/>
      <c r="E83" s="770"/>
      <c r="F83" s="770"/>
      <c r="G83" s="770"/>
      <c r="H83" s="770"/>
      <c r="I83" s="770"/>
      <c r="J83" s="770"/>
      <c r="K83" s="770"/>
      <c r="L83" s="876"/>
      <c r="M83" s="770"/>
      <c r="N83" s="770"/>
      <c r="O83" s="770"/>
      <c r="P83" s="770"/>
      <c r="Q83" s="770"/>
      <c r="R83" s="770"/>
      <c r="S83" s="770"/>
      <c r="T83" s="770"/>
      <c r="U83" s="770"/>
      <c r="V83" s="770"/>
      <c r="W83" s="770"/>
      <c r="X83" s="770"/>
      <c r="Y83" s="770"/>
      <c r="Z83" s="770"/>
      <c r="AA83" s="770"/>
      <c r="AB83" s="770"/>
      <c r="AC83" s="770"/>
      <c r="AD83" s="770"/>
      <c r="AE83" s="770"/>
      <c r="AF83" s="770"/>
      <c r="AG83" s="770"/>
      <c r="AH83" s="770"/>
      <c r="AI83" s="770"/>
      <c r="AJ83" s="770"/>
      <c r="AK83" s="770"/>
      <c r="AL83" s="770"/>
      <c r="AM83" s="770"/>
      <c r="AN83" s="770"/>
      <c r="AO83" s="770"/>
      <c r="AP83" s="770"/>
      <c r="AQ83" s="770"/>
      <c r="AR83" s="770"/>
      <c r="AS83" s="770"/>
      <c r="AT83" s="770"/>
      <c r="AU83" s="770"/>
      <c r="AV83" s="770"/>
      <c r="AW83" s="770"/>
      <c r="AX83" s="770"/>
      <c r="AY83" s="770"/>
      <c r="AZ83" s="770"/>
      <c r="BA83" s="770"/>
      <c r="BB83" s="770"/>
      <c r="BC83" s="770"/>
      <c r="BD83" s="770"/>
      <c r="BE83" s="770"/>
      <c r="BF83" s="770"/>
      <c r="BG83" s="770"/>
      <c r="BH83" s="770"/>
      <c r="BI83" s="770"/>
      <c r="BJ83" s="770"/>
      <c r="BK83" s="770"/>
      <c r="BL83" s="770"/>
      <c r="BM83" s="770"/>
      <c r="BN83" s="770"/>
      <c r="BO83" s="770"/>
      <c r="BP83" s="770"/>
      <c r="BQ83" s="770"/>
      <c r="BR83" s="770"/>
      <c r="BS83" s="770"/>
      <c r="BT83" s="770"/>
      <c r="BU83" s="770"/>
      <c r="BV83" s="770"/>
      <c r="BW83" s="770"/>
      <c r="BX83" s="770"/>
      <c r="BY83" s="770"/>
      <c r="BZ83" s="770"/>
      <c r="CA83" s="770"/>
      <c r="CB83" s="770"/>
    </row>
    <row r="84" spans="1:80">
      <c r="A84" s="770"/>
      <c r="B84" s="770"/>
      <c r="C84" s="770"/>
      <c r="D84" s="770"/>
      <c r="E84" s="770"/>
      <c r="F84" s="770"/>
      <c r="G84" s="770"/>
      <c r="H84" s="770"/>
      <c r="I84" s="770"/>
      <c r="J84" s="770"/>
      <c r="K84" s="770"/>
      <c r="L84" s="876"/>
      <c r="M84" s="770"/>
      <c r="N84" s="770"/>
      <c r="O84" s="770"/>
      <c r="P84" s="770"/>
      <c r="Q84" s="770"/>
      <c r="R84" s="770"/>
      <c r="S84" s="770"/>
      <c r="T84" s="770"/>
      <c r="U84" s="770"/>
      <c r="V84" s="770"/>
      <c r="W84" s="770"/>
      <c r="X84" s="770"/>
      <c r="Y84" s="770"/>
      <c r="Z84" s="770"/>
      <c r="AA84" s="770"/>
      <c r="AB84" s="770"/>
      <c r="AC84" s="770"/>
      <c r="AD84" s="770"/>
      <c r="AE84" s="770"/>
      <c r="AF84" s="770"/>
      <c r="AG84" s="770"/>
      <c r="AH84" s="770"/>
      <c r="AI84" s="770"/>
      <c r="AJ84" s="770"/>
      <c r="AK84" s="770"/>
      <c r="AL84" s="770"/>
      <c r="AM84" s="770"/>
      <c r="AN84" s="770"/>
      <c r="AO84" s="770"/>
      <c r="AP84" s="770"/>
      <c r="AQ84" s="770"/>
      <c r="AR84" s="770"/>
      <c r="AS84" s="770"/>
      <c r="AT84" s="770"/>
      <c r="AU84" s="770"/>
      <c r="AV84" s="770"/>
      <c r="AW84" s="770"/>
      <c r="AX84" s="770"/>
      <c r="AY84" s="770"/>
      <c r="AZ84" s="770"/>
      <c r="BA84" s="770"/>
      <c r="BB84" s="770"/>
      <c r="BC84" s="770"/>
      <c r="BD84" s="770"/>
      <c r="BE84" s="770"/>
      <c r="BF84" s="770"/>
      <c r="BG84" s="770"/>
      <c r="BH84" s="770"/>
      <c r="BI84" s="770"/>
      <c r="BJ84" s="770"/>
      <c r="BK84" s="770"/>
      <c r="BL84" s="770"/>
      <c r="BM84" s="770"/>
      <c r="BN84" s="770"/>
      <c r="BO84" s="770"/>
      <c r="BP84" s="770"/>
      <c r="BQ84" s="770"/>
      <c r="BR84" s="770"/>
      <c r="BS84" s="770"/>
      <c r="BT84" s="770"/>
      <c r="BU84" s="770"/>
      <c r="BV84" s="770"/>
      <c r="BW84" s="770"/>
      <c r="BX84" s="770"/>
      <c r="BY84" s="770"/>
      <c r="BZ84" s="770"/>
      <c r="CA84" s="770"/>
      <c r="CB84" s="770"/>
    </row>
    <row r="85" spans="1:80">
      <c r="A85" s="770"/>
      <c r="B85" s="770"/>
      <c r="C85" s="770"/>
      <c r="D85" s="770"/>
      <c r="E85" s="770"/>
      <c r="F85" s="770"/>
      <c r="G85" s="770"/>
      <c r="H85" s="770"/>
      <c r="I85" s="770"/>
      <c r="J85" s="770"/>
      <c r="K85" s="770"/>
      <c r="L85" s="876"/>
      <c r="M85" s="770"/>
      <c r="N85" s="770"/>
      <c r="O85" s="770"/>
      <c r="P85" s="770"/>
      <c r="Q85" s="770"/>
      <c r="R85" s="770"/>
      <c r="S85" s="770"/>
      <c r="T85" s="770"/>
      <c r="U85" s="770"/>
      <c r="V85" s="770"/>
      <c r="W85" s="770"/>
      <c r="X85" s="770"/>
      <c r="Y85" s="770"/>
      <c r="Z85" s="770"/>
      <c r="AA85" s="770"/>
      <c r="AB85" s="770"/>
      <c r="AC85" s="770"/>
      <c r="AD85" s="770"/>
      <c r="AE85" s="770"/>
      <c r="AF85" s="770"/>
      <c r="AG85" s="770"/>
      <c r="AH85" s="770"/>
      <c r="AI85" s="770"/>
      <c r="AJ85" s="770"/>
      <c r="AK85" s="770"/>
      <c r="AL85" s="770"/>
      <c r="AM85" s="770"/>
      <c r="AN85" s="770"/>
      <c r="AO85" s="770"/>
      <c r="AP85" s="770"/>
      <c r="AQ85" s="770"/>
      <c r="AR85" s="770"/>
      <c r="AS85" s="770"/>
      <c r="AT85" s="770"/>
      <c r="AU85" s="770"/>
      <c r="AV85" s="770"/>
      <c r="AW85" s="770"/>
      <c r="AX85" s="770"/>
      <c r="AY85" s="770"/>
      <c r="AZ85" s="770"/>
      <c r="BA85" s="770"/>
      <c r="BB85" s="770"/>
      <c r="BC85" s="770"/>
      <c r="BD85" s="770"/>
      <c r="BE85" s="770"/>
      <c r="BF85" s="770"/>
      <c r="BG85" s="770"/>
      <c r="BH85" s="770"/>
      <c r="BI85" s="770"/>
      <c r="BJ85" s="770"/>
      <c r="BK85" s="770"/>
      <c r="BL85" s="770"/>
      <c r="BM85" s="770"/>
      <c r="BN85" s="770"/>
      <c r="BO85" s="770"/>
      <c r="BP85" s="770"/>
      <c r="BQ85" s="770"/>
      <c r="BR85" s="770"/>
      <c r="BS85" s="770"/>
      <c r="BT85" s="770"/>
      <c r="BU85" s="770"/>
      <c r="BV85" s="770"/>
      <c r="BW85" s="770"/>
      <c r="BX85" s="770"/>
      <c r="BY85" s="770"/>
      <c r="BZ85" s="770"/>
      <c r="CA85" s="770"/>
      <c r="CB85" s="770"/>
    </row>
    <row r="86" spans="1:80">
      <c r="A86" s="770"/>
      <c r="B86" s="770"/>
      <c r="C86" s="770"/>
      <c r="D86" s="770"/>
      <c r="E86" s="770"/>
      <c r="F86" s="770"/>
      <c r="G86" s="770"/>
      <c r="H86" s="770"/>
      <c r="I86" s="770"/>
      <c r="J86" s="770"/>
      <c r="K86" s="770"/>
      <c r="L86" s="876"/>
      <c r="M86" s="770"/>
      <c r="N86" s="770"/>
      <c r="O86" s="770"/>
      <c r="P86" s="770"/>
      <c r="Q86" s="770"/>
      <c r="R86" s="770"/>
      <c r="S86" s="770"/>
      <c r="T86" s="770"/>
      <c r="U86" s="770"/>
      <c r="V86" s="770"/>
      <c r="W86" s="770"/>
      <c r="X86" s="770"/>
      <c r="Y86" s="770"/>
      <c r="Z86" s="770"/>
      <c r="AA86" s="770"/>
      <c r="AB86" s="770"/>
      <c r="AC86" s="770"/>
      <c r="AD86" s="770"/>
      <c r="AE86" s="770"/>
      <c r="AF86" s="770"/>
      <c r="AG86" s="770"/>
      <c r="AH86" s="770"/>
      <c r="AI86" s="770"/>
      <c r="AJ86" s="770"/>
      <c r="AK86" s="770"/>
      <c r="AL86" s="770"/>
      <c r="AM86" s="770"/>
      <c r="AN86" s="770"/>
      <c r="AO86" s="770"/>
      <c r="AP86" s="770"/>
      <c r="AQ86" s="770"/>
      <c r="AR86" s="770"/>
      <c r="AS86" s="770"/>
      <c r="AT86" s="770"/>
      <c r="AU86" s="770"/>
      <c r="AV86" s="770"/>
      <c r="AW86" s="770"/>
      <c r="AX86" s="770"/>
      <c r="AY86" s="770"/>
      <c r="AZ86" s="770"/>
      <c r="BA86" s="770"/>
      <c r="BB86" s="770"/>
      <c r="BC86" s="770"/>
      <c r="BD86" s="770"/>
      <c r="BE86" s="770"/>
      <c r="BF86" s="770"/>
      <c r="BG86" s="770"/>
      <c r="BH86" s="770"/>
      <c r="BI86" s="770"/>
      <c r="BJ86" s="770"/>
      <c r="BK86" s="770"/>
      <c r="BL86" s="770"/>
      <c r="BM86" s="770"/>
      <c r="BN86" s="770"/>
      <c r="BO86" s="770"/>
      <c r="BP86" s="770"/>
      <c r="BQ86" s="770"/>
      <c r="BR86" s="770"/>
      <c r="BS86" s="770"/>
      <c r="BT86" s="770"/>
      <c r="BU86" s="770"/>
      <c r="BV86" s="770"/>
      <c r="BW86" s="770"/>
      <c r="BX86" s="770"/>
      <c r="BY86" s="770"/>
      <c r="BZ86" s="770"/>
      <c r="CA86" s="770"/>
      <c r="CB86" s="770"/>
    </row>
    <row r="87" spans="1:80">
      <c r="A87" s="770"/>
      <c r="B87" s="770"/>
      <c r="C87" s="770"/>
      <c r="D87" s="770"/>
      <c r="E87" s="770"/>
      <c r="F87" s="770"/>
      <c r="G87" s="770"/>
      <c r="H87" s="770"/>
      <c r="I87" s="770"/>
      <c r="J87" s="770"/>
      <c r="K87" s="770"/>
      <c r="L87" s="876"/>
      <c r="M87" s="770"/>
      <c r="N87" s="770"/>
      <c r="O87" s="770"/>
      <c r="P87" s="770"/>
      <c r="Q87" s="770"/>
      <c r="R87" s="770"/>
      <c r="S87" s="770"/>
      <c r="T87" s="770"/>
      <c r="U87" s="770"/>
      <c r="V87" s="770"/>
      <c r="W87" s="770"/>
      <c r="X87" s="770"/>
      <c r="Y87" s="770"/>
      <c r="Z87" s="770"/>
      <c r="AA87" s="770"/>
      <c r="AB87" s="770"/>
      <c r="AC87" s="770"/>
      <c r="AD87" s="770"/>
      <c r="AE87" s="770"/>
      <c r="AF87" s="770"/>
      <c r="AG87" s="770"/>
      <c r="AH87" s="770"/>
      <c r="AI87" s="770"/>
      <c r="AJ87" s="770"/>
      <c r="AK87" s="770"/>
      <c r="AL87" s="770"/>
      <c r="AM87" s="770"/>
      <c r="AN87" s="770"/>
      <c r="AO87" s="770"/>
      <c r="AP87" s="770"/>
      <c r="AQ87" s="770"/>
      <c r="AR87" s="770"/>
      <c r="AS87" s="770"/>
      <c r="AT87" s="770"/>
      <c r="AU87" s="770"/>
      <c r="AV87" s="770"/>
      <c r="AW87" s="770"/>
      <c r="AX87" s="770"/>
      <c r="AY87" s="770"/>
      <c r="AZ87" s="770"/>
      <c r="BA87" s="770"/>
      <c r="BB87" s="770"/>
      <c r="BC87" s="770"/>
      <c r="BD87" s="770"/>
      <c r="BE87" s="770"/>
      <c r="BF87" s="770"/>
      <c r="BG87" s="770"/>
      <c r="BH87" s="770"/>
      <c r="BI87" s="770"/>
      <c r="BJ87" s="770"/>
      <c r="BK87" s="770"/>
      <c r="BL87" s="770"/>
      <c r="BM87" s="770"/>
      <c r="BN87" s="770"/>
      <c r="BO87" s="770"/>
      <c r="BP87" s="770"/>
      <c r="BQ87" s="770"/>
      <c r="BR87" s="770"/>
      <c r="BS87" s="770"/>
      <c r="BT87" s="770"/>
      <c r="BU87" s="770"/>
      <c r="BV87" s="770"/>
      <c r="BW87" s="770"/>
      <c r="BX87" s="770"/>
      <c r="BY87" s="770"/>
      <c r="BZ87" s="770"/>
      <c r="CA87" s="770"/>
      <c r="CB87" s="770"/>
    </row>
    <row r="88" spans="1:80">
      <c r="A88" s="770"/>
      <c r="B88" s="770"/>
      <c r="C88" s="770"/>
      <c r="D88" s="770"/>
      <c r="E88" s="770"/>
      <c r="F88" s="770"/>
      <c r="G88" s="770"/>
      <c r="H88" s="770"/>
      <c r="I88" s="770"/>
      <c r="J88" s="770"/>
      <c r="K88" s="770"/>
      <c r="L88" s="876"/>
      <c r="M88" s="770"/>
      <c r="N88" s="770"/>
      <c r="O88" s="770"/>
      <c r="P88" s="770"/>
      <c r="Q88" s="770"/>
      <c r="R88" s="770"/>
      <c r="S88" s="770"/>
      <c r="T88" s="770"/>
      <c r="U88" s="770"/>
      <c r="V88" s="770"/>
      <c r="W88" s="770"/>
      <c r="X88" s="770"/>
      <c r="Y88" s="770"/>
      <c r="Z88" s="770"/>
      <c r="AA88" s="770"/>
      <c r="AB88" s="770"/>
      <c r="AC88" s="770"/>
      <c r="AD88" s="770"/>
      <c r="AE88" s="770"/>
      <c r="AF88" s="770"/>
      <c r="AG88" s="770"/>
      <c r="AH88" s="770"/>
      <c r="AI88" s="770"/>
      <c r="AJ88" s="770"/>
      <c r="AK88" s="770"/>
      <c r="AL88" s="770"/>
      <c r="AM88" s="770"/>
      <c r="AN88" s="770"/>
      <c r="AO88" s="770"/>
      <c r="AP88" s="770"/>
      <c r="AQ88" s="770"/>
      <c r="AR88" s="770"/>
      <c r="AS88" s="770"/>
      <c r="AT88" s="770"/>
      <c r="AU88" s="770"/>
      <c r="AV88" s="770"/>
      <c r="AW88" s="770"/>
      <c r="AX88" s="770"/>
      <c r="AY88" s="770"/>
      <c r="AZ88" s="770"/>
      <c r="BA88" s="770"/>
      <c r="BB88" s="770"/>
      <c r="BC88" s="770"/>
      <c r="BD88" s="770"/>
      <c r="BE88" s="770"/>
      <c r="BF88" s="770"/>
      <c r="BG88" s="770"/>
      <c r="BH88" s="770"/>
      <c r="BI88" s="770"/>
      <c r="BJ88" s="770"/>
      <c r="BK88" s="770"/>
      <c r="BL88" s="770"/>
      <c r="BM88" s="770"/>
      <c r="BN88" s="770"/>
      <c r="BO88" s="770"/>
      <c r="BP88" s="770"/>
      <c r="BQ88" s="770"/>
      <c r="BR88" s="770"/>
      <c r="BS88" s="770"/>
      <c r="BT88" s="770"/>
      <c r="BU88" s="770"/>
      <c r="BV88" s="770"/>
      <c r="BW88" s="770"/>
      <c r="BX88" s="770"/>
      <c r="BY88" s="770"/>
      <c r="BZ88" s="770"/>
      <c r="CA88" s="770"/>
      <c r="CB88" s="770"/>
    </row>
    <row r="89" spans="1:80">
      <c r="A89" s="770"/>
      <c r="B89" s="770"/>
      <c r="C89" s="770"/>
      <c r="D89" s="770"/>
      <c r="E89" s="770"/>
      <c r="F89" s="770"/>
      <c r="G89" s="770"/>
      <c r="H89" s="770"/>
      <c r="I89" s="770"/>
      <c r="J89" s="770"/>
      <c r="K89" s="770"/>
      <c r="L89" s="876"/>
      <c r="M89" s="770"/>
      <c r="N89" s="770"/>
      <c r="O89" s="770"/>
      <c r="P89" s="770"/>
      <c r="Q89" s="770"/>
      <c r="R89" s="770"/>
      <c r="S89" s="770"/>
      <c r="T89" s="770"/>
      <c r="U89" s="770"/>
      <c r="V89" s="770"/>
      <c r="W89" s="770"/>
      <c r="X89" s="770"/>
      <c r="Y89" s="770"/>
      <c r="Z89" s="770"/>
      <c r="AA89" s="770"/>
      <c r="AB89" s="770"/>
      <c r="AC89" s="770"/>
      <c r="AD89" s="770"/>
      <c r="AE89" s="770"/>
      <c r="AF89" s="770"/>
      <c r="AG89" s="770"/>
      <c r="AH89" s="770"/>
      <c r="AI89" s="770"/>
      <c r="AJ89" s="770"/>
      <c r="AK89" s="770"/>
      <c r="AL89" s="770"/>
      <c r="AM89" s="770"/>
      <c r="AN89" s="770"/>
      <c r="AO89" s="770"/>
      <c r="AP89" s="770"/>
      <c r="AQ89" s="770"/>
      <c r="AR89" s="770"/>
      <c r="AS89" s="770"/>
      <c r="AT89" s="770"/>
      <c r="AU89" s="770"/>
      <c r="AV89" s="770"/>
      <c r="AW89" s="770"/>
      <c r="AX89" s="770"/>
      <c r="AY89" s="770"/>
      <c r="AZ89" s="770"/>
      <c r="BA89" s="770"/>
      <c r="BB89" s="770"/>
      <c r="BC89" s="770"/>
      <c r="BD89" s="770"/>
      <c r="BE89" s="770"/>
      <c r="BF89" s="770"/>
      <c r="BG89" s="770"/>
      <c r="BH89" s="770"/>
      <c r="BI89" s="770"/>
      <c r="BJ89" s="770"/>
      <c r="BK89" s="770"/>
      <c r="BL89" s="770"/>
      <c r="BM89" s="770"/>
      <c r="BN89" s="770"/>
      <c r="BO89" s="770"/>
      <c r="BP89" s="770"/>
      <c r="BQ89" s="770"/>
      <c r="BR89" s="770"/>
      <c r="BS89" s="770"/>
      <c r="BT89" s="770"/>
      <c r="BU89" s="770"/>
      <c r="BV89" s="770"/>
      <c r="BW89" s="770"/>
      <c r="BX89" s="770"/>
      <c r="BY89" s="770"/>
      <c r="BZ89" s="770"/>
      <c r="CA89" s="770"/>
      <c r="CB89" s="770"/>
    </row>
    <row r="90" spans="1:80">
      <c r="A90" s="770"/>
      <c r="B90" s="770"/>
      <c r="C90" s="770"/>
      <c r="D90" s="770"/>
      <c r="E90" s="770"/>
      <c r="F90" s="770"/>
      <c r="G90" s="770"/>
      <c r="H90" s="770"/>
      <c r="I90" s="770"/>
      <c r="J90" s="770"/>
      <c r="K90" s="770"/>
      <c r="L90" s="876"/>
      <c r="M90" s="770"/>
      <c r="N90" s="770"/>
      <c r="O90" s="770"/>
      <c r="P90" s="770"/>
      <c r="Q90" s="770"/>
      <c r="R90" s="770"/>
      <c r="S90" s="770"/>
      <c r="T90" s="770"/>
      <c r="U90" s="770"/>
      <c r="V90" s="770"/>
      <c r="W90" s="770"/>
      <c r="X90" s="770"/>
      <c r="Y90" s="770"/>
      <c r="Z90" s="770"/>
      <c r="AA90" s="770"/>
      <c r="AB90" s="770"/>
      <c r="AC90" s="770"/>
      <c r="AD90" s="770"/>
      <c r="AE90" s="770"/>
      <c r="AF90" s="770"/>
      <c r="AG90" s="770"/>
      <c r="AH90" s="770"/>
      <c r="AI90" s="770"/>
      <c r="AJ90" s="770"/>
      <c r="AK90" s="770"/>
      <c r="AL90" s="770"/>
      <c r="AM90" s="770"/>
      <c r="AN90" s="770"/>
      <c r="AO90" s="770"/>
      <c r="AP90" s="770"/>
      <c r="AQ90" s="770"/>
      <c r="AR90" s="770"/>
      <c r="AS90" s="770"/>
      <c r="AT90" s="770"/>
      <c r="AU90" s="770"/>
      <c r="AV90" s="770"/>
      <c r="AW90" s="770"/>
      <c r="AX90" s="770"/>
      <c r="AY90" s="770"/>
      <c r="AZ90" s="770"/>
      <c r="BA90" s="770"/>
      <c r="BB90" s="770"/>
      <c r="BC90" s="770"/>
      <c r="BD90" s="770"/>
      <c r="BE90" s="770"/>
      <c r="BF90" s="770"/>
      <c r="BG90" s="770"/>
      <c r="BH90" s="770"/>
      <c r="BI90" s="770"/>
      <c r="BJ90" s="770"/>
      <c r="BK90" s="770"/>
      <c r="BL90" s="770"/>
      <c r="BM90" s="770"/>
      <c r="BN90" s="770"/>
      <c r="BO90" s="770"/>
      <c r="BP90" s="770"/>
      <c r="BQ90" s="770"/>
      <c r="BR90" s="770"/>
      <c r="BS90" s="770"/>
      <c r="BT90" s="770"/>
      <c r="BU90" s="770"/>
      <c r="BV90" s="770"/>
      <c r="BW90" s="770"/>
      <c r="BX90" s="770"/>
      <c r="BY90" s="770"/>
      <c r="BZ90" s="770"/>
      <c r="CA90" s="770"/>
      <c r="CB90" s="770"/>
    </row>
    <row r="91" spans="1:80">
      <c r="A91" s="770"/>
      <c r="B91" s="770"/>
      <c r="C91" s="770"/>
      <c r="D91" s="770"/>
      <c r="E91" s="770"/>
      <c r="F91" s="770"/>
      <c r="G91" s="770"/>
      <c r="H91" s="770"/>
      <c r="I91" s="770"/>
      <c r="J91" s="770"/>
      <c r="K91" s="770"/>
      <c r="L91" s="876"/>
      <c r="M91" s="770"/>
      <c r="N91" s="770"/>
      <c r="O91" s="770"/>
      <c r="P91" s="770"/>
      <c r="Q91" s="770"/>
      <c r="R91" s="770"/>
      <c r="S91" s="770"/>
      <c r="T91" s="770"/>
      <c r="U91" s="770"/>
      <c r="V91" s="770"/>
      <c r="W91" s="770"/>
      <c r="X91" s="770"/>
      <c r="Y91" s="770"/>
      <c r="Z91" s="770"/>
      <c r="AA91" s="770"/>
      <c r="AB91" s="770"/>
      <c r="AC91" s="770"/>
      <c r="AD91" s="770"/>
      <c r="AE91" s="770"/>
      <c r="AF91" s="770"/>
      <c r="AG91" s="770"/>
      <c r="AH91" s="770"/>
      <c r="AI91" s="770"/>
      <c r="AJ91" s="770"/>
      <c r="AK91" s="770"/>
      <c r="AL91" s="770"/>
      <c r="AM91" s="770"/>
      <c r="AN91" s="770"/>
      <c r="AO91" s="770"/>
      <c r="AP91" s="770"/>
      <c r="AQ91" s="770"/>
      <c r="AR91" s="770"/>
      <c r="AS91" s="770"/>
      <c r="AT91" s="770"/>
      <c r="AU91" s="770"/>
      <c r="AV91" s="770"/>
      <c r="AW91" s="770"/>
      <c r="AX91" s="770"/>
      <c r="AY91" s="770"/>
      <c r="AZ91" s="770"/>
      <c r="BA91" s="770"/>
      <c r="BB91" s="770"/>
      <c r="BC91" s="770"/>
      <c r="BD91" s="770"/>
      <c r="BE91" s="770"/>
      <c r="BF91" s="770"/>
      <c r="BG91" s="770"/>
      <c r="BH91" s="770"/>
      <c r="BI91" s="770"/>
      <c r="BJ91" s="770"/>
      <c r="BK91" s="770"/>
      <c r="BL91" s="770"/>
      <c r="BM91" s="770"/>
      <c r="BN91" s="770"/>
      <c r="BO91" s="770"/>
      <c r="BP91" s="770"/>
      <c r="BQ91" s="770"/>
      <c r="BR91" s="770"/>
      <c r="BS91" s="770"/>
      <c r="BT91" s="770"/>
      <c r="BU91" s="770"/>
      <c r="BV91" s="770"/>
      <c r="BW91" s="770"/>
      <c r="BX91" s="770"/>
      <c r="BY91" s="770"/>
      <c r="BZ91" s="770"/>
      <c r="CA91" s="770"/>
      <c r="CB91" s="770"/>
    </row>
    <row r="92" spans="1:80">
      <c r="A92" s="770"/>
      <c r="B92" s="770"/>
      <c r="C92" s="770"/>
      <c r="D92" s="770"/>
      <c r="E92" s="770"/>
      <c r="F92" s="770"/>
      <c r="G92" s="770"/>
      <c r="H92" s="770"/>
      <c r="I92" s="770"/>
      <c r="J92" s="770"/>
      <c r="K92" s="770"/>
      <c r="L92" s="876"/>
      <c r="M92" s="770"/>
      <c r="N92" s="770"/>
      <c r="O92" s="770"/>
      <c r="P92" s="770"/>
      <c r="Q92" s="770"/>
      <c r="R92" s="770"/>
      <c r="S92" s="770"/>
      <c r="T92" s="770"/>
      <c r="U92" s="770"/>
      <c r="V92" s="770"/>
      <c r="W92" s="770"/>
      <c r="X92" s="770"/>
      <c r="Y92" s="770"/>
      <c r="Z92" s="770"/>
      <c r="AA92" s="770"/>
      <c r="AB92" s="770"/>
      <c r="AC92" s="770"/>
      <c r="AD92" s="770"/>
      <c r="AE92" s="770"/>
      <c r="AF92" s="770"/>
      <c r="AG92" s="770"/>
      <c r="AH92" s="770"/>
      <c r="AI92" s="770"/>
      <c r="AJ92" s="770"/>
      <c r="AK92" s="770"/>
      <c r="AL92" s="770"/>
      <c r="AM92" s="770"/>
      <c r="AN92" s="770"/>
      <c r="AO92" s="770"/>
      <c r="AP92" s="770"/>
      <c r="AQ92" s="770"/>
      <c r="AR92" s="770"/>
      <c r="AS92" s="770"/>
      <c r="AT92" s="770"/>
      <c r="AU92" s="770"/>
      <c r="AV92" s="770"/>
      <c r="AW92" s="770"/>
      <c r="AX92" s="770"/>
      <c r="AY92" s="770"/>
      <c r="AZ92" s="770"/>
      <c r="BA92" s="770"/>
      <c r="BB92" s="770"/>
      <c r="BC92" s="770"/>
      <c r="BD92" s="770"/>
      <c r="BE92" s="770"/>
      <c r="BF92" s="770"/>
      <c r="BG92" s="770"/>
      <c r="BH92" s="770"/>
      <c r="BI92" s="770"/>
      <c r="BJ92" s="770"/>
      <c r="BK92" s="770"/>
      <c r="BL92" s="770"/>
      <c r="BM92" s="770"/>
      <c r="BN92" s="770"/>
      <c r="BO92" s="770"/>
      <c r="BP92" s="770"/>
      <c r="BQ92" s="770"/>
      <c r="BR92" s="770"/>
      <c r="BS92" s="770"/>
      <c r="BT92" s="770"/>
      <c r="BU92" s="770"/>
      <c r="BV92" s="770"/>
      <c r="BW92" s="770"/>
      <c r="BX92" s="770"/>
      <c r="BY92" s="770"/>
      <c r="BZ92" s="770"/>
      <c r="CA92" s="770"/>
      <c r="CB92" s="770"/>
    </row>
    <row r="93" spans="1:80">
      <c r="A93" s="770"/>
      <c r="B93" s="770"/>
      <c r="C93" s="770"/>
      <c r="D93" s="770"/>
      <c r="E93" s="770"/>
      <c r="F93" s="770"/>
      <c r="G93" s="770"/>
      <c r="H93" s="770"/>
      <c r="I93" s="770"/>
      <c r="J93" s="770"/>
      <c r="K93" s="770"/>
      <c r="L93" s="876"/>
      <c r="M93" s="770"/>
      <c r="N93" s="770"/>
      <c r="O93" s="770"/>
      <c r="P93" s="770"/>
      <c r="Q93" s="770"/>
      <c r="R93" s="770"/>
      <c r="S93" s="770"/>
      <c r="T93" s="770"/>
      <c r="U93" s="770"/>
      <c r="V93" s="770"/>
      <c r="W93" s="770"/>
      <c r="X93" s="770"/>
      <c r="Y93" s="770"/>
      <c r="Z93" s="770"/>
      <c r="AA93" s="770"/>
      <c r="AB93" s="770"/>
      <c r="AC93" s="770"/>
      <c r="AD93" s="770"/>
      <c r="AE93" s="770"/>
      <c r="AF93" s="770"/>
      <c r="AG93" s="770"/>
      <c r="AH93" s="770"/>
      <c r="AI93" s="770"/>
      <c r="AJ93" s="770"/>
      <c r="AK93" s="770"/>
      <c r="AL93" s="770"/>
      <c r="AM93" s="770"/>
      <c r="AN93" s="770"/>
      <c r="AO93" s="770"/>
      <c r="AP93" s="770"/>
      <c r="AQ93" s="770"/>
      <c r="AR93" s="770"/>
      <c r="AS93" s="770"/>
      <c r="AT93" s="770"/>
      <c r="AU93" s="770"/>
      <c r="AV93" s="770"/>
      <c r="AW93" s="770"/>
      <c r="AX93" s="770"/>
      <c r="AY93" s="770"/>
      <c r="AZ93" s="770"/>
      <c r="BA93" s="770"/>
      <c r="BB93" s="770"/>
      <c r="BC93" s="770"/>
      <c r="BD93" s="770"/>
      <c r="BE93" s="770"/>
      <c r="BF93" s="770"/>
      <c r="BG93" s="770"/>
      <c r="BH93" s="770"/>
      <c r="BI93" s="770"/>
      <c r="BJ93" s="770"/>
      <c r="BK93" s="770"/>
      <c r="BL93" s="770"/>
      <c r="BM93" s="770"/>
      <c r="BN93" s="770"/>
      <c r="BO93" s="770"/>
      <c r="BP93" s="770"/>
      <c r="BQ93" s="770"/>
      <c r="BR93" s="770"/>
      <c r="BS93" s="770"/>
      <c r="BT93" s="770"/>
      <c r="BU93" s="770"/>
      <c r="BV93" s="770"/>
      <c r="BW93" s="770"/>
      <c r="BX93" s="770"/>
      <c r="BY93" s="770"/>
      <c r="BZ93" s="770"/>
      <c r="CA93" s="770"/>
      <c r="CB93" s="770"/>
    </row>
    <row r="94" spans="1:80">
      <c r="A94" s="770"/>
      <c r="B94" s="770"/>
      <c r="C94" s="770"/>
      <c r="D94" s="770"/>
      <c r="E94" s="770"/>
      <c r="F94" s="770"/>
      <c r="G94" s="770"/>
      <c r="H94" s="770"/>
      <c r="I94" s="770"/>
      <c r="J94" s="770"/>
      <c r="K94" s="770"/>
      <c r="L94" s="876"/>
      <c r="M94" s="770"/>
      <c r="N94" s="770"/>
      <c r="O94" s="770"/>
      <c r="P94" s="770"/>
      <c r="Q94" s="770"/>
      <c r="R94" s="770"/>
      <c r="S94" s="770"/>
      <c r="T94" s="770"/>
      <c r="U94" s="770"/>
      <c r="V94" s="770"/>
      <c r="W94" s="770"/>
      <c r="X94" s="770"/>
      <c r="Y94" s="770"/>
      <c r="Z94" s="770"/>
      <c r="AA94" s="770"/>
      <c r="AB94" s="770"/>
      <c r="AC94" s="770"/>
      <c r="AD94" s="770"/>
      <c r="AE94" s="770"/>
      <c r="AF94" s="770"/>
      <c r="AG94" s="770"/>
      <c r="AH94" s="770"/>
      <c r="AI94" s="770"/>
      <c r="AJ94" s="770"/>
      <c r="AK94" s="770"/>
      <c r="AL94" s="770"/>
      <c r="AM94" s="770"/>
      <c r="AN94" s="770"/>
      <c r="AO94" s="770"/>
      <c r="AP94" s="770"/>
      <c r="AQ94" s="770"/>
      <c r="AR94" s="770"/>
      <c r="AS94" s="770"/>
      <c r="AT94" s="770"/>
      <c r="AU94" s="770"/>
      <c r="AV94" s="770"/>
      <c r="AW94" s="770"/>
      <c r="AX94" s="770"/>
      <c r="AY94" s="770"/>
      <c r="AZ94" s="770"/>
      <c r="BA94" s="770"/>
      <c r="BB94" s="770"/>
      <c r="BC94" s="770"/>
      <c r="BD94" s="770"/>
      <c r="BE94" s="770"/>
      <c r="BF94" s="770"/>
      <c r="BG94" s="770"/>
      <c r="BH94" s="770"/>
      <c r="BI94" s="770"/>
      <c r="BJ94" s="770"/>
      <c r="BK94" s="770"/>
      <c r="BL94" s="770"/>
      <c r="BM94" s="770"/>
      <c r="BN94" s="770"/>
      <c r="BO94" s="770"/>
      <c r="BP94" s="770"/>
      <c r="BQ94" s="770"/>
      <c r="BR94" s="770"/>
      <c r="BS94" s="770"/>
      <c r="BT94" s="770"/>
      <c r="BU94" s="770"/>
      <c r="BV94" s="770"/>
      <c r="BW94" s="770"/>
      <c r="BX94" s="770"/>
      <c r="BY94" s="770"/>
      <c r="BZ94" s="770"/>
      <c r="CA94" s="770"/>
      <c r="CB94" s="770"/>
    </row>
    <row r="95" spans="1:80">
      <c r="A95" s="770"/>
      <c r="B95" s="770"/>
      <c r="C95" s="770"/>
      <c r="D95" s="770"/>
      <c r="E95" s="770"/>
      <c r="F95" s="770"/>
      <c r="G95" s="770"/>
      <c r="H95" s="770"/>
      <c r="I95" s="770"/>
      <c r="J95" s="770"/>
      <c r="K95" s="770"/>
      <c r="L95" s="876"/>
      <c r="M95" s="770"/>
      <c r="N95" s="770"/>
      <c r="O95" s="770"/>
      <c r="P95" s="770"/>
      <c r="Q95" s="770"/>
      <c r="R95" s="770"/>
      <c r="S95" s="770"/>
      <c r="T95" s="770"/>
      <c r="U95" s="770"/>
      <c r="V95" s="770"/>
      <c r="W95" s="770"/>
      <c r="X95" s="770"/>
      <c r="Y95" s="770"/>
      <c r="Z95" s="770"/>
      <c r="AA95" s="770"/>
      <c r="AB95" s="770"/>
      <c r="AC95" s="770"/>
      <c r="AD95" s="770"/>
      <c r="AE95" s="770"/>
      <c r="AF95" s="770"/>
      <c r="AG95" s="770"/>
      <c r="AH95" s="770"/>
      <c r="AI95" s="770"/>
      <c r="AJ95" s="770"/>
      <c r="AK95" s="770"/>
      <c r="AL95" s="770"/>
      <c r="AM95" s="770"/>
      <c r="AN95" s="770"/>
      <c r="AO95" s="770"/>
      <c r="AP95" s="770"/>
      <c r="AQ95" s="770"/>
      <c r="AR95" s="770"/>
      <c r="AS95" s="770"/>
      <c r="AT95" s="770"/>
      <c r="AU95" s="770"/>
      <c r="AV95" s="770"/>
      <c r="AW95" s="770"/>
      <c r="AX95" s="770"/>
      <c r="AY95" s="770"/>
      <c r="AZ95" s="770"/>
      <c r="BA95" s="770"/>
      <c r="BB95" s="770"/>
      <c r="BC95" s="770"/>
      <c r="BD95" s="770"/>
      <c r="BE95" s="770"/>
      <c r="BF95" s="770"/>
      <c r="BG95" s="770"/>
      <c r="BH95" s="770"/>
      <c r="BI95" s="770"/>
      <c r="BJ95" s="770"/>
      <c r="BK95" s="770"/>
      <c r="BL95" s="770"/>
      <c r="BM95" s="770"/>
      <c r="BN95" s="770"/>
      <c r="BO95" s="770"/>
      <c r="BP95" s="770"/>
      <c r="BQ95" s="770"/>
      <c r="BR95" s="770"/>
      <c r="BS95" s="770"/>
      <c r="BT95" s="770"/>
      <c r="BU95" s="770"/>
      <c r="BV95" s="770"/>
      <c r="BW95" s="770"/>
      <c r="BX95" s="770"/>
      <c r="BY95" s="770"/>
      <c r="BZ95" s="770"/>
      <c r="CA95" s="770"/>
      <c r="CB95" s="770"/>
    </row>
    <row r="96" spans="1:80">
      <c r="A96" s="770"/>
      <c r="B96" s="770"/>
      <c r="C96" s="770"/>
      <c r="D96" s="770"/>
      <c r="E96" s="770"/>
      <c r="F96" s="770"/>
      <c r="G96" s="770"/>
      <c r="H96" s="770"/>
      <c r="I96" s="770"/>
      <c r="J96" s="770"/>
      <c r="K96" s="770"/>
      <c r="L96" s="876"/>
      <c r="M96" s="770"/>
      <c r="N96" s="770"/>
      <c r="O96" s="770"/>
      <c r="P96" s="770"/>
      <c r="Q96" s="770"/>
      <c r="R96" s="770"/>
      <c r="S96" s="770"/>
      <c r="T96" s="770"/>
      <c r="U96" s="770"/>
      <c r="V96" s="770"/>
      <c r="W96" s="770"/>
      <c r="X96" s="770"/>
      <c r="Y96" s="770"/>
      <c r="Z96" s="770"/>
      <c r="AA96" s="770"/>
      <c r="AB96" s="770"/>
      <c r="AC96" s="770"/>
      <c r="AD96" s="770"/>
      <c r="AE96" s="770"/>
      <c r="AF96" s="770"/>
      <c r="AG96" s="770"/>
      <c r="AH96" s="770"/>
      <c r="AI96" s="770"/>
      <c r="AJ96" s="770"/>
      <c r="AK96" s="770"/>
      <c r="AL96" s="770"/>
      <c r="AM96" s="770"/>
      <c r="AN96" s="770"/>
      <c r="AO96" s="770"/>
      <c r="AP96" s="770"/>
      <c r="AQ96" s="770"/>
      <c r="AR96" s="770"/>
      <c r="AS96" s="770"/>
      <c r="AT96" s="770"/>
      <c r="AU96" s="770"/>
      <c r="AV96" s="770"/>
      <c r="AW96" s="770"/>
      <c r="AX96" s="770"/>
      <c r="AY96" s="770"/>
      <c r="AZ96" s="770"/>
      <c r="BA96" s="770"/>
      <c r="BB96" s="770"/>
      <c r="BC96" s="770"/>
      <c r="BD96" s="770"/>
      <c r="BE96" s="770"/>
      <c r="BF96" s="770"/>
      <c r="BG96" s="770"/>
      <c r="BH96" s="770"/>
      <c r="BI96" s="770"/>
      <c r="BJ96" s="770"/>
      <c r="BK96" s="770"/>
      <c r="BL96" s="770"/>
      <c r="BM96" s="770"/>
      <c r="BN96" s="770"/>
      <c r="BO96" s="770"/>
      <c r="BP96" s="770"/>
      <c r="BQ96" s="770"/>
      <c r="BR96" s="770"/>
      <c r="BS96" s="770"/>
      <c r="BT96" s="770"/>
      <c r="BU96" s="770"/>
      <c r="BV96" s="770"/>
      <c r="BW96" s="770"/>
      <c r="BX96" s="770"/>
      <c r="BY96" s="770"/>
      <c r="BZ96" s="770"/>
      <c r="CA96" s="770"/>
      <c r="CB96" s="770"/>
    </row>
    <row r="97" spans="1:80">
      <c r="A97" s="770"/>
      <c r="B97" s="770"/>
      <c r="C97" s="770"/>
      <c r="D97" s="770"/>
      <c r="E97" s="770"/>
      <c r="F97" s="770"/>
      <c r="G97" s="770"/>
      <c r="H97" s="770"/>
      <c r="I97" s="770"/>
      <c r="J97" s="770"/>
      <c r="K97" s="770"/>
      <c r="L97" s="876"/>
      <c r="M97" s="770"/>
      <c r="N97" s="770"/>
      <c r="O97" s="770"/>
      <c r="P97" s="770"/>
      <c r="Q97" s="770"/>
      <c r="R97" s="770"/>
      <c r="S97" s="770"/>
      <c r="T97" s="770"/>
      <c r="U97" s="770"/>
      <c r="V97" s="770"/>
      <c r="W97" s="770"/>
      <c r="X97" s="770"/>
      <c r="Y97" s="770"/>
      <c r="Z97" s="770"/>
      <c r="AA97" s="770"/>
      <c r="AB97" s="770"/>
      <c r="AC97" s="770"/>
      <c r="AD97" s="770"/>
      <c r="AE97" s="770"/>
      <c r="AF97" s="770"/>
      <c r="AG97" s="770"/>
      <c r="AH97" s="770"/>
      <c r="AI97" s="770"/>
      <c r="AJ97" s="770"/>
      <c r="AK97" s="770"/>
      <c r="AL97" s="770"/>
      <c r="AM97" s="770"/>
      <c r="AN97" s="770"/>
      <c r="AO97" s="770"/>
      <c r="AP97" s="770"/>
      <c r="AQ97" s="770"/>
      <c r="AR97" s="770"/>
      <c r="AS97" s="770"/>
      <c r="AT97" s="770"/>
      <c r="AU97" s="770"/>
      <c r="AV97" s="770"/>
      <c r="AW97" s="770"/>
      <c r="AX97" s="770"/>
      <c r="AY97" s="770"/>
      <c r="AZ97" s="770"/>
      <c r="BA97" s="770"/>
      <c r="BB97" s="770"/>
      <c r="BC97" s="770"/>
      <c r="BD97" s="770"/>
      <c r="BE97" s="770"/>
      <c r="BF97" s="770"/>
      <c r="BG97" s="770"/>
      <c r="BH97" s="770"/>
      <c r="BI97" s="770"/>
      <c r="BJ97" s="770"/>
      <c r="BK97" s="770"/>
      <c r="BL97" s="770"/>
      <c r="BM97" s="770"/>
      <c r="BN97" s="770"/>
      <c r="BO97" s="770"/>
      <c r="BP97" s="770"/>
      <c r="BQ97" s="770"/>
      <c r="BR97" s="770"/>
      <c r="BS97" s="770"/>
      <c r="BT97" s="770"/>
      <c r="BU97" s="770"/>
      <c r="BV97" s="770"/>
      <c r="BW97" s="770"/>
      <c r="BX97" s="770"/>
      <c r="BY97" s="770"/>
      <c r="BZ97" s="770"/>
      <c r="CA97" s="770"/>
      <c r="CB97" s="770"/>
    </row>
    <row r="98" spans="1:80">
      <c r="A98" s="770"/>
      <c r="B98" s="770"/>
      <c r="C98" s="770"/>
      <c r="D98" s="770"/>
      <c r="E98" s="770"/>
      <c r="F98" s="770"/>
      <c r="G98" s="770"/>
      <c r="H98" s="770"/>
      <c r="I98" s="770"/>
      <c r="J98" s="770"/>
      <c r="K98" s="770"/>
      <c r="L98" s="876"/>
      <c r="M98" s="770"/>
      <c r="N98" s="770"/>
      <c r="O98" s="770"/>
      <c r="P98" s="770"/>
      <c r="Q98" s="770"/>
      <c r="R98" s="770"/>
      <c r="S98" s="770"/>
      <c r="T98" s="770"/>
      <c r="U98" s="770"/>
      <c r="V98" s="770"/>
      <c r="W98" s="770"/>
      <c r="X98" s="770"/>
      <c r="Y98" s="770"/>
      <c r="Z98" s="770"/>
      <c r="AA98" s="770"/>
      <c r="AB98" s="770"/>
      <c r="AC98" s="770"/>
      <c r="AD98" s="770"/>
      <c r="AE98" s="770"/>
      <c r="AF98" s="770"/>
      <c r="AG98" s="770"/>
      <c r="AH98" s="770"/>
      <c r="AI98" s="770"/>
      <c r="AJ98" s="770"/>
      <c r="AK98" s="770"/>
      <c r="AL98" s="770"/>
      <c r="AM98" s="770"/>
      <c r="AN98" s="770"/>
      <c r="AO98" s="770"/>
      <c r="AP98" s="770"/>
      <c r="AQ98" s="770"/>
      <c r="AR98" s="770"/>
      <c r="AS98" s="770"/>
      <c r="AT98" s="770"/>
      <c r="AU98" s="770"/>
      <c r="AV98" s="770"/>
      <c r="AW98" s="770"/>
      <c r="AX98" s="770"/>
      <c r="AY98" s="770"/>
      <c r="AZ98" s="770"/>
      <c r="BA98" s="770"/>
      <c r="BB98" s="770"/>
      <c r="BC98" s="770"/>
      <c r="BD98" s="770"/>
      <c r="BE98" s="770"/>
      <c r="BF98" s="770"/>
      <c r="BG98" s="770"/>
      <c r="BH98" s="770"/>
      <c r="BI98" s="770"/>
      <c r="BJ98" s="770"/>
      <c r="BK98" s="770"/>
      <c r="BL98" s="770"/>
      <c r="BM98" s="770"/>
      <c r="BN98" s="770"/>
      <c r="BO98" s="770"/>
      <c r="BP98" s="770"/>
      <c r="BQ98" s="770"/>
      <c r="BR98" s="770"/>
      <c r="BS98" s="770"/>
      <c r="BT98" s="770"/>
      <c r="BU98" s="770"/>
      <c r="BV98" s="770"/>
      <c r="BW98" s="770"/>
      <c r="BX98" s="770"/>
      <c r="BY98" s="770"/>
      <c r="BZ98" s="770"/>
      <c r="CA98" s="770"/>
      <c r="CB98" s="770"/>
    </row>
    <row r="99" spans="1:80">
      <c r="A99" s="770"/>
      <c r="B99" s="770"/>
      <c r="C99" s="770"/>
      <c r="D99" s="770"/>
      <c r="E99" s="770"/>
      <c r="F99" s="770"/>
      <c r="G99" s="770"/>
      <c r="H99" s="770"/>
      <c r="I99" s="770"/>
      <c r="J99" s="770"/>
      <c r="K99" s="770"/>
      <c r="L99" s="876"/>
      <c r="M99" s="770"/>
      <c r="N99" s="770"/>
      <c r="O99" s="770"/>
      <c r="P99" s="770"/>
      <c r="Q99" s="770"/>
      <c r="R99" s="770"/>
      <c r="S99" s="770"/>
      <c r="T99" s="770"/>
      <c r="U99" s="770"/>
      <c r="V99" s="770"/>
      <c r="W99" s="770"/>
      <c r="X99" s="770"/>
      <c r="Y99" s="770"/>
      <c r="Z99" s="770"/>
      <c r="AA99" s="770"/>
      <c r="AB99" s="770"/>
      <c r="AC99" s="770"/>
      <c r="AD99" s="770"/>
      <c r="AE99" s="770"/>
      <c r="AF99" s="770"/>
      <c r="AG99" s="770"/>
      <c r="AH99" s="770"/>
      <c r="AI99" s="770"/>
      <c r="AJ99" s="770"/>
      <c r="AK99" s="770"/>
      <c r="AL99" s="770"/>
      <c r="AM99" s="770"/>
      <c r="AN99" s="770"/>
      <c r="AO99" s="770"/>
      <c r="AP99" s="770"/>
      <c r="AQ99" s="770"/>
      <c r="AR99" s="770"/>
      <c r="AS99" s="770"/>
      <c r="AT99" s="770"/>
      <c r="AU99" s="770"/>
      <c r="AV99" s="770"/>
      <c r="AW99" s="770"/>
      <c r="AX99" s="770"/>
      <c r="AY99" s="770"/>
      <c r="AZ99" s="770"/>
      <c r="BA99" s="770"/>
      <c r="BB99" s="770"/>
      <c r="BC99" s="770"/>
      <c r="BD99" s="770"/>
      <c r="BE99" s="770"/>
      <c r="BF99" s="770"/>
      <c r="BG99" s="770"/>
      <c r="BH99" s="770"/>
      <c r="BI99" s="770"/>
      <c r="BJ99" s="770"/>
      <c r="BK99" s="770"/>
      <c r="BL99" s="770"/>
      <c r="BM99" s="770"/>
      <c r="BN99" s="770"/>
      <c r="BO99" s="770"/>
      <c r="BP99" s="770"/>
      <c r="BQ99" s="770"/>
      <c r="BR99" s="770"/>
      <c r="BS99" s="770"/>
      <c r="BT99" s="770"/>
      <c r="BU99" s="770"/>
      <c r="BV99" s="770"/>
      <c r="BW99" s="770"/>
      <c r="BX99" s="770"/>
      <c r="BY99" s="770"/>
      <c r="BZ99" s="770"/>
      <c r="CA99" s="770"/>
      <c r="CB99" s="770"/>
    </row>
    <row r="100" spans="1:80">
      <c r="A100" s="770"/>
      <c r="B100" s="770"/>
      <c r="C100" s="770"/>
      <c r="D100" s="770"/>
      <c r="E100" s="770"/>
      <c r="F100" s="770"/>
      <c r="G100" s="770"/>
      <c r="H100" s="770"/>
      <c r="I100" s="770"/>
      <c r="J100" s="770"/>
      <c r="K100" s="770"/>
      <c r="L100" s="876"/>
      <c r="M100" s="770"/>
      <c r="N100" s="770"/>
      <c r="O100" s="770"/>
      <c r="P100" s="770"/>
      <c r="Q100" s="770"/>
      <c r="R100" s="770"/>
      <c r="S100" s="770"/>
      <c r="T100" s="770"/>
      <c r="U100" s="770"/>
      <c r="V100" s="770"/>
      <c r="W100" s="770"/>
      <c r="X100" s="770"/>
      <c r="Y100" s="770"/>
      <c r="Z100" s="770"/>
      <c r="AA100" s="770"/>
      <c r="AB100" s="770"/>
      <c r="AC100" s="770"/>
      <c r="AD100" s="770"/>
      <c r="AE100" s="770"/>
      <c r="AF100" s="770"/>
      <c r="AG100" s="770"/>
      <c r="AH100" s="770"/>
      <c r="AI100" s="770"/>
      <c r="AJ100" s="770"/>
      <c r="AK100" s="770"/>
      <c r="AL100" s="770"/>
      <c r="AM100" s="770"/>
      <c r="AN100" s="770"/>
      <c r="AO100" s="770"/>
      <c r="AP100" s="770"/>
      <c r="AQ100" s="770"/>
      <c r="AR100" s="770"/>
      <c r="AS100" s="770"/>
      <c r="AT100" s="770"/>
      <c r="AU100" s="770"/>
      <c r="AV100" s="770"/>
      <c r="AW100" s="770"/>
      <c r="AX100" s="770"/>
      <c r="AY100" s="770"/>
      <c r="AZ100" s="770"/>
      <c r="BA100" s="770"/>
      <c r="BB100" s="770"/>
      <c r="BC100" s="770"/>
      <c r="BD100" s="770"/>
      <c r="BE100" s="770"/>
      <c r="BF100" s="770"/>
      <c r="BG100" s="770"/>
      <c r="BH100" s="770"/>
      <c r="BI100" s="770"/>
      <c r="BJ100" s="770"/>
      <c r="BK100" s="770"/>
      <c r="BL100" s="770"/>
      <c r="BM100" s="770"/>
      <c r="BN100" s="770"/>
      <c r="BO100" s="770"/>
      <c r="BP100" s="770"/>
      <c r="BQ100" s="770"/>
      <c r="BR100" s="770"/>
      <c r="BS100" s="770"/>
      <c r="BT100" s="770"/>
      <c r="BU100" s="770"/>
      <c r="BV100" s="770"/>
      <c r="BW100" s="770"/>
      <c r="BX100" s="770"/>
      <c r="BY100" s="770"/>
      <c r="BZ100" s="770"/>
      <c r="CA100" s="770"/>
      <c r="CB100" s="770"/>
    </row>
    <row r="101" spans="1:80">
      <c r="A101" s="770"/>
      <c r="B101" s="770"/>
      <c r="C101" s="770"/>
      <c r="D101" s="770"/>
      <c r="E101" s="770"/>
      <c r="F101" s="770"/>
      <c r="G101" s="770"/>
      <c r="H101" s="770"/>
      <c r="I101" s="770"/>
      <c r="J101" s="770"/>
      <c r="K101" s="770"/>
      <c r="L101" s="876"/>
      <c r="M101" s="770"/>
      <c r="N101" s="770"/>
      <c r="O101" s="770"/>
      <c r="P101" s="770"/>
      <c r="Q101" s="770"/>
      <c r="R101" s="770"/>
      <c r="S101" s="770"/>
      <c r="T101" s="770"/>
      <c r="U101" s="770"/>
      <c r="V101" s="770"/>
      <c r="W101" s="770"/>
      <c r="X101" s="770"/>
      <c r="Y101" s="770"/>
      <c r="Z101" s="770"/>
      <c r="AA101" s="770"/>
      <c r="AB101" s="770"/>
      <c r="AC101" s="770"/>
      <c r="AD101" s="770"/>
      <c r="AE101" s="770"/>
      <c r="AF101" s="770"/>
      <c r="AG101" s="770"/>
      <c r="AH101" s="770"/>
      <c r="AI101" s="770"/>
      <c r="AJ101" s="770"/>
      <c r="AK101" s="770"/>
      <c r="AL101" s="770"/>
      <c r="AM101" s="770"/>
      <c r="AN101" s="770"/>
      <c r="AO101" s="770"/>
      <c r="AP101" s="770"/>
      <c r="AQ101" s="770"/>
      <c r="AR101" s="770"/>
      <c r="AS101" s="770"/>
      <c r="AT101" s="770"/>
      <c r="AU101" s="770"/>
      <c r="AV101" s="770"/>
      <c r="AW101" s="770"/>
      <c r="AX101" s="770"/>
      <c r="AY101" s="770"/>
      <c r="AZ101" s="770"/>
      <c r="BA101" s="770"/>
      <c r="BB101" s="770"/>
      <c r="BC101" s="770"/>
      <c r="BD101" s="770"/>
      <c r="BE101" s="770"/>
      <c r="BF101" s="770"/>
      <c r="BG101" s="770"/>
      <c r="BH101" s="770"/>
      <c r="BI101" s="770"/>
      <c r="BJ101" s="770"/>
      <c r="BK101" s="770"/>
      <c r="BL101" s="770"/>
      <c r="BM101" s="770"/>
      <c r="BN101" s="770"/>
      <c r="BO101" s="770"/>
      <c r="BP101" s="770"/>
      <c r="BQ101" s="770"/>
      <c r="BR101" s="770"/>
      <c r="BS101" s="770"/>
      <c r="BT101" s="770"/>
      <c r="BU101" s="770"/>
      <c r="BV101" s="770"/>
      <c r="BW101" s="770"/>
      <c r="BX101" s="770"/>
      <c r="BY101" s="770"/>
      <c r="BZ101" s="770"/>
      <c r="CA101" s="770"/>
      <c r="CB101" s="770"/>
    </row>
    <row r="102" spans="1:80">
      <c r="A102" s="770"/>
      <c r="B102" s="770"/>
      <c r="C102" s="770"/>
      <c r="D102" s="770"/>
      <c r="E102" s="770"/>
      <c r="F102" s="770"/>
      <c r="G102" s="770"/>
      <c r="H102" s="770"/>
      <c r="I102" s="770"/>
      <c r="J102" s="770"/>
      <c r="K102" s="770"/>
      <c r="L102" s="876"/>
      <c r="M102" s="770"/>
      <c r="N102" s="770"/>
      <c r="O102" s="770"/>
      <c r="P102" s="770"/>
      <c r="Q102" s="770"/>
      <c r="R102" s="770"/>
      <c r="S102" s="770"/>
      <c r="T102" s="770"/>
      <c r="U102" s="770"/>
      <c r="V102" s="770"/>
      <c r="W102" s="770"/>
      <c r="X102" s="770"/>
      <c r="Y102" s="770"/>
      <c r="Z102" s="770"/>
      <c r="AA102" s="770"/>
      <c r="AB102" s="770"/>
      <c r="AC102" s="770"/>
      <c r="AD102" s="770"/>
      <c r="AE102" s="770"/>
      <c r="AF102" s="770"/>
      <c r="AG102" s="770"/>
      <c r="AH102" s="770"/>
      <c r="AI102" s="770"/>
      <c r="AJ102" s="770"/>
      <c r="AK102" s="770"/>
      <c r="AL102" s="770"/>
      <c r="AM102" s="770"/>
      <c r="AN102" s="770"/>
      <c r="AO102" s="770"/>
      <c r="AP102" s="770"/>
      <c r="AQ102" s="770"/>
      <c r="AR102" s="770"/>
      <c r="AS102" s="770"/>
      <c r="AT102" s="770"/>
      <c r="AU102" s="770"/>
      <c r="AV102" s="770"/>
      <c r="AW102" s="770"/>
      <c r="AX102" s="770"/>
      <c r="AY102" s="770"/>
      <c r="AZ102" s="770"/>
      <c r="BA102" s="770"/>
      <c r="BB102" s="770"/>
      <c r="BC102" s="770"/>
      <c r="BD102" s="770"/>
      <c r="BE102" s="770"/>
      <c r="BF102" s="770"/>
      <c r="BG102" s="770"/>
      <c r="BH102" s="770"/>
      <c r="BI102" s="770"/>
      <c r="BJ102" s="770"/>
      <c r="BK102" s="770"/>
      <c r="BL102" s="770"/>
      <c r="BM102" s="770"/>
      <c r="BN102" s="770"/>
      <c r="BO102" s="770"/>
      <c r="BP102" s="770"/>
      <c r="BQ102" s="770"/>
      <c r="BR102" s="770"/>
      <c r="BS102" s="770"/>
      <c r="BT102" s="770"/>
      <c r="BU102" s="770"/>
      <c r="BV102" s="770"/>
      <c r="BW102" s="770"/>
      <c r="BX102" s="770"/>
      <c r="BY102" s="770"/>
      <c r="BZ102" s="770"/>
      <c r="CA102" s="770"/>
      <c r="CB102" s="770"/>
    </row>
    <row r="103" spans="1:80">
      <c r="A103" s="770"/>
      <c r="B103" s="770"/>
      <c r="C103" s="770"/>
      <c r="D103" s="770"/>
      <c r="E103" s="770"/>
      <c r="F103" s="770"/>
      <c r="G103" s="770"/>
      <c r="H103" s="770"/>
      <c r="I103" s="770"/>
      <c r="J103" s="770"/>
      <c r="K103" s="770"/>
      <c r="L103" s="876"/>
      <c r="M103" s="770"/>
      <c r="N103" s="770"/>
      <c r="O103" s="770"/>
      <c r="P103" s="770"/>
      <c r="Q103" s="770"/>
      <c r="R103" s="770"/>
      <c r="S103" s="770"/>
      <c r="T103" s="770"/>
      <c r="U103" s="770"/>
      <c r="V103" s="770"/>
      <c r="W103" s="770"/>
      <c r="X103" s="770"/>
      <c r="Y103" s="770"/>
      <c r="Z103" s="770"/>
      <c r="AA103" s="770"/>
      <c r="AB103" s="770"/>
      <c r="AC103" s="770"/>
      <c r="AD103" s="770"/>
      <c r="AE103" s="770"/>
      <c r="AF103" s="770"/>
      <c r="AG103" s="770"/>
      <c r="AH103" s="770"/>
      <c r="AI103" s="770"/>
      <c r="AJ103" s="770"/>
      <c r="AK103" s="770"/>
      <c r="AL103" s="770"/>
      <c r="AM103" s="770"/>
      <c r="AN103" s="770"/>
      <c r="AO103" s="770"/>
      <c r="AP103" s="770"/>
      <c r="AQ103" s="770"/>
      <c r="AR103" s="770"/>
      <c r="AS103" s="770"/>
      <c r="AT103" s="770"/>
      <c r="AU103" s="770"/>
      <c r="AV103" s="770"/>
      <c r="AW103" s="770"/>
      <c r="AX103" s="770"/>
      <c r="AY103" s="770"/>
      <c r="AZ103" s="770"/>
      <c r="BA103" s="770"/>
      <c r="BB103" s="770"/>
      <c r="BC103" s="770"/>
      <c r="BD103" s="770"/>
      <c r="BE103" s="770"/>
      <c r="BF103" s="770"/>
      <c r="BG103" s="770"/>
      <c r="BH103" s="770"/>
      <c r="BI103" s="770"/>
      <c r="BJ103" s="770"/>
      <c r="BK103" s="770"/>
      <c r="BL103" s="770"/>
      <c r="BM103" s="770"/>
      <c r="BN103" s="770"/>
      <c r="BO103" s="770"/>
      <c r="BP103" s="770"/>
      <c r="BQ103" s="770"/>
      <c r="BR103" s="770"/>
      <c r="BS103" s="770"/>
      <c r="BT103" s="770"/>
      <c r="BU103" s="770"/>
      <c r="BV103" s="770"/>
      <c r="BW103" s="770"/>
      <c r="BX103" s="770"/>
      <c r="BY103" s="770"/>
      <c r="BZ103" s="770"/>
      <c r="CA103" s="770"/>
      <c r="CB103" s="770"/>
    </row>
    <row r="104" spans="1:80">
      <c r="A104" s="770"/>
      <c r="B104" s="770"/>
      <c r="C104" s="770"/>
      <c r="D104" s="770"/>
      <c r="E104" s="770"/>
      <c r="F104" s="770"/>
      <c r="G104" s="770"/>
      <c r="H104" s="770"/>
      <c r="I104" s="770"/>
      <c r="J104" s="770"/>
      <c r="K104" s="770"/>
      <c r="L104" s="876"/>
      <c r="M104" s="770"/>
      <c r="N104" s="770"/>
      <c r="O104" s="770"/>
      <c r="P104" s="770"/>
      <c r="Q104" s="770"/>
      <c r="R104" s="770"/>
      <c r="S104" s="770"/>
      <c r="T104" s="770"/>
      <c r="U104" s="770"/>
      <c r="V104" s="770"/>
      <c r="W104" s="770"/>
      <c r="X104" s="770"/>
      <c r="Y104" s="770"/>
      <c r="Z104" s="770"/>
      <c r="AA104" s="770"/>
      <c r="AB104" s="770"/>
      <c r="AC104" s="770"/>
      <c r="AD104" s="770"/>
      <c r="AE104" s="770"/>
      <c r="AF104" s="770"/>
      <c r="AG104" s="770"/>
      <c r="AH104" s="770"/>
      <c r="AI104" s="770"/>
      <c r="AJ104" s="770"/>
      <c r="AK104" s="770"/>
      <c r="AL104" s="770"/>
      <c r="AM104" s="770"/>
      <c r="AN104" s="770"/>
      <c r="AO104" s="770"/>
      <c r="AP104" s="770"/>
      <c r="AQ104" s="770"/>
      <c r="AR104" s="770"/>
      <c r="AS104" s="770"/>
      <c r="AT104" s="770"/>
      <c r="AU104" s="770"/>
      <c r="AV104" s="770"/>
      <c r="AW104" s="770"/>
      <c r="AX104" s="770"/>
      <c r="AY104" s="770"/>
      <c r="AZ104" s="770"/>
      <c r="BA104" s="770"/>
      <c r="BB104" s="770"/>
      <c r="BC104" s="770"/>
      <c r="BD104" s="770"/>
      <c r="BE104" s="770"/>
      <c r="BF104" s="770"/>
      <c r="BG104" s="770"/>
      <c r="BH104" s="770"/>
      <c r="BI104" s="770"/>
      <c r="BJ104" s="770"/>
      <c r="BK104" s="770"/>
      <c r="BL104" s="770"/>
      <c r="BM104" s="770"/>
      <c r="BN104" s="770"/>
      <c r="BO104" s="770"/>
      <c r="BP104" s="770"/>
      <c r="BQ104" s="770"/>
      <c r="BR104" s="770"/>
      <c r="BS104" s="770"/>
      <c r="BT104" s="770"/>
      <c r="BU104" s="770"/>
      <c r="BV104" s="770"/>
      <c r="BW104" s="770"/>
      <c r="BX104" s="770"/>
      <c r="BY104" s="770"/>
      <c r="BZ104" s="770"/>
      <c r="CA104" s="770"/>
      <c r="CB104" s="770"/>
    </row>
    <row r="105" spans="1:80">
      <c r="A105" s="770"/>
      <c r="B105" s="770"/>
      <c r="C105" s="770"/>
      <c r="D105" s="770"/>
      <c r="E105" s="770"/>
      <c r="F105" s="770"/>
      <c r="G105" s="770"/>
      <c r="H105" s="770"/>
      <c r="I105" s="770"/>
      <c r="J105" s="770"/>
      <c r="K105" s="770"/>
      <c r="L105" s="876"/>
      <c r="M105" s="770"/>
      <c r="N105" s="770"/>
      <c r="O105" s="770"/>
      <c r="P105" s="770"/>
      <c r="Q105" s="770"/>
      <c r="R105" s="770"/>
      <c r="S105" s="770"/>
      <c r="T105" s="770"/>
      <c r="U105" s="770"/>
      <c r="V105" s="770"/>
      <c r="W105" s="770"/>
      <c r="X105" s="770"/>
      <c r="Y105" s="770"/>
      <c r="Z105" s="770"/>
      <c r="AA105" s="770"/>
      <c r="AB105" s="770"/>
      <c r="AC105" s="770"/>
      <c r="AD105" s="770"/>
      <c r="AE105" s="770"/>
      <c r="AF105" s="770"/>
      <c r="AG105" s="770"/>
      <c r="AH105" s="770"/>
      <c r="AI105" s="770"/>
      <c r="AJ105" s="770"/>
      <c r="AK105" s="770"/>
      <c r="AL105" s="770"/>
      <c r="AM105" s="770"/>
      <c r="AN105" s="770"/>
      <c r="AO105" s="770"/>
      <c r="AP105" s="770"/>
      <c r="AQ105" s="770"/>
      <c r="AR105" s="770"/>
      <c r="AS105" s="770"/>
      <c r="AT105" s="770"/>
      <c r="AU105" s="770"/>
      <c r="AV105" s="770"/>
      <c r="AW105" s="770"/>
      <c r="AX105" s="770"/>
      <c r="AY105" s="770"/>
      <c r="AZ105" s="770"/>
      <c r="BA105" s="770"/>
      <c r="BB105" s="770"/>
      <c r="BC105" s="770"/>
      <c r="BD105" s="770"/>
      <c r="BE105" s="770"/>
      <c r="BF105" s="770"/>
      <c r="BG105" s="770"/>
      <c r="BH105" s="770"/>
      <c r="BI105" s="770"/>
      <c r="BJ105" s="770"/>
      <c r="BK105" s="770"/>
      <c r="BL105" s="770"/>
      <c r="BM105" s="770"/>
      <c r="BN105" s="770"/>
      <c r="BO105" s="770"/>
      <c r="BP105" s="770"/>
      <c r="BQ105" s="770"/>
      <c r="BR105" s="770"/>
      <c r="BS105" s="770"/>
      <c r="BT105" s="770"/>
      <c r="BU105" s="770"/>
      <c r="BV105" s="770"/>
      <c r="BW105" s="770"/>
      <c r="BX105" s="770"/>
      <c r="BY105" s="770"/>
      <c r="BZ105" s="770"/>
      <c r="CA105" s="770"/>
      <c r="CB105" s="770"/>
    </row>
    <row r="106" spans="1:80">
      <c r="A106" s="770"/>
      <c r="B106" s="770"/>
      <c r="C106" s="770"/>
      <c r="D106" s="770"/>
      <c r="E106" s="770"/>
      <c r="F106" s="770"/>
      <c r="G106" s="770"/>
      <c r="H106" s="770"/>
      <c r="I106" s="770"/>
      <c r="J106" s="770"/>
      <c r="K106" s="770"/>
      <c r="L106" s="876"/>
      <c r="M106" s="770"/>
      <c r="N106" s="770"/>
      <c r="O106" s="770"/>
      <c r="P106" s="770"/>
      <c r="Q106" s="770"/>
      <c r="R106" s="770"/>
      <c r="S106" s="770"/>
      <c r="T106" s="770"/>
      <c r="U106" s="770"/>
      <c r="V106" s="770"/>
      <c r="W106" s="770"/>
      <c r="X106" s="770"/>
      <c r="Y106" s="770"/>
      <c r="Z106" s="770"/>
      <c r="AA106" s="770"/>
      <c r="AB106" s="770"/>
      <c r="AC106" s="770"/>
      <c r="AD106" s="770"/>
      <c r="AE106" s="770"/>
      <c r="AF106" s="770"/>
      <c r="AG106" s="770"/>
      <c r="AH106" s="770"/>
      <c r="AI106" s="770"/>
      <c r="AJ106" s="770"/>
      <c r="AK106" s="770"/>
      <c r="AL106" s="770"/>
      <c r="AM106" s="770"/>
      <c r="AN106" s="770"/>
      <c r="AO106" s="770"/>
      <c r="AP106" s="770"/>
      <c r="AQ106" s="770"/>
      <c r="AR106" s="770"/>
      <c r="AS106" s="770"/>
      <c r="AT106" s="770"/>
      <c r="AU106" s="770"/>
      <c r="AV106" s="770"/>
      <c r="AW106" s="770"/>
      <c r="AX106" s="770"/>
      <c r="AY106" s="770"/>
      <c r="AZ106" s="770"/>
      <c r="BA106" s="770"/>
      <c r="BB106" s="770"/>
      <c r="BC106" s="770"/>
      <c r="BD106" s="770"/>
      <c r="BE106" s="770"/>
      <c r="BF106" s="770"/>
      <c r="BG106" s="770"/>
      <c r="BH106" s="770"/>
      <c r="BI106" s="770"/>
      <c r="BJ106" s="770"/>
      <c r="BK106" s="770"/>
      <c r="BL106" s="770"/>
      <c r="BM106" s="770"/>
      <c r="BN106" s="770"/>
      <c r="BO106" s="770"/>
      <c r="BP106" s="770"/>
      <c r="BQ106" s="770"/>
      <c r="BR106" s="770"/>
      <c r="BS106" s="770"/>
      <c r="BT106" s="770"/>
      <c r="BU106" s="770"/>
      <c r="BV106" s="770"/>
      <c r="BW106" s="770"/>
      <c r="BX106" s="770"/>
      <c r="BY106" s="770"/>
      <c r="BZ106" s="770"/>
      <c r="CA106" s="770"/>
      <c r="CB106" s="770"/>
    </row>
    <row r="107" spans="1:80">
      <c r="A107" s="770"/>
      <c r="B107" s="770"/>
      <c r="C107" s="770"/>
      <c r="D107" s="770"/>
      <c r="E107" s="770"/>
      <c r="F107" s="770"/>
      <c r="G107" s="770"/>
      <c r="H107" s="770"/>
      <c r="I107" s="770"/>
      <c r="J107" s="770"/>
      <c r="K107" s="770"/>
      <c r="L107" s="876"/>
      <c r="M107" s="770"/>
      <c r="N107" s="770"/>
      <c r="O107" s="770"/>
      <c r="P107" s="770"/>
      <c r="Q107" s="770"/>
      <c r="R107" s="770"/>
      <c r="S107" s="770"/>
      <c r="T107" s="770"/>
      <c r="U107" s="770"/>
      <c r="V107" s="770"/>
      <c r="W107" s="770"/>
      <c r="X107" s="770"/>
      <c r="Y107" s="770"/>
      <c r="Z107" s="770"/>
      <c r="AA107" s="770"/>
      <c r="AB107" s="770"/>
      <c r="AC107" s="770"/>
      <c r="AD107" s="770"/>
      <c r="AE107" s="770"/>
      <c r="AF107" s="770"/>
      <c r="AG107" s="770"/>
      <c r="AH107" s="770"/>
      <c r="AI107" s="770"/>
      <c r="AJ107" s="770"/>
      <c r="AK107" s="770"/>
      <c r="AL107" s="770"/>
      <c r="AM107" s="770"/>
      <c r="AN107" s="770"/>
      <c r="AO107" s="770"/>
      <c r="AP107" s="770"/>
      <c r="AQ107" s="770"/>
      <c r="AR107" s="770"/>
      <c r="AS107" s="770"/>
      <c r="AT107" s="770"/>
      <c r="AU107" s="770"/>
      <c r="AV107" s="770"/>
      <c r="AW107" s="770"/>
      <c r="AX107" s="770"/>
      <c r="AY107" s="770"/>
      <c r="AZ107" s="770"/>
      <c r="BA107" s="770"/>
      <c r="BB107" s="770"/>
      <c r="BC107" s="770"/>
      <c r="BD107" s="770"/>
      <c r="BE107" s="770"/>
      <c r="BF107" s="770"/>
      <c r="BG107" s="770"/>
      <c r="BH107" s="770"/>
      <c r="BI107" s="770"/>
      <c r="BJ107" s="770"/>
      <c r="BK107" s="770"/>
      <c r="BL107" s="770"/>
      <c r="BM107" s="770"/>
      <c r="BN107" s="770"/>
      <c r="BO107" s="770"/>
      <c r="BP107" s="770"/>
      <c r="BQ107" s="770"/>
      <c r="BR107" s="770"/>
      <c r="BS107" s="770"/>
      <c r="BT107" s="770"/>
      <c r="BU107" s="770"/>
      <c r="BV107" s="770"/>
      <c r="BW107" s="770"/>
      <c r="BX107" s="770"/>
      <c r="BY107" s="770"/>
      <c r="BZ107" s="770"/>
      <c r="CA107" s="770"/>
      <c r="CB107" s="770"/>
    </row>
    <row r="108" spans="1:80">
      <c r="A108" s="770"/>
      <c r="B108" s="770"/>
      <c r="C108" s="770"/>
      <c r="D108" s="770"/>
      <c r="E108" s="770"/>
      <c r="F108" s="770"/>
      <c r="G108" s="770"/>
      <c r="H108" s="770"/>
      <c r="I108" s="770"/>
      <c r="J108" s="770"/>
      <c r="K108" s="770"/>
      <c r="L108" s="876"/>
      <c r="M108" s="770"/>
      <c r="N108" s="770"/>
      <c r="O108" s="770"/>
      <c r="P108" s="770"/>
      <c r="Q108" s="770"/>
      <c r="R108" s="770"/>
      <c r="S108" s="770"/>
      <c r="T108" s="770"/>
      <c r="U108" s="770"/>
      <c r="V108" s="770"/>
      <c r="W108" s="770"/>
      <c r="X108" s="770"/>
      <c r="Y108" s="770"/>
      <c r="Z108" s="770"/>
      <c r="AA108" s="770"/>
      <c r="AB108" s="770"/>
      <c r="AC108" s="770"/>
      <c r="AD108" s="770"/>
      <c r="AE108" s="770"/>
      <c r="AF108" s="770"/>
      <c r="AG108" s="770"/>
      <c r="AH108" s="770"/>
      <c r="AI108" s="770"/>
      <c r="AJ108" s="770"/>
      <c r="AK108" s="770"/>
      <c r="AL108" s="770"/>
      <c r="AM108" s="770"/>
      <c r="AN108" s="770"/>
      <c r="AO108" s="770"/>
      <c r="AP108" s="770"/>
      <c r="AQ108" s="770"/>
      <c r="AR108" s="770"/>
      <c r="AS108" s="770"/>
      <c r="AT108" s="770"/>
      <c r="AU108" s="770"/>
      <c r="AV108" s="770"/>
      <c r="AW108" s="770"/>
      <c r="AX108" s="770"/>
      <c r="AY108" s="770"/>
      <c r="AZ108" s="770"/>
      <c r="BA108" s="770"/>
      <c r="BB108" s="770"/>
      <c r="BC108" s="770"/>
      <c r="BD108" s="770"/>
      <c r="BE108" s="770"/>
      <c r="BF108" s="770"/>
      <c r="BG108" s="770"/>
      <c r="BH108" s="770"/>
      <c r="BI108" s="770"/>
      <c r="BJ108" s="770"/>
      <c r="BK108" s="770"/>
      <c r="BL108" s="770"/>
      <c r="BM108" s="770"/>
      <c r="BN108" s="770"/>
      <c r="BO108" s="770"/>
      <c r="BP108" s="770"/>
      <c r="BQ108" s="770"/>
      <c r="BR108" s="770"/>
      <c r="BS108" s="770"/>
      <c r="BT108" s="770"/>
      <c r="BU108" s="770"/>
      <c r="BV108" s="770"/>
      <c r="BW108" s="770"/>
      <c r="BX108" s="770"/>
      <c r="BY108" s="770"/>
      <c r="BZ108" s="770"/>
      <c r="CA108" s="770"/>
      <c r="CB108" s="770"/>
    </row>
    <row r="109" spans="1:80">
      <c r="A109" s="770"/>
      <c r="B109" s="770"/>
      <c r="C109" s="770"/>
      <c r="D109" s="770"/>
      <c r="E109" s="770"/>
      <c r="F109" s="770"/>
      <c r="G109" s="770"/>
      <c r="H109" s="770"/>
      <c r="I109" s="770"/>
      <c r="J109" s="770"/>
      <c r="K109" s="770"/>
      <c r="L109" s="876"/>
      <c r="M109" s="770"/>
      <c r="N109" s="770"/>
      <c r="O109" s="770"/>
      <c r="P109" s="770"/>
      <c r="Q109" s="770"/>
      <c r="R109" s="770"/>
      <c r="S109" s="770"/>
      <c r="T109" s="770"/>
      <c r="U109" s="770"/>
      <c r="V109" s="770"/>
      <c r="W109" s="770"/>
      <c r="X109" s="770"/>
      <c r="Y109" s="770"/>
      <c r="Z109" s="770"/>
      <c r="AA109" s="770"/>
      <c r="AB109" s="770"/>
      <c r="AC109" s="770"/>
      <c r="AD109" s="770"/>
      <c r="AE109" s="770"/>
      <c r="AF109" s="770"/>
      <c r="AG109" s="770"/>
      <c r="AH109" s="770"/>
      <c r="AI109" s="770"/>
      <c r="AJ109" s="770"/>
      <c r="AK109" s="770"/>
      <c r="AL109" s="770"/>
      <c r="AM109" s="770"/>
      <c r="AN109" s="770"/>
      <c r="AO109" s="770"/>
      <c r="AP109" s="770"/>
      <c r="AQ109" s="770"/>
      <c r="AR109" s="770"/>
      <c r="AS109" s="770"/>
      <c r="AT109" s="770"/>
      <c r="AU109" s="770"/>
      <c r="AV109" s="770"/>
      <c r="AW109" s="770"/>
      <c r="AX109" s="770"/>
      <c r="AY109" s="770"/>
      <c r="AZ109" s="770"/>
      <c r="BA109" s="770"/>
      <c r="BB109" s="770"/>
      <c r="BC109" s="770"/>
      <c r="BD109" s="770"/>
      <c r="BE109" s="770"/>
      <c r="BF109" s="770"/>
      <c r="BG109" s="770"/>
      <c r="BH109" s="770"/>
      <c r="BI109" s="770"/>
      <c r="BJ109" s="770"/>
      <c r="BK109" s="770"/>
      <c r="BL109" s="770"/>
      <c r="BM109" s="770"/>
      <c r="BN109" s="770"/>
      <c r="BO109" s="770"/>
      <c r="BP109" s="770"/>
      <c r="BQ109" s="770"/>
      <c r="BR109" s="770"/>
      <c r="BS109" s="770"/>
      <c r="BT109" s="770"/>
      <c r="BU109" s="770"/>
      <c r="BV109" s="770"/>
      <c r="BW109" s="770"/>
      <c r="BX109" s="770"/>
      <c r="BY109" s="770"/>
      <c r="BZ109" s="770"/>
      <c r="CA109" s="770"/>
      <c r="CB109" s="770"/>
    </row>
    <row r="110" spans="1:80">
      <c r="A110" s="770"/>
      <c r="B110" s="770"/>
      <c r="C110" s="770"/>
      <c r="D110" s="770"/>
      <c r="E110" s="770"/>
      <c r="F110" s="770"/>
      <c r="G110" s="770"/>
      <c r="H110" s="770"/>
      <c r="I110" s="770"/>
      <c r="J110" s="770"/>
      <c r="K110" s="770"/>
      <c r="L110" s="876"/>
      <c r="M110" s="770"/>
      <c r="N110" s="770"/>
      <c r="O110" s="770"/>
      <c r="P110" s="770"/>
      <c r="Q110" s="770"/>
      <c r="R110" s="770"/>
      <c r="S110" s="770"/>
      <c r="T110" s="770"/>
      <c r="U110" s="770"/>
      <c r="V110" s="770"/>
      <c r="W110" s="770"/>
      <c r="X110" s="770"/>
      <c r="Y110" s="770"/>
      <c r="Z110" s="770"/>
      <c r="AA110" s="770"/>
      <c r="AB110" s="770"/>
      <c r="AC110" s="770"/>
      <c r="AD110" s="770"/>
      <c r="AE110" s="770"/>
      <c r="AF110" s="770"/>
      <c r="AG110" s="770"/>
      <c r="AH110" s="770"/>
      <c r="AI110" s="770"/>
      <c r="AJ110" s="770"/>
      <c r="AK110" s="770"/>
      <c r="AL110" s="770"/>
      <c r="AM110" s="770"/>
      <c r="AN110" s="770"/>
      <c r="AO110" s="770"/>
      <c r="AP110" s="770"/>
      <c r="AQ110" s="770"/>
      <c r="AR110" s="770"/>
      <c r="AS110" s="770"/>
      <c r="AT110" s="770"/>
      <c r="AU110" s="770"/>
      <c r="AV110" s="770"/>
      <c r="AW110" s="770"/>
      <c r="AX110" s="770"/>
      <c r="AY110" s="770"/>
      <c r="AZ110" s="770"/>
      <c r="BA110" s="770"/>
      <c r="BB110" s="770"/>
      <c r="BC110" s="770"/>
      <c r="BD110" s="770"/>
      <c r="BE110" s="770"/>
      <c r="BF110" s="770"/>
      <c r="BG110" s="770"/>
      <c r="BH110" s="770"/>
      <c r="BI110" s="770"/>
      <c r="BJ110" s="770"/>
      <c r="BK110" s="770"/>
      <c r="BL110" s="770"/>
      <c r="BM110" s="770"/>
      <c r="BN110" s="770"/>
      <c r="BO110" s="770"/>
      <c r="BP110" s="770"/>
      <c r="BQ110" s="770"/>
      <c r="BR110" s="770"/>
      <c r="BS110" s="770"/>
      <c r="BT110" s="770"/>
      <c r="BU110" s="770"/>
      <c r="BV110" s="770"/>
      <c r="BW110" s="770"/>
      <c r="BX110" s="770"/>
      <c r="BY110" s="770"/>
      <c r="BZ110" s="770"/>
      <c r="CA110" s="770"/>
      <c r="CB110" s="770"/>
    </row>
    <row r="111" spans="1:80">
      <c r="A111" s="770"/>
      <c r="B111" s="770"/>
      <c r="C111" s="770"/>
      <c r="D111" s="770"/>
      <c r="E111" s="770"/>
      <c r="F111" s="770"/>
      <c r="G111" s="770"/>
      <c r="H111" s="770"/>
      <c r="I111" s="770"/>
      <c r="J111" s="770"/>
      <c r="K111" s="770"/>
      <c r="L111" s="876"/>
      <c r="M111" s="770"/>
      <c r="N111" s="770"/>
      <c r="O111" s="770"/>
      <c r="P111" s="770"/>
      <c r="Q111" s="770"/>
      <c r="R111" s="770"/>
      <c r="S111" s="770"/>
      <c r="T111" s="770"/>
      <c r="U111" s="770"/>
      <c r="V111" s="770"/>
      <c r="W111" s="770"/>
      <c r="X111" s="770"/>
      <c r="Y111" s="770"/>
      <c r="Z111" s="770"/>
      <c r="AA111" s="770"/>
      <c r="AB111" s="770"/>
      <c r="AC111" s="770"/>
      <c r="AD111" s="770"/>
      <c r="AE111" s="770"/>
      <c r="AF111" s="770"/>
      <c r="AG111" s="770"/>
      <c r="AH111" s="770"/>
      <c r="AI111" s="770"/>
      <c r="AJ111" s="770"/>
      <c r="AK111" s="770"/>
      <c r="AL111" s="770"/>
      <c r="AM111" s="770"/>
      <c r="AN111" s="770"/>
      <c r="AO111" s="770"/>
      <c r="AP111" s="770"/>
      <c r="AQ111" s="770"/>
      <c r="AR111" s="770"/>
      <c r="AS111" s="770"/>
      <c r="AT111" s="770"/>
      <c r="AU111" s="770"/>
      <c r="AV111" s="770"/>
      <c r="AW111" s="770"/>
      <c r="AX111" s="770"/>
      <c r="AY111" s="770"/>
      <c r="AZ111" s="770"/>
      <c r="BA111" s="770"/>
      <c r="BB111" s="770"/>
      <c r="BC111" s="770"/>
      <c r="BD111" s="770"/>
      <c r="BE111" s="770"/>
      <c r="BF111" s="770"/>
      <c r="BG111" s="770"/>
      <c r="BH111" s="770"/>
      <c r="BI111" s="770"/>
      <c r="BJ111" s="770"/>
      <c r="BK111" s="770"/>
      <c r="BL111" s="770"/>
      <c r="BM111" s="770"/>
      <c r="BN111" s="770"/>
      <c r="BO111" s="770"/>
      <c r="BP111" s="770"/>
      <c r="BQ111" s="770"/>
      <c r="BR111" s="770"/>
      <c r="BS111" s="770"/>
      <c r="BT111" s="770"/>
      <c r="BU111" s="770"/>
      <c r="BV111" s="770"/>
      <c r="BW111" s="770"/>
      <c r="BX111" s="770"/>
      <c r="BY111" s="770"/>
      <c r="BZ111" s="770"/>
      <c r="CA111" s="770"/>
      <c r="CB111" s="770"/>
    </row>
    <row r="112" spans="1:80">
      <c r="A112" s="770"/>
      <c r="B112" s="770"/>
      <c r="C112" s="770"/>
      <c r="D112" s="770"/>
      <c r="E112" s="770"/>
      <c r="F112" s="770"/>
      <c r="G112" s="770"/>
      <c r="H112" s="770"/>
      <c r="I112" s="770"/>
      <c r="J112" s="770"/>
      <c r="K112" s="770"/>
      <c r="L112" s="876"/>
      <c r="M112" s="770"/>
      <c r="N112" s="770"/>
      <c r="O112" s="770"/>
      <c r="P112" s="770"/>
      <c r="Q112" s="770"/>
      <c r="R112" s="770"/>
      <c r="S112" s="770"/>
      <c r="T112" s="770"/>
      <c r="U112" s="770"/>
      <c r="V112" s="770"/>
      <c r="W112" s="770"/>
      <c r="X112" s="770"/>
      <c r="Y112" s="770"/>
      <c r="Z112" s="770"/>
      <c r="AA112" s="770"/>
      <c r="AB112" s="770"/>
      <c r="AC112" s="770"/>
      <c r="AD112" s="770"/>
      <c r="AE112" s="770"/>
      <c r="AF112" s="770"/>
      <c r="AG112" s="770"/>
      <c r="AH112" s="770"/>
      <c r="AI112" s="770"/>
      <c r="AJ112" s="770"/>
      <c r="AK112" s="770"/>
      <c r="AL112" s="770"/>
      <c r="AM112" s="770"/>
      <c r="AN112" s="770"/>
      <c r="AO112" s="770"/>
      <c r="AP112" s="770"/>
      <c r="AQ112" s="770"/>
      <c r="AR112" s="770"/>
      <c r="AS112" s="770"/>
      <c r="AT112" s="770"/>
      <c r="AU112" s="770"/>
      <c r="AV112" s="770"/>
      <c r="AW112" s="770"/>
      <c r="AX112" s="770"/>
      <c r="AY112" s="770"/>
      <c r="AZ112" s="770"/>
      <c r="BA112" s="770"/>
      <c r="BB112" s="770"/>
      <c r="BC112" s="770"/>
      <c r="BD112" s="770"/>
      <c r="BE112" s="770"/>
      <c r="BF112" s="770"/>
      <c r="BG112" s="770"/>
      <c r="BH112" s="770"/>
      <c r="BI112" s="770"/>
      <c r="BJ112" s="770"/>
      <c r="BK112" s="770"/>
      <c r="BL112" s="770"/>
      <c r="BM112" s="770"/>
      <c r="BN112" s="770"/>
      <c r="BO112" s="770"/>
      <c r="BP112" s="770"/>
      <c r="BQ112" s="770"/>
      <c r="BR112" s="770"/>
      <c r="BS112" s="770"/>
      <c r="BT112" s="770"/>
      <c r="BU112" s="770"/>
      <c r="BV112" s="770"/>
      <c r="BW112" s="770"/>
      <c r="BX112" s="770"/>
      <c r="BY112" s="770"/>
      <c r="BZ112" s="770"/>
      <c r="CA112" s="770"/>
      <c r="CB112" s="770"/>
    </row>
    <row r="113" spans="1:80">
      <c r="A113" s="770"/>
      <c r="B113" s="770"/>
      <c r="C113" s="770"/>
      <c r="D113" s="770"/>
      <c r="E113" s="770"/>
      <c r="F113" s="770"/>
      <c r="G113" s="770"/>
      <c r="H113" s="770"/>
      <c r="I113" s="770"/>
      <c r="J113" s="770"/>
      <c r="K113" s="770"/>
      <c r="L113" s="876"/>
      <c r="M113" s="770"/>
      <c r="N113" s="770"/>
      <c r="O113" s="770"/>
      <c r="P113" s="770"/>
      <c r="Q113" s="770"/>
      <c r="R113" s="770"/>
      <c r="S113" s="770"/>
      <c r="T113" s="770"/>
      <c r="U113" s="770"/>
      <c r="V113" s="770"/>
      <c r="W113" s="770"/>
      <c r="X113" s="770"/>
      <c r="Y113" s="770"/>
      <c r="Z113" s="770"/>
      <c r="AA113" s="770"/>
      <c r="AB113" s="770"/>
      <c r="AC113" s="770"/>
      <c r="AD113" s="770"/>
      <c r="AE113" s="770"/>
      <c r="AF113" s="770"/>
      <c r="AG113" s="770"/>
      <c r="AH113" s="770"/>
      <c r="AI113" s="770"/>
      <c r="AJ113" s="770"/>
      <c r="AK113" s="770"/>
      <c r="AL113" s="770"/>
      <c r="AM113" s="770"/>
      <c r="AN113" s="770"/>
      <c r="AO113" s="770"/>
      <c r="AP113" s="770"/>
      <c r="AQ113" s="770"/>
      <c r="AR113" s="770"/>
      <c r="AS113" s="770"/>
      <c r="AT113" s="770"/>
      <c r="AU113" s="770"/>
      <c r="AV113" s="770"/>
      <c r="AW113" s="770"/>
      <c r="AX113" s="770"/>
      <c r="AY113" s="770"/>
      <c r="AZ113" s="770"/>
      <c r="BA113" s="770"/>
      <c r="BB113" s="770"/>
      <c r="BC113" s="770"/>
      <c r="BD113" s="770"/>
      <c r="BE113" s="770"/>
      <c r="BF113" s="770"/>
      <c r="BG113" s="770"/>
      <c r="BH113" s="770"/>
      <c r="BI113" s="770"/>
      <c r="BJ113" s="770"/>
      <c r="BK113" s="770"/>
      <c r="BL113" s="770"/>
      <c r="BM113" s="770"/>
      <c r="BN113" s="770"/>
      <c r="BO113" s="770"/>
      <c r="BP113" s="770"/>
      <c r="BQ113" s="770"/>
      <c r="BR113" s="770"/>
      <c r="BS113" s="770"/>
      <c r="BT113" s="770"/>
      <c r="BU113" s="770"/>
      <c r="BV113" s="770"/>
      <c r="BW113" s="770"/>
      <c r="BX113" s="770"/>
      <c r="BY113" s="770"/>
      <c r="BZ113" s="770"/>
      <c r="CA113" s="770"/>
      <c r="CB113" s="770"/>
    </row>
    <row r="114" spans="1:80">
      <c r="A114" s="770"/>
      <c r="B114" s="770"/>
      <c r="C114" s="770"/>
      <c r="D114" s="770"/>
      <c r="E114" s="770"/>
      <c r="F114" s="770"/>
      <c r="G114" s="770"/>
      <c r="H114" s="770"/>
      <c r="I114" s="770"/>
      <c r="J114" s="770"/>
      <c r="K114" s="770"/>
      <c r="L114" s="876"/>
      <c r="M114" s="770"/>
      <c r="N114" s="770"/>
      <c r="O114" s="770"/>
      <c r="P114" s="770"/>
      <c r="Q114" s="770"/>
      <c r="R114" s="770"/>
      <c r="S114" s="770"/>
      <c r="T114" s="770"/>
      <c r="U114" s="770"/>
      <c r="V114" s="770"/>
      <c r="W114" s="770"/>
      <c r="X114" s="770"/>
      <c r="Y114" s="770"/>
      <c r="Z114" s="770"/>
      <c r="AA114" s="770"/>
      <c r="AB114" s="770"/>
      <c r="AC114" s="770"/>
      <c r="AD114" s="770"/>
      <c r="AE114" s="770"/>
      <c r="AF114" s="770"/>
      <c r="AG114" s="770"/>
      <c r="AH114" s="770"/>
      <c r="AI114" s="770"/>
      <c r="AJ114" s="770"/>
      <c r="AK114" s="770"/>
      <c r="AL114" s="770"/>
      <c r="AM114" s="770"/>
      <c r="AN114" s="770"/>
      <c r="AO114" s="770"/>
      <c r="AP114" s="770"/>
      <c r="AQ114" s="770"/>
      <c r="AR114" s="770"/>
      <c r="AS114" s="770"/>
      <c r="AT114" s="770"/>
      <c r="AU114" s="770"/>
      <c r="AV114" s="770"/>
      <c r="AW114" s="770"/>
      <c r="AX114" s="770"/>
      <c r="AY114" s="770"/>
      <c r="AZ114" s="770"/>
      <c r="BA114" s="770"/>
      <c r="BB114" s="770"/>
      <c r="BC114" s="770"/>
      <c r="BD114" s="770"/>
      <c r="BE114" s="770"/>
      <c r="BF114" s="770"/>
      <c r="BG114" s="770"/>
      <c r="BH114" s="770"/>
      <c r="BI114" s="770"/>
      <c r="BJ114" s="770"/>
      <c r="BK114" s="770"/>
      <c r="BL114" s="770"/>
      <c r="BM114" s="770"/>
      <c r="BN114" s="770"/>
      <c r="BO114" s="770"/>
      <c r="BP114" s="770"/>
      <c r="BQ114" s="770"/>
      <c r="BR114" s="770"/>
      <c r="BS114" s="770"/>
      <c r="BT114" s="770"/>
      <c r="BU114" s="770"/>
      <c r="BV114" s="770"/>
      <c r="BW114" s="770"/>
      <c r="BX114" s="770"/>
      <c r="BY114" s="770"/>
      <c r="BZ114" s="770"/>
      <c r="CA114" s="770"/>
      <c r="CB114" s="770"/>
    </row>
    <row r="115" spans="1:80">
      <c r="A115" s="770"/>
      <c r="B115" s="770"/>
      <c r="C115" s="770"/>
      <c r="D115" s="770"/>
      <c r="E115" s="770"/>
      <c r="F115" s="770"/>
      <c r="G115" s="770"/>
      <c r="H115" s="770"/>
      <c r="I115" s="770"/>
      <c r="J115" s="770"/>
      <c r="K115" s="770"/>
      <c r="L115" s="876"/>
      <c r="M115" s="770"/>
      <c r="N115" s="770"/>
      <c r="O115" s="770"/>
      <c r="P115" s="770"/>
      <c r="Q115" s="770"/>
      <c r="R115" s="770"/>
      <c r="S115" s="770"/>
      <c r="T115" s="770"/>
      <c r="U115" s="770"/>
      <c r="V115" s="770"/>
      <c r="W115" s="770"/>
      <c r="X115" s="770"/>
      <c r="Y115" s="770"/>
      <c r="Z115" s="770"/>
      <c r="AA115" s="770"/>
      <c r="AB115" s="770"/>
      <c r="AC115" s="770"/>
      <c r="AD115" s="770"/>
      <c r="AE115" s="770"/>
      <c r="AF115" s="770"/>
      <c r="AG115" s="770"/>
      <c r="AH115" s="770"/>
      <c r="AI115" s="770"/>
      <c r="AJ115" s="770"/>
      <c r="AK115" s="770"/>
      <c r="AL115" s="770"/>
      <c r="AM115" s="770"/>
      <c r="AN115" s="770"/>
      <c r="AO115" s="770"/>
      <c r="AP115" s="770"/>
      <c r="AQ115" s="770"/>
      <c r="AR115" s="770"/>
      <c r="AS115" s="770"/>
      <c r="AT115" s="770"/>
      <c r="AU115" s="770"/>
      <c r="AV115" s="770"/>
      <c r="AW115" s="770"/>
      <c r="AX115" s="770"/>
      <c r="AY115" s="770"/>
      <c r="AZ115" s="770"/>
      <c r="BA115" s="770"/>
      <c r="BB115" s="770"/>
      <c r="BC115" s="770"/>
      <c r="BD115" s="770"/>
      <c r="BE115" s="770"/>
      <c r="BF115" s="770"/>
      <c r="BG115" s="770"/>
      <c r="BH115" s="770"/>
      <c r="BI115" s="770"/>
      <c r="BJ115" s="770"/>
      <c r="BK115" s="770"/>
      <c r="BL115" s="770"/>
      <c r="BM115" s="770"/>
      <c r="BN115" s="770"/>
      <c r="BO115" s="770"/>
      <c r="BP115" s="770"/>
      <c r="BQ115" s="770"/>
      <c r="BR115" s="770"/>
      <c r="BS115" s="770"/>
      <c r="BT115" s="770"/>
      <c r="BU115" s="770"/>
      <c r="BV115" s="770"/>
      <c r="BW115" s="770"/>
      <c r="BX115" s="770"/>
      <c r="BY115" s="770"/>
      <c r="BZ115" s="770"/>
      <c r="CA115" s="770"/>
      <c r="CB115" s="770"/>
    </row>
    <row r="116" spans="1:80">
      <c r="A116" s="770"/>
      <c r="B116" s="770"/>
      <c r="C116" s="770"/>
      <c r="D116" s="770"/>
      <c r="E116" s="770"/>
      <c r="F116" s="770"/>
      <c r="G116" s="770"/>
      <c r="H116" s="770"/>
      <c r="I116" s="770"/>
      <c r="J116" s="770"/>
      <c r="K116" s="770"/>
      <c r="L116" s="876"/>
      <c r="M116" s="770"/>
      <c r="N116" s="770"/>
      <c r="O116" s="770"/>
      <c r="P116" s="770"/>
      <c r="Q116" s="770"/>
      <c r="R116" s="770"/>
      <c r="S116" s="770"/>
      <c r="T116" s="770"/>
      <c r="U116" s="770"/>
      <c r="V116" s="770"/>
      <c r="W116" s="770"/>
      <c r="X116" s="770"/>
      <c r="Y116" s="770"/>
      <c r="Z116" s="770"/>
      <c r="AA116" s="770"/>
      <c r="AB116" s="770"/>
      <c r="AC116" s="770"/>
      <c r="AD116" s="770"/>
      <c r="AE116" s="770"/>
      <c r="AF116" s="770"/>
      <c r="AG116" s="770"/>
      <c r="AH116" s="770"/>
      <c r="AI116" s="770"/>
      <c r="AJ116" s="770"/>
      <c r="AK116" s="770"/>
      <c r="AL116" s="770"/>
      <c r="AM116" s="770"/>
      <c r="AN116" s="770"/>
      <c r="AO116" s="770"/>
      <c r="AP116" s="770"/>
      <c r="AQ116" s="770"/>
      <c r="AR116" s="770"/>
      <c r="AS116" s="770"/>
      <c r="AT116" s="770"/>
      <c r="AU116" s="770"/>
      <c r="AV116" s="770"/>
      <c r="AW116" s="770"/>
      <c r="AX116" s="770"/>
      <c r="AY116" s="770"/>
      <c r="AZ116" s="770"/>
      <c r="BA116" s="770"/>
      <c r="BB116" s="770"/>
      <c r="BC116" s="770"/>
      <c r="BD116" s="770"/>
      <c r="BE116" s="770"/>
      <c r="BF116" s="770"/>
      <c r="BG116" s="770"/>
      <c r="BH116" s="770"/>
      <c r="BI116" s="770"/>
      <c r="BJ116" s="770"/>
      <c r="BK116" s="770"/>
      <c r="BL116" s="770"/>
      <c r="BM116" s="770"/>
      <c r="BN116" s="770"/>
      <c r="BO116" s="770"/>
      <c r="BP116" s="770"/>
      <c r="BQ116" s="770"/>
      <c r="BR116" s="770"/>
      <c r="BS116" s="770"/>
      <c r="BT116" s="770"/>
      <c r="BU116" s="770"/>
      <c r="BV116" s="770"/>
      <c r="BW116" s="770"/>
      <c r="BX116" s="770"/>
      <c r="BY116" s="770"/>
      <c r="BZ116" s="770"/>
      <c r="CA116" s="770"/>
      <c r="CB116" s="770"/>
    </row>
    <row r="117" spans="1:80">
      <c r="A117" s="770"/>
      <c r="B117" s="770"/>
      <c r="C117" s="770"/>
      <c r="D117" s="770"/>
      <c r="E117" s="770"/>
      <c r="F117" s="770"/>
      <c r="G117" s="770"/>
      <c r="H117" s="770"/>
      <c r="I117" s="770"/>
      <c r="J117" s="770"/>
      <c r="K117" s="770"/>
      <c r="L117" s="876"/>
      <c r="M117" s="770"/>
      <c r="N117" s="770"/>
      <c r="O117" s="770"/>
      <c r="P117" s="770"/>
      <c r="Q117" s="770"/>
      <c r="R117" s="770"/>
      <c r="S117" s="770"/>
      <c r="T117" s="770"/>
      <c r="U117" s="770"/>
      <c r="V117" s="770"/>
      <c r="W117" s="770"/>
      <c r="X117" s="770"/>
      <c r="Y117" s="770"/>
      <c r="Z117" s="770"/>
      <c r="AA117" s="770"/>
      <c r="AB117" s="770"/>
      <c r="AC117" s="770"/>
      <c r="AD117" s="770"/>
      <c r="AE117" s="770"/>
      <c r="AF117" s="770"/>
      <c r="AG117" s="770"/>
      <c r="AH117" s="770"/>
      <c r="AI117" s="770"/>
      <c r="AJ117" s="770"/>
      <c r="AK117" s="770"/>
      <c r="AL117" s="770"/>
      <c r="AM117" s="770"/>
      <c r="AN117" s="770"/>
      <c r="AO117" s="770"/>
      <c r="AP117" s="770"/>
      <c r="AQ117" s="770"/>
      <c r="AR117" s="770"/>
      <c r="AS117" s="770"/>
      <c r="AT117" s="770"/>
      <c r="AU117" s="770"/>
      <c r="AV117" s="770"/>
      <c r="AW117" s="770"/>
      <c r="AX117" s="770"/>
      <c r="AY117" s="770"/>
      <c r="AZ117" s="770"/>
      <c r="BA117" s="770"/>
      <c r="BB117" s="770"/>
      <c r="BC117" s="770"/>
      <c r="BD117" s="770"/>
      <c r="BE117" s="770"/>
      <c r="BF117" s="770"/>
      <c r="BG117" s="770"/>
      <c r="BH117" s="770"/>
      <c r="BI117" s="770"/>
      <c r="BJ117" s="770"/>
      <c r="BK117" s="770"/>
      <c r="BL117" s="770"/>
      <c r="BM117" s="770"/>
      <c r="BN117" s="770"/>
      <c r="BO117" s="770"/>
      <c r="BP117" s="770"/>
      <c r="BQ117" s="770"/>
      <c r="BR117" s="770"/>
      <c r="BS117" s="770"/>
      <c r="BT117" s="770"/>
      <c r="BU117" s="770"/>
      <c r="BV117" s="770"/>
      <c r="BW117" s="770"/>
      <c r="BX117" s="770"/>
      <c r="BY117" s="770"/>
      <c r="BZ117" s="770"/>
      <c r="CA117" s="770"/>
      <c r="CB117" s="770"/>
    </row>
    <row r="118" spans="1:80">
      <c r="A118" s="770"/>
      <c r="B118" s="770"/>
      <c r="C118" s="770"/>
      <c r="D118" s="770"/>
      <c r="E118" s="770"/>
      <c r="F118" s="770"/>
      <c r="G118" s="770"/>
      <c r="H118" s="770"/>
      <c r="I118" s="770"/>
      <c r="J118" s="770"/>
      <c r="K118" s="770"/>
      <c r="L118" s="876"/>
      <c r="M118" s="770"/>
      <c r="N118" s="770"/>
      <c r="O118" s="770"/>
      <c r="P118" s="770"/>
      <c r="Q118" s="770"/>
      <c r="R118" s="770"/>
      <c r="S118" s="770"/>
      <c r="T118" s="770"/>
      <c r="U118" s="770"/>
      <c r="V118" s="770"/>
      <c r="W118" s="770"/>
      <c r="X118" s="770"/>
      <c r="Y118" s="770"/>
      <c r="Z118" s="770"/>
      <c r="AA118" s="770"/>
      <c r="AB118" s="770"/>
      <c r="AC118" s="770"/>
      <c r="AD118" s="770"/>
      <c r="AE118" s="770"/>
      <c r="AF118" s="770"/>
      <c r="AG118" s="770"/>
      <c r="AH118" s="770"/>
      <c r="AI118" s="770"/>
      <c r="AJ118" s="770"/>
      <c r="AK118" s="770"/>
      <c r="AL118" s="770"/>
      <c r="AM118" s="770"/>
      <c r="AN118" s="770"/>
      <c r="AO118" s="770"/>
      <c r="AP118" s="770"/>
      <c r="AQ118" s="770"/>
      <c r="AR118" s="770"/>
      <c r="AS118" s="770"/>
      <c r="AT118" s="770"/>
      <c r="AU118" s="770"/>
      <c r="AV118" s="770"/>
      <c r="AW118" s="770"/>
      <c r="AX118" s="770"/>
      <c r="AY118" s="770"/>
      <c r="AZ118" s="770"/>
      <c r="BA118" s="770"/>
      <c r="BB118" s="770"/>
      <c r="BC118" s="770"/>
      <c r="BD118" s="770"/>
      <c r="BE118" s="770"/>
      <c r="BF118" s="770"/>
      <c r="BG118" s="770"/>
      <c r="BH118" s="770"/>
      <c r="BI118" s="770"/>
      <c r="BJ118" s="770"/>
      <c r="BK118" s="770"/>
      <c r="BL118" s="770"/>
      <c r="BM118" s="770"/>
      <c r="BN118" s="770"/>
      <c r="BO118" s="770"/>
      <c r="BP118" s="770"/>
      <c r="BQ118" s="770"/>
      <c r="BR118" s="770"/>
      <c r="BS118" s="770"/>
      <c r="BT118" s="770"/>
      <c r="BU118" s="770"/>
      <c r="BV118" s="770"/>
      <c r="BW118" s="770"/>
      <c r="BX118" s="770"/>
      <c r="BY118" s="770"/>
      <c r="BZ118" s="770"/>
      <c r="CA118" s="770"/>
      <c r="CB118" s="770"/>
    </row>
    <row r="119" spans="1:80">
      <c r="A119" s="770"/>
      <c r="B119" s="770"/>
      <c r="C119" s="770"/>
      <c r="D119" s="770"/>
      <c r="E119" s="770"/>
      <c r="F119" s="770"/>
      <c r="G119" s="770"/>
      <c r="H119" s="770"/>
      <c r="I119" s="770"/>
      <c r="J119" s="770"/>
      <c r="K119" s="770"/>
      <c r="L119" s="876"/>
      <c r="M119" s="770"/>
      <c r="N119" s="770"/>
      <c r="O119" s="770"/>
      <c r="P119" s="770"/>
      <c r="Q119" s="770"/>
      <c r="R119" s="770"/>
      <c r="S119" s="770"/>
      <c r="T119" s="770"/>
      <c r="U119" s="770"/>
      <c r="V119" s="770"/>
      <c r="W119" s="770"/>
      <c r="X119" s="770"/>
      <c r="Y119" s="770"/>
      <c r="Z119" s="770"/>
      <c r="AA119" s="770"/>
      <c r="AB119" s="770"/>
      <c r="AC119" s="770"/>
      <c r="AD119" s="770"/>
      <c r="AE119" s="770"/>
      <c r="AF119" s="770"/>
      <c r="AG119" s="770"/>
      <c r="AH119" s="770"/>
      <c r="AI119" s="770"/>
      <c r="AJ119" s="770"/>
      <c r="AK119" s="770"/>
      <c r="AL119" s="770"/>
      <c r="AM119" s="770"/>
      <c r="AN119" s="770"/>
      <c r="AO119" s="770"/>
      <c r="AP119" s="770"/>
      <c r="AQ119" s="770"/>
      <c r="AR119" s="770"/>
      <c r="AS119" s="770"/>
      <c r="AT119" s="770"/>
      <c r="AU119" s="770"/>
      <c r="AV119" s="770"/>
      <c r="AW119" s="770"/>
      <c r="AX119" s="770"/>
      <c r="AY119" s="770"/>
      <c r="AZ119" s="770"/>
      <c r="BA119" s="770"/>
      <c r="BB119" s="770"/>
      <c r="BC119" s="770"/>
      <c r="BD119" s="770"/>
      <c r="BE119" s="770"/>
      <c r="BF119" s="770"/>
      <c r="BG119" s="770"/>
      <c r="BH119" s="770"/>
      <c r="BI119" s="770"/>
      <c r="BJ119" s="770"/>
      <c r="BK119" s="770"/>
      <c r="BL119" s="770"/>
      <c r="BM119" s="770"/>
      <c r="BN119" s="770"/>
      <c r="BO119" s="770"/>
      <c r="BP119" s="770"/>
      <c r="BQ119" s="770"/>
      <c r="BR119" s="770"/>
      <c r="BS119" s="770"/>
      <c r="BT119" s="770"/>
      <c r="BU119" s="770"/>
      <c r="BV119" s="770"/>
      <c r="BW119" s="770"/>
      <c r="BX119" s="770"/>
      <c r="BY119" s="770"/>
      <c r="BZ119" s="770"/>
      <c r="CA119" s="770"/>
      <c r="CB119" s="770"/>
    </row>
    <row r="120" spans="1:80">
      <c r="A120" s="770"/>
      <c r="B120" s="770"/>
      <c r="C120" s="770"/>
      <c r="D120" s="770"/>
      <c r="E120" s="770"/>
      <c r="F120" s="770"/>
      <c r="G120" s="770"/>
      <c r="H120" s="770"/>
      <c r="I120" s="770"/>
      <c r="J120" s="770"/>
      <c r="K120" s="770"/>
      <c r="L120" s="876"/>
      <c r="M120" s="770"/>
      <c r="N120" s="770"/>
      <c r="O120" s="770"/>
      <c r="P120" s="770"/>
      <c r="Q120" s="770"/>
      <c r="R120" s="770"/>
      <c r="S120" s="770"/>
      <c r="T120" s="770"/>
      <c r="U120" s="770"/>
      <c r="V120" s="770"/>
      <c r="W120" s="770"/>
      <c r="X120" s="770"/>
      <c r="Y120" s="770"/>
      <c r="Z120" s="770"/>
      <c r="AA120" s="770"/>
      <c r="AB120" s="770"/>
      <c r="AC120" s="770"/>
      <c r="AD120" s="770"/>
      <c r="AE120" s="770"/>
      <c r="AF120" s="770"/>
      <c r="AG120" s="770"/>
      <c r="AH120" s="770"/>
      <c r="AI120" s="770"/>
      <c r="AJ120" s="770"/>
      <c r="AK120" s="770"/>
      <c r="AL120" s="770"/>
      <c r="AM120" s="770"/>
      <c r="AN120" s="770"/>
      <c r="AO120" s="770"/>
      <c r="AP120" s="770"/>
      <c r="AQ120" s="770"/>
      <c r="AR120" s="770"/>
      <c r="AS120" s="770"/>
      <c r="AT120" s="770"/>
      <c r="AU120" s="770"/>
      <c r="AV120" s="770"/>
      <c r="AW120" s="770"/>
      <c r="AX120" s="770"/>
      <c r="AY120" s="770"/>
      <c r="AZ120" s="770"/>
      <c r="BA120" s="770"/>
      <c r="BB120" s="770"/>
      <c r="BC120" s="770"/>
      <c r="BD120" s="770"/>
      <c r="BE120" s="770"/>
      <c r="BF120" s="770"/>
      <c r="BG120" s="770"/>
      <c r="BH120" s="770"/>
      <c r="BI120" s="770"/>
      <c r="BJ120" s="770"/>
      <c r="BK120" s="770"/>
      <c r="BL120" s="770"/>
      <c r="BM120" s="770"/>
      <c r="BN120" s="770"/>
      <c r="BO120" s="770"/>
      <c r="BP120" s="770"/>
      <c r="BQ120" s="770"/>
      <c r="BR120" s="770"/>
      <c r="BS120" s="770"/>
      <c r="BT120" s="770"/>
      <c r="BU120" s="770"/>
      <c r="BV120" s="770"/>
      <c r="BW120" s="770"/>
      <c r="BX120" s="770"/>
      <c r="BY120" s="770"/>
      <c r="BZ120" s="770"/>
      <c r="CA120" s="770"/>
      <c r="CB120" s="770"/>
    </row>
    <row r="121" spans="1:80">
      <c r="A121" s="770"/>
      <c r="B121" s="770"/>
      <c r="C121" s="770"/>
      <c r="D121" s="770"/>
      <c r="E121" s="770"/>
      <c r="F121" s="770"/>
      <c r="G121" s="770"/>
      <c r="H121" s="770"/>
      <c r="I121" s="770"/>
      <c r="J121" s="770"/>
      <c r="K121" s="770"/>
      <c r="L121" s="876"/>
      <c r="M121" s="770"/>
      <c r="N121" s="770"/>
      <c r="O121" s="770"/>
      <c r="P121" s="770"/>
      <c r="Q121" s="770"/>
      <c r="R121" s="770"/>
      <c r="S121" s="770"/>
      <c r="T121" s="770"/>
      <c r="U121" s="770"/>
      <c r="V121" s="770"/>
      <c r="W121" s="770"/>
      <c r="X121" s="770"/>
      <c r="Y121" s="770"/>
      <c r="Z121" s="770"/>
      <c r="AA121" s="770"/>
      <c r="AB121" s="770"/>
      <c r="AC121" s="770"/>
      <c r="AD121" s="770"/>
      <c r="AE121" s="770"/>
      <c r="AF121" s="770"/>
      <c r="AG121" s="770"/>
      <c r="AH121" s="770"/>
      <c r="AI121" s="770"/>
      <c r="AJ121" s="770"/>
      <c r="AK121" s="770"/>
      <c r="AL121" s="770"/>
      <c r="AM121" s="770"/>
      <c r="AN121" s="770"/>
      <c r="AO121" s="770"/>
      <c r="AP121" s="770"/>
      <c r="AQ121" s="770"/>
      <c r="AR121" s="770"/>
      <c r="AS121" s="770"/>
      <c r="AT121" s="770"/>
      <c r="AU121" s="770"/>
      <c r="AV121" s="770"/>
      <c r="AW121" s="770"/>
      <c r="AX121" s="770"/>
      <c r="AY121" s="770"/>
      <c r="AZ121" s="770"/>
      <c r="BA121" s="770"/>
      <c r="BB121" s="770"/>
      <c r="BC121" s="770"/>
      <c r="BD121" s="770"/>
      <c r="BE121" s="770"/>
      <c r="BF121" s="770"/>
      <c r="BG121" s="770"/>
      <c r="BH121" s="770"/>
      <c r="BI121" s="770"/>
      <c r="BJ121" s="770"/>
      <c r="BK121" s="770"/>
      <c r="BL121" s="770"/>
      <c r="BM121" s="770"/>
      <c r="BN121" s="770"/>
      <c r="BO121" s="770"/>
      <c r="BP121" s="770"/>
      <c r="BQ121" s="770"/>
      <c r="BR121" s="770"/>
      <c r="BS121" s="770"/>
      <c r="BT121" s="770"/>
      <c r="BU121" s="770"/>
      <c r="BV121" s="770"/>
      <c r="BW121" s="770"/>
      <c r="BX121" s="770"/>
      <c r="BY121" s="770"/>
      <c r="BZ121" s="770"/>
      <c r="CA121" s="770"/>
      <c r="CB121" s="770"/>
    </row>
    <row r="122" spans="1:80">
      <c r="A122" s="770"/>
      <c r="B122" s="770"/>
      <c r="C122" s="770"/>
      <c r="D122" s="770"/>
      <c r="E122" s="770"/>
      <c r="F122" s="770"/>
      <c r="G122" s="770"/>
      <c r="H122" s="770"/>
      <c r="I122" s="770"/>
      <c r="J122" s="770"/>
      <c r="K122" s="770"/>
      <c r="L122" s="876"/>
      <c r="M122" s="770"/>
      <c r="N122" s="770"/>
      <c r="O122" s="770"/>
      <c r="P122" s="770"/>
      <c r="Q122" s="770"/>
      <c r="R122" s="770"/>
      <c r="S122" s="770"/>
      <c r="T122" s="770"/>
      <c r="U122" s="770"/>
      <c r="V122" s="770"/>
      <c r="W122" s="770"/>
      <c r="X122" s="770"/>
      <c r="Y122" s="770"/>
      <c r="Z122" s="770"/>
      <c r="AA122" s="770"/>
      <c r="AB122" s="770"/>
      <c r="AC122" s="770"/>
      <c r="AD122" s="770"/>
      <c r="AE122" s="770"/>
      <c r="AF122" s="770"/>
      <c r="AG122" s="770"/>
      <c r="AH122" s="770"/>
      <c r="AI122" s="770"/>
      <c r="AJ122" s="770"/>
      <c r="AK122" s="770"/>
      <c r="AL122" s="770"/>
      <c r="AM122" s="770"/>
      <c r="AN122" s="770"/>
      <c r="AO122" s="770"/>
      <c r="AP122" s="770"/>
      <c r="AQ122" s="770"/>
      <c r="AR122" s="770"/>
      <c r="AS122" s="770"/>
      <c r="AT122" s="770"/>
      <c r="AU122" s="770"/>
      <c r="AV122" s="770"/>
      <c r="AW122" s="770"/>
      <c r="AX122" s="770"/>
      <c r="AY122" s="770"/>
      <c r="AZ122" s="770"/>
      <c r="BA122" s="770"/>
      <c r="BB122" s="770"/>
      <c r="BC122" s="770"/>
      <c r="BD122" s="770"/>
      <c r="BE122" s="770"/>
      <c r="BF122" s="770"/>
      <c r="BG122" s="770"/>
      <c r="BH122" s="770"/>
      <c r="BI122" s="770"/>
      <c r="BJ122" s="770"/>
      <c r="BK122" s="770"/>
      <c r="BL122" s="770"/>
      <c r="BM122" s="770"/>
      <c r="BN122" s="770"/>
      <c r="BO122" s="770"/>
      <c r="BP122" s="770"/>
      <c r="BQ122" s="770"/>
      <c r="BR122" s="770"/>
      <c r="BS122" s="770"/>
      <c r="BT122" s="770"/>
      <c r="BU122" s="770"/>
      <c r="BV122" s="770"/>
      <c r="BW122" s="770"/>
      <c r="BX122" s="770"/>
      <c r="BY122" s="770"/>
      <c r="BZ122" s="770"/>
      <c r="CA122" s="770"/>
      <c r="CB122" s="770"/>
    </row>
    <row r="123" spans="1:80">
      <c r="A123" s="770"/>
      <c r="B123" s="770"/>
      <c r="C123" s="770"/>
      <c r="D123" s="770"/>
      <c r="E123" s="770"/>
      <c r="F123" s="770"/>
      <c r="G123" s="770"/>
      <c r="H123" s="770"/>
      <c r="I123" s="770"/>
      <c r="J123" s="770"/>
      <c r="K123" s="770"/>
      <c r="L123" s="876"/>
      <c r="M123" s="770"/>
      <c r="N123" s="770"/>
      <c r="O123" s="770"/>
      <c r="P123" s="770"/>
      <c r="Q123" s="770"/>
      <c r="R123" s="770"/>
      <c r="S123" s="770"/>
      <c r="T123" s="770"/>
      <c r="U123" s="770"/>
      <c r="V123" s="770"/>
      <c r="W123" s="770"/>
      <c r="X123" s="770"/>
      <c r="Y123" s="770"/>
      <c r="Z123" s="770"/>
      <c r="AA123" s="770"/>
      <c r="AB123" s="770"/>
      <c r="AC123" s="770"/>
      <c r="AD123" s="770"/>
      <c r="AE123" s="770"/>
      <c r="AF123" s="770"/>
      <c r="AG123" s="770"/>
      <c r="AH123" s="770"/>
      <c r="AI123" s="770"/>
      <c r="AJ123" s="770"/>
      <c r="AK123" s="770"/>
      <c r="AL123" s="770"/>
      <c r="AM123" s="770"/>
      <c r="AN123" s="770"/>
      <c r="AO123" s="770"/>
      <c r="AP123" s="770"/>
      <c r="AQ123" s="770"/>
      <c r="AR123" s="770"/>
      <c r="AS123" s="770"/>
      <c r="AT123" s="770"/>
      <c r="AU123" s="770"/>
      <c r="AV123" s="770"/>
      <c r="AW123" s="770"/>
      <c r="AX123" s="770"/>
      <c r="AY123" s="770"/>
      <c r="AZ123" s="770"/>
      <c r="BA123" s="770"/>
      <c r="BB123" s="770"/>
      <c r="BC123" s="770"/>
      <c r="BD123" s="770"/>
      <c r="BE123" s="770"/>
      <c r="BF123" s="770"/>
      <c r="BG123" s="770"/>
      <c r="BH123" s="770"/>
      <c r="BI123" s="770"/>
      <c r="BJ123" s="770"/>
      <c r="BK123" s="770"/>
      <c r="BL123" s="770"/>
      <c r="BM123" s="770"/>
      <c r="BN123" s="770"/>
      <c r="BO123" s="770"/>
      <c r="BP123" s="770"/>
      <c r="BQ123" s="770"/>
      <c r="BR123" s="770"/>
      <c r="BS123" s="770"/>
      <c r="BT123" s="770"/>
      <c r="BU123" s="770"/>
      <c r="BV123" s="770"/>
      <c r="BW123" s="770"/>
      <c r="BX123" s="770"/>
      <c r="BY123" s="770"/>
      <c r="BZ123" s="770"/>
      <c r="CA123" s="770"/>
      <c r="CB123" s="770"/>
    </row>
    <row r="124" spans="1:80">
      <c r="A124" s="770"/>
      <c r="B124" s="770"/>
      <c r="C124" s="770"/>
      <c r="D124" s="770"/>
      <c r="E124" s="770"/>
      <c r="F124" s="770"/>
      <c r="G124" s="770"/>
      <c r="H124" s="770"/>
      <c r="I124" s="770"/>
      <c r="J124" s="770"/>
      <c r="K124" s="770"/>
      <c r="L124" s="876"/>
      <c r="M124" s="770"/>
      <c r="N124" s="770"/>
      <c r="O124" s="770"/>
      <c r="P124" s="770"/>
      <c r="Q124" s="770"/>
      <c r="R124" s="770"/>
      <c r="S124" s="770"/>
      <c r="T124" s="770"/>
      <c r="U124" s="770"/>
      <c r="V124" s="770"/>
      <c r="W124" s="770"/>
      <c r="X124" s="770"/>
      <c r="Y124" s="770"/>
      <c r="Z124" s="770"/>
      <c r="AA124" s="770"/>
      <c r="AB124" s="770"/>
      <c r="AC124" s="770"/>
      <c r="AD124" s="770"/>
      <c r="AE124" s="770"/>
      <c r="AF124" s="770"/>
      <c r="AG124" s="770"/>
      <c r="AH124" s="770"/>
      <c r="AI124" s="770"/>
      <c r="AJ124" s="770"/>
      <c r="AK124" s="770"/>
      <c r="AL124" s="770"/>
      <c r="AM124" s="770"/>
      <c r="AN124" s="770"/>
      <c r="AO124" s="770"/>
      <c r="AP124" s="770"/>
      <c r="AQ124" s="770"/>
      <c r="AR124" s="770"/>
      <c r="AS124" s="770"/>
      <c r="AT124" s="770"/>
      <c r="AU124" s="770"/>
      <c r="AV124" s="770"/>
      <c r="AW124" s="770"/>
      <c r="AX124" s="770"/>
      <c r="AY124" s="770"/>
      <c r="AZ124" s="770"/>
      <c r="BA124" s="770"/>
      <c r="BB124" s="770"/>
      <c r="BC124" s="770"/>
      <c r="BD124" s="770"/>
      <c r="BE124" s="770"/>
      <c r="BF124" s="770"/>
      <c r="BG124" s="770"/>
      <c r="BH124" s="770"/>
      <c r="BI124" s="770"/>
      <c r="BJ124" s="770"/>
      <c r="BK124" s="770"/>
      <c r="BL124" s="770"/>
      <c r="BM124" s="770"/>
      <c r="BN124" s="770"/>
      <c r="BO124" s="770"/>
      <c r="BP124" s="770"/>
      <c r="BQ124" s="770"/>
      <c r="BR124" s="770"/>
      <c r="BS124" s="770"/>
      <c r="BT124" s="770"/>
      <c r="BU124" s="770"/>
      <c r="BV124" s="770"/>
      <c r="BW124" s="770"/>
      <c r="BX124" s="770"/>
      <c r="BY124" s="770"/>
      <c r="BZ124" s="770"/>
      <c r="CA124" s="770"/>
      <c r="CB124" s="770"/>
    </row>
    <row r="125" spans="1:80">
      <c r="A125" s="770"/>
      <c r="B125" s="770"/>
      <c r="C125" s="770"/>
      <c r="D125" s="770"/>
      <c r="E125" s="770"/>
      <c r="F125" s="770"/>
      <c r="G125" s="770"/>
      <c r="H125" s="770"/>
      <c r="I125" s="770"/>
      <c r="J125" s="770"/>
      <c r="K125" s="770"/>
      <c r="L125" s="876"/>
      <c r="M125" s="770"/>
      <c r="N125" s="770"/>
      <c r="O125" s="770"/>
      <c r="P125" s="770"/>
      <c r="Q125" s="770"/>
      <c r="R125" s="770"/>
      <c r="S125" s="770"/>
      <c r="T125" s="770"/>
      <c r="U125" s="770"/>
      <c r="V125" s="770"/>
      <c r="W125" s="770"/>
      <c r="X125" s="770"/>
      <c r="Y125" s="770"/>
      <c r="Z125" s="770"/>
      <c r="AA125" s="770"/>
      <c r="AB125" s="770"/>
      <c r="AC125" s="770"/>
      <c r="AD125" s="770"/>
      <c r="AE125" s="770"/>
      <c r="AF125" s="770"/>
      <c r="AG125" s="770"/>
      <c r="AH125" s="770"/>
      <c r="AI125" s="770"/>
      <c r="AJ125" s="770"/>
      <c r="AK125" s="770"/>
      <c r="AL125" s="770"/>
      <c r="AM125" s="770"/>
      <c r="AN125" s="770"/>
      <c r="AO125" s="770"/>
      <c r="AP125" s="770"/>
      <c r="AQ125" s="770"/>
      <c r="AR125" s="770"/>
      <c r="AS125" s="770"/>
      <c r="AT125" s="770"/>
      <c r="AU125" s="770"/>
      <c r="AV125" s="770"/>
      <c r="AW125" s="770"/>
      <c r="AX125" s="770"/>
      <c r="AY125" s="770"/>
      <c r="AZ125" s="770"/>
      <c r="BA125" s="770"/>
      <c r="BB125" s="770"/>
      <c r="BC125" s="770"/>
      <c r="BD125" s="770"/>
      <c r="BE125" s="770"/>
      <c r="BF125" s="770"/>
      <c r="BG125" s="770"/>
      <c r="BH125" s="770"/>
      <c r="BI125" s="770"/>
      <c r="BJ125" s="770"/>
      <c r="BK125" s="770"/>
      <c r="BL125" s="770"/>
      <c r="BM125" s="770"/>
      <c r="BN125" s="770"/>
      <c r="BO125" s="770"/>
      <c r="BP125" s="770"/>
      <c r="BQ125" s="770"/>
      <c r="BR125" s="770"/>
      <c r="BS125" s="770"/>
      <c r="BT125" s="770"/>
      <c r="BU125" s="770"/>
      <c r="BV125" s="770"/>
      <c r="BW125" s="770"/>
      <c r="BX125" s="770"/>
      <c r="BY125" s="770"/>
      <c r="BZ125" s="770"/>
      <c r="CA125" s="770"/>
      <c r="CB125" s="770"/>
    </row>
    <row r="126" spans="1:80">
      <c r="A126" s="770"/>
      <c r="B126" s="770"/>
      <c r="C126" s="770"/>
      <c r="D126" s="770"/>
      <c r="E126" s="770"/>
      <c r="F126" s="770"/>
      <c r="G126" s="770"/>
      <c r="H126" s="770"/>
      <c r="I126" s="770"/>
      <c r="J126" s="770"/>
      <c r="K126" s="770"/>
      <c r="L126" s="876"/>
      <c r="M126" s="770"/>
      <c r="N126" s="770"/>
      <c r="O126" s="770"/>
      <c r="P126" s="770"/>
      <c r="Q126" s="770"/>
      <c r="R126" s="770"/>
      <c r="S126" s="770"/>
      <c r="T126" s="770"/>
      <c r="U126" s="770"/>
      <c r="V126" s="770"/>
      <c r="W126" s="770"/>
      <c r="X126" s="770"/>
      <c r="Y126" s="770"/>
      <c r="Z126" s="770"/>
      <c r="AA126" s="770"/>
      <c r="AB126" s="770"/>
      <c r="AC126" s="770"/>
      <c r="AD126" s="770"/>
      <c r="AE126" s="770"/>
      <c r="AF126" s="770"/>
      <c r="AG126" s="770"/>
      <c r="AH126" s="770"/>
      <c r="AI126" s="770"/>
      <c r="AJ126" s="770"/>
      <c r="AK126" s="770"/>
      <c r="AL126" s="770"/>
      <c r="AM126" s="770"/>
      <c r="AN126" s="770"/>
      <c r="AO126" s="770"/>
      <c r="AP126" s="770"/>
      <c r="AQ126" s="770"/>
      <c r="AR126" s="770"/>
      <c r="AS126" s="770"/>
      <c r="AT126" s="770"/>
      <c r="AU126" s="770"/>
      <c r="AV126" s="770"/>
      <c r="AW126" s="770"/>
      <c r="AX126" s="770"/>
      <c r="AY126" s="770"/>
      <c r="AZ126" s="770"/>
      <c r="BA126" s="770"/>
      <c r="BB126" s="770"/>
      <c r="BC126" s="770"/>
      <c r="BD126" s="770"/>
      <c r="BE126" s="770"/>
      <c r="BF126" s="770"/>
      <c r="BG126" s="770"/>
      <c r="BH126" s="770"/>
      <c r="BI126" s="770"/>
      <c r="BJ126" s="770"/>
      <c r="BK126" s="770"/>
      <c r="BL126" s="770"/>
      <c r="BM126" s="770"/>
      <c r="BN126" s="770"/>
      <c r="BO126" s="770"/>
      <c r="BP126" s="770"/>
      <c r="BQ126" s="770"/>
      <c r="BR126" s="770"/>
      <c r="BS126" s="770"/>
      <c r="BT126" s="770"/>
      <c r="BU126" s="770"/>
      <c r="BV126" s="770"/>
      <c r="BW126" s="770"/>
      <c r="BX126" s="770"/>
      <c r="BY126" s="770"/>
      <c r="BZ126" s="770"/>
      <c r="CA126" s="770"/>
      <c r="CB126" s="770"/>
    </row>
    <row r="127" spans="1:80">
      <c r="A127" s="770"/>
      <c r="B127" s="770"/>
      <c r="C127" s="770"/>
      <c r="D127" s="770"/>
      <c r="E127" s="770"/>
      <c r="F127" s="770"/>
      <c r="G127" s="770"/>
      <c r="H127" s="770"/>
      <c r="I127" s="770"/>
      <c r="J127" s="770"/>
      <c r="K127" s="770"/>
      <c r="L127" s="876"/>
      <c r="M127" s="770"/>
      <c r="N127" s="770"/>
      <c r="O127" s="770"/>
      <c r="P127" s="770"/>
      <c r="Q127" s="770"/>
      <c r="R127" s="770"/>
      <c r="S127" s="770"/>
      <c r="T127" s="770"/>
      <c r="U127" s="770"/>
      <c r="V127" s="770"/>
      <c r="W127" s="770"/>
      <c r="X127" s="770"/>
      <c r="Y127" s="770"/>
      <c r="Z127" s="770"/>
      <c r="AA127" s="770"/>
      <c r="AB127" s="770"/>
      <c r="AC127" s="770"/>
      <c r="AD127" s="770"/>
      <c r="AE127" s="770"/>
      <c r="AF127" s="770"/>
      <c r="AG127" s="770"/>
      <c r="AH127" s="770"/>
      <c r="AI127" s="770"/>
      <c r="AJ127" s="770"/>
      <c r="AK127" s="770"/>
      <c r="AL127" s="770"/>
      <c r="AM127" s="770"/>
      <c r="AN127" s="770"/>
      <c r="AO127" s="770"/>
      <c r="AP127" s="770"/>
      <c r="AQ127" s="770"/>
      <c r="AR127" s="770"/>
      <c r="AS127" s="770"/>
      <c r="AT127" s="770"/>
      <c r="AU127" s="770"/>
      <c r="AV127" s="770"/>
      <c r="AW127" s="770"/>
      <c r="AX127" s="770"/>
      <c r="AY127" s="770"/>
      <c r="AZ127" s="770"/>
      <c r="BA127" s="770"/>
      <c r="BB127" s="770"/>
      <c r="BC127" s="770"/>
      <c r="BD127" s="770"/>
      <c r="BE127" s="770"/>
      <c r="BF127" s="770"/>
      <c r="BG127" s="770"/>
      <c r="BH127" s="770"/>
      <c r="BI127" s="770"/>
      <c r="BJ127" s="770"/>
      <c r="BK127" s="770"/>
      <c r="BL127" s="770"/>
      <c r="BM127" s="770"/>
      <c r="BN127" s="770"/>
      <c r="BO127" s="770"/>
      <c r="BP127" s="770"/>
      <c r="BQ127" s="770"/>
      <c r="BR127" s="770"/>
      <c r="BS127" s="770"/>
      <c r="BT127" s="770"/>
      <c r="BU127" s="770"/>
      <c r="BV127" s="770"/>
      <c r="BW127" s="770"/>
      <c r="BX127" s="770"/>
      <c r="BY127" s="770"/>
      <c r="BZ127" s="770"/>
      <c r="CA127" s="770"/>
      <c r="CB127" s="770"/>
    </row>
    <row r="128" spans="1:80">
      <c r="A128" s="770"/>
      <c r="B128" s="770"/>
      <c r="C128" s="770"/>
      <c r="D128" s="770"/>
      <c r="E128" s="770"/>
      <c r="F128" s="770"/>
      <c r="G128" s="770"/>
      <c r="H128" s="770"/>
      <c r="I128" s="770"/>
      <c r="J128" s="770"/>
      <c r="K128" s="770"/>
      <c r="L128" s="876"/>
      <c r="M128" s="770"/>
      <c r="N128" s="770"/>
      <c r="O128" s="770"/>
      <c r="P128" s="770"/>
      <c r="Q128" s="770"/>
      <c r="R128" s="770"/>
      <c r="S128" s="770"/>
      <c r="T128" s="770"/>
      <c r="U128" s="770"/>
      <c r="V128" s="770"/>
      <c r="W128" s="770"/>
      <c r="X128" s="770"/>
      <c r="Y128" s="770"/>
      <c r="Z128" s="770"/>
      <c r="AA128" s="770"/>
      <c r="AB128" s="770"/>
      <c r="AC128" s="770"/>
      <c r="AD128" s="770"/>
      <c r="AE128" s="770"/>
      <c r="AF128" s="770"/>
      <c r="AG128" s="770"/>
      <c r="AH128" s="770"/>
      <c r="AI128" s="770"/>
      <c r="AJ128" s="770"/>
      <c r="AK128" s="770"/>
      <c r="AL128" s="770"/>
      <c r="AM128" s="770"/>
      <c r="AN128" s="770"/>
      <c r="AO128" s="770"/>
      <c r="AP128" s="770"/>
      <c r="AQ128" s="770"/>
      <c r="AR128" s="770"/>
      <c r="AS128" s="770"/>
      <c r="AT128" s="770"/>
      <c r="AU128" s="770"/>
      <c r="AV128" s="770"/>
      <c r="AW128" s="770"/>
      <c r="AX128" s="770"/>
      <c r="AY128" s="770"/>
      <c r="AZ128" s="770"/>
      <c r="BA128" s="770"/>
      <c r="BB128" s="770"/>
      <c r="BC128" s="770"/>
      <c r="BD128" s="770"/>
      <c r="BE128" s="770"/>
      <c r="BF128" s="770"/>
      <c r="BG128" s="770"/>
      <c r="BH128" s="770"/>
      <c r="BI128" s="770"/>
      <c r="BJ128" s="770"/>
      <c r="BK128" s="770"/>
      <c r="BL128" s="770"/>
      <c r="BM128" s="770"/>
      <c r="BN128" s="770"/>
      <c r="BO128" s="770"/>
      <c r="BP128" s="770"/>
      <c r="BQ128" s="770"/>
      <c r="BR128" s="770"/>
      <c r="BS128" s="770"/>
      <c r="BT128" s="770"/>
      <c r="BU128" s="770"/>
      <c r="BV128" s="770"/>
      <c r="BW128" s="770"/>
      <c r="BX128" s="770"/>
      <c r="BY128" s="770"/>
      <c r="BZ128" s="770"/>
      <c r="CA128" s="770"/>
      <c r="CB128" s="770"/>
    </row>
    <row r="129" spans="1:80">
      <c r="A129" s="770"/>
      <c r="B129" s="770"/>
      <c r="C129" s="770"/>
      <c r="D129" s="770"/>
      <c r="E129" s="770"/>
      <c r="F129" s="770"/>
      <c r="G129" s="770"/>
      <c r="H129" s="770"/>
      <c r="I129" s="770"/>
      <c r="J129" s="770"/>
      <c r="K129" s="770"/>
      <c r="L129" s="876"/>
      <c r="M129" s="770"/>
      <c r="N129" s="770"/>
      <c r="O129" s="770"/>
      <c r="P129" s="770"/>
      <c r="Q129" s="770"/>
      <c r="R129" s="770"/>
      <c r="S129" s="770"/>
      <c r="T129" s="770"/>
      <c r="U129" s="770"/>
      <c r="V129" s="770"/>
      <c r="W129" s="770"/>
      <c r="X129" s="770"/>
      <c r="Y129" s="770"/>
      <c r="Z129" s="770"/>
      <c r="AA129" s="770"/>
      <c r="AB129" s="770"/>
      <c r="AC129" s="770"/>
      <c r="AD129" s="770"/>
      <c r="AE129" s="770"/>
      <c r="AF129" s="770"/>
      <c r="AG129" s="770"/>
      <c r="AH129" s="770"/>
      <c r="AI129" s="770"/>
      <c r="AJ129" s="770"/>
      <c r="AK129" s="770"/>
      <c r="AL129" s="770"/>
      <c r="AM129" s="770"/>
      <c r="AN129" s="770"/>
      <c r="AO129" s="770"/>
      <c r="AP129" s="770"/>
      <c r="AQ129" s="770"/>
      <c r="AR129" s="770"/>
      <c r="AS129" s="770"/>
      <c r="AT129" s="770"/>
      <c r="AU129" s="770"/>
      <c r="AV129" s="770"/>
      <c r="AW129" s="770"/>
      <c r="AX129" s="770"/>
      <c r="AY129" s="770"/>
      <c r="AZ129" s="770"/>
      <c r="BA129" s="770"/>
      <c r="BB129" s="770"/>
      <c r="BC129" s="770"/>
      <c r="BD129" s="770"/>
      <c r="BE129" s="770"/>
      <c r="BF129" s="770"/>
      <c r="BG129" s="770"/>
      <c r="BH129" s="770"/>
      <c r="BI129" s="770"/>
      <c r="BJ129" s="770"/>
      <c r="BK129" s="770"/>
      <c r="BL129" s="770"/>
      <c r="BM129" s="770"/>
      <c r="BN129" s="770"/>
      <c r="BO129" s="770"/>
      <c r="BP129" s="770"/>
      <c r="BQ129" s="770"/>
      <c r="BR129" s="770"/>
      <c r="BS129" s="770"/>
      <c r="BT129" s="770"/>
      <c r="BU129" s="770"/>
      <c r="BV129" s="770"/>
      <c r="BW129" s="770"/>
      <c r="BX129" s="770"/>
      <c r="BY129" s="770"/>
      <c r="BZ129" s="770"/>
      <c r="CA129" s="770"/>
      <c r="CB129" s="770"/>
    </row>
    <row r="130" spans="1:80">
      <c r="A130" s="770"/>
      <c r="B130" s="770"/>
      <c r="C130" s="770"/>
      <c r="D130" s="770"/>
      <c r="E130" s="770"/>
      <c r="F130" s="770"/>
      <c r="G130" s="770"/>
      <c r="H130" s="770"/>
      <c r="I130" s="770"/>
      <c r="J130" s="770"/>
      <c r="K130" s="770"/>
      <c r="L130" s="876"/>
      <c r="M130" s="770"/>
      <c r="N130" s="770"/>
      <c r="O130" s="770"/>
      <c r="P130" s="770"/>
      <c r="Q130" s="770"/>
      <c r="R130" s="770"/>
      <c r="S130" s="770"/>
      <c r="T130" s="770"/>
      <c r="U130" s="770"/>
      <c r="V130" s="770"/>
      <c r="W130" s="770"/>
      <c r="X130" s="770"/>
      <c r="Y130" s="770"/>
      <c r="Z130" s="770"/>
      <c r="AA130" s="770"/>
      <c r="AB130" s="770"/>
      <c r="AC130" s="770"/>
      <c r="AD130" s="770"/>
      <c r="AE130" s="770"/>
      <c r="AF130" s="770"/>
      <c r="AG130" s="770"/>
      <c r="AH130" s="770"/>
      <c r="AI130" s="770"/>
      <c r="AJ130" s="770"/>
      <c r="AK130" s="770"/>
      <c r="AL130" s="770"/>
      <c r="AM130" s="770"/>
      <c r="AN130" s="770"/>
      <c r="AO130" s="770"/>
      <c r="AP130" s="770"/>
      <c r="AQ130" s="770"/>
      <c r="AR130" s="770"/>
      <c r="AS130" s="770"/>
      <c r="AT130" s="770"/>
      <c r="AU130" s="770"/>
      <c r="AV130" s="770"/>
      <c r="AW130" s="770"/>
      <c r="AX130" s="770"/>
      <c r="AY130" s="770"/>
      <c r="AZ130" s="770"/>
      <c r="BA130" s="770"/>
      <c r="BB130" s="770"/>
      <c r="BC130" s="770"/>
      <c r="BD130" s="770"/>
      <c r="BE130" s="770"/>
      <c r="BF130" s="770"/>
      <c r="BG130" s="770"/>
      <c r="BH130" s="770"/>
      <c r="BI130" s="770"/>
      <c r="BJ130" s="770"/>
      <c r="BK130" s="770"/>
      <c r="BL130" s="770"/>
      <c r="BM130" s="770"/>
      <c r="BN130" s="770"/>
      <c r="BO130" s="770"/>
      <c r="BP130" s="770"/>
      <c r="BQ130" s="770"/>
      <c r="BR130" s="770"/>
      <c r="BS130" s="770"/>
      <c r="BT130" s="770"/>
      <c r="BU130" s="770"/>
      <c r="BV130" s="770"/>
      <c r="BW130" s="770"/>
      <c r="BX130" s="770"/>
      <c r="BY130" s="770"/>
      <c r="BZ130" s="770"/>
      <c r="CA130" s="770"/>
      <c r="CB130" s="770"/>
    </row>
    <row r="131" spans="1:80">
      <c r="A131" s="770"/>
      <c r="B131" s="770"/>
      <c r="C131" s="770"/>
      <c r="D131" s="770"/>
      <c r="E131" s="770"/>
      <c r="F131" s="770"/>
      <c r="G131" s="770"/>
      <c r="H131" s="770"/>
      <c r="I131" s="770"/>
      <c r="J131" s="770"/>
      <c r="K131" s="770"/>
      <c r="L131" s="876"/>
      <c r="M131" s="770"/>
      <c r="N131" s="770"/>
      <c r="O131" s="770"/>
      <c r="P131" s="770"/>
      <c r="Q131" s="770"/>
      <c r="R131" s="770"/>
      <c r="S131" s="770"/>
      <c r="T131" s="770"/>
      <c r="U131" s="770"/>
      <c r="V131" s="770"/>
      <c r="W131" s="770"/>
      <c r="X131" s="770"/>
      <c r="Y131" s="770"/>
      <c r="Z131" s="770"/>
      <c r="AA131" s="770"/>
      <c r="AB131" s="770"/>
      <c r="AC131" s="770"/>
      <c r="AD131" s="770"/>
      <c r="AE131" s="770"/>
      <c r="AF131" s="770"/>
      <c r="AG131" s="770"/>
      <c r="AH131" s="770"/>
      <c r="AI131" s="770"/>
      <c r="AJ131" s="770"/>
      <c r="AK131" s="770"/>
      <c r="AL131" s="770"/>
      <c r="AM131" s="770"/>
      <c r="AN131" s="770"/>
      <c r="AO131" s="770"/>
      <c r="AP131" s="770"/>
      <c r="AQ131" s="770"/>
      <c r="AR131" s="770"/>
      <c r="AS131" s="770"/>
      <c r="AT131" s="770"/>
      <c r="AU131" s="770"/>
      <c r="AV131" s="770"/>
      <c r="AW131" s="770"/>
      <c r="AX131" s="770"/>
      <c r="AY131" s="770"/>
      <c r="AZ131" s="770"/>
      <c r="BA131" s="770"/>
      <c r="BB131" s="770"/>
      <c r="BC131" s="770"/>
      <c r="BD131" s="770"/>
      <c r="BE131" s="770"/>
      <c r="BF131" s="770"/>
      <c r="BG131" s="770"/>
      <c r="BH131" s="770"/>
      <c r="BI131" s="770"/>
      <c r="BJ131" s="770"/>
      <c r="BK131" s="770"/>
      <c r="BL131" s="770"/>
      <c r="BM131" s="770"/>
      <c r="BN131" s="770"/>
      <c r="BO131" s="770"/>
      <c r="BP131" s="770"/>
      <c r="BQ131" s="770"/>
      <c r="BR131" s="770"/>
      <c r="BS131" s="770"/>
      <c r="BT131" s="770"/>
      <c r="BU131" s="770"/>
      <c r="BV131" s="770"/>
      <c r="BW131" s="770"/>
      <c r="BX131" s="770"/>
      <c r="BY131" s="770"/>
      <c r="BZ131" s="770"/>
      <c r="CA131" s="770"/>
      <c r="CB131" s="770"/>
    </row>
    <row r="132" spans="1:80">
      <c r="A132" s="770"/>
      <c r="B132" s="770"/>
      <c r="C132" s="770"/>
      <c r="D132" s="770"/>
      <c r="E132" s="770"/>
      <c r="F132" s="770"/>
      <c r="G132" s="770"/>
      <c r="H132" s="770"/>
      <c r="I132" s="770"/>
      <c r="J132" s="770"/>
      <c r="K132" s="770"/>
      <c r="L132" s="876"/>
      <c r="M132" s="770"/>
      <c r="N132" s="770"/>
      <c r="O132" s="770"/>
      <c r="P132" s="770"/>
      <c r="Q132" s="770"/>
      <c r="R132" s="770"/>
      <c r="S132" s="770"/>
      <c r="T132" s="770"/>
      <c r="U132" s="770"/>
      <c r="V132" s="770"/>
      <c r="W132" s="770"/>
      <c r="X132" s="770"/>
      <c r="Y132" s="770"/>
      <c r="Z132" s="770"/>
      <c r="AA132" s="770"/>
      <c r="AB132" s="770"/>
      <c r="AC132" s="770"/>
      <c r="AD132" s="770"/>
      <c r="AE132" s="770"/>
      <c r="AF132" s="770"/>
      <c r="AG132" s="770"/>
      <c r="AH132" s="770"/>
      <c r="AI132" s="770"/>
      <c r="AJ132" s="770"/>
      <c r="AK132" s="770"/>
      <c r="AL132" s="770"/>
      <c r="AM132" s="770"/>
      <c r="AN132" s="770"/>
      <c r="AO132" s="770"/>
      <c r="AP132" s="770"/>
      <c r="AQ132" s="770"/>
      <c r="AR132" s="770"/>
      <c r="AS132" s="770"/>
      <c r="AT132" s="770"/>
      <c r="AU132" s="770"/>
      <c r="AV132" s="770"/>
      <c r="AW132" s="770"/>
      <c r="AX132" s="770"/>
      <c r="AY132" s="770"/>
      <c r="AZ132" s="770"/>
      <c r="BA132" s="770"/>
      <c r="BB132" s="770"/>
      <c r="BC132" s="770"/>
      <c r="BD132" s="770"/>
      <c r="BE132" s="770"/>
      <c r="BF132" s="770"/>
      <c r="BG132" s="770"/>
      <c r="BH132" s="770"/>
      <c r="BI132" s="770"/>
      <c r="BJ132" s="770"/>
      <c r="BK132" s="770"/>
      <c r="BL132" s="770"/>
      <c r="BM132" s="770"/>
      <c r="BN132" s="770"/>
      <c r="BO132" s="770"/>
      <c r="BP132" s="770"/>
      <c r="BQ132" s="770"/>
      <c r="BR132" s="770"/>
      <c r="BS132" s="770"/>
      <c r="BT132" s="770"/>
      <c r="BU132" s="770"/>
      <c r="BV132" s="770"/>
      <c r="BW132" s="770"/>
      <c r="BX132" s="770"/>
      <c r="BY132" s="770"/>
      <c r="BZ132" s="770"/>
      <c r="CA132" s="770"/>
      <c r="CB132" s="770"/>
    </row>
    <row r="133" spans="1:80">
      <c r="A133" s="770"/>
      <c r="B133" s="770"/>
      <c r="C133" s="770"/>
      <c r="D133" s="770"/>
      <c r="E133" s="770"/>
      <c r="F133" s="770"/>
      <c r="G133" s="770"/>
      <c r="H133" s="770"/>
      <c r="I133" s="770"/>
      <c r="J133" s="770"/>
      <c r="K133" s="770"/>
      <c r="L133" s="876"/>
      <c r="M133" s="770"/>
      <c r="N133" s="770"/>
      <c r="O133" s="770"/>
      <c r="P133" s="770"/>
      <c r="Q133" s="770"/>
      <c r="R133" s="770"/>
      <c r="S133" s="770"/>
      <c r="T133" s="770"/>
      <c r="U133" s="770"/>
      <c r="V133" s="770"/>
      <c r="W133" s="770"/>
      <c r="X133" s="770"/>
      <c r="Y133" s="770"/>
      <c r="Z133" s="770"/>
      <c r="AA133" s="770"/>
      <c r="AB133" s="770"/>
      <c r="AC133" s="770"/>
      <c r="AD133" s="770"/>
      <c r="AE133" s="770"/>
      <c r="AF133" s="770"/>
      <c r="AG133" s="770"/>
      <c r="AH133" s="770"/>
      <c r="AI133" s="770"/>
      <c r="AJ133" s="770"/>
      <c r="AK133" s="770"/>
      <c r="AL133" s="770"/>
      <c r="AM133" s="770"/>
      <c r="AN133" s="770"/>
      <c r="AO133" s="770"/>
      <c r="AP133" s="770"/>
      <c r="AQ133" s="770"/>
      <c r="AR133" s="770"/>
      <c r="AS133" s="770"/>
      <c r="AT133" s="770"/>
      <c r="AU133" s="770"/>
      <c r="AV133" s="770"/>
      <c r="AW133" s="770"/>
      <c r="AX133" s="770"/>
      <c r="AY133" s="770"/>
      <c r="AZ133" s="770"/>
      <c r="BA133" s="770"/>
      <c r="BB133" s="770"/>
      <c r="BC133" s="770"/>
      <c r="BD133" s="770"/>
      <c r="BE133" s="770"/>
      <c r="BF133" s="770"/>
      <c r="BG133" s="770"/>
      <c r="BH133" s="770"/>
      <c r="BI133" s="770"/>
      <c r="BJ133" s="770"/>
      <c r="BK133" s="770"/>
      <c r="BL133" s="770"/>
      <c r="BM133" s="770"/>
      <c r="BN133" s="770"/>
      <c r="BO133" s="770"/>
      <c r="BP133" s="770"/>
      <c r="BQ133" s="770"/>
      <c r="BR133" s="770"/>
      <c r="BS133" s="770"/>
      <c r="BT133" s="770"/>
      <c r="BU133" s="770"/>
      <c r="BV133" s="770"/>
      <c r="BW133" s="770"/>
      <c r="BX133" s="770"/>
      <c r="BY133" s="770"/>
      <c r="BZ133" s="770"/>
      <c r="CA133" s="770"/>
      <c r="CB133" s="770"/>
    </row>
    <row r="134" spans="1:80">
      <c r="A134" s="770"/>
      <c r="B134" s="770"/>
      <c r="C134" s="770"/>
      <c r="D134" s="770"/>
      <c r="E134" s="770"/>
      <c r="F134" s="770"/>
      <c r="G134" s="770"/>
      <c r="H134" s="770"/>
      <c r="I134" s="770"/>
      <c r="J134" s="770"/>
      <c r="K134" s="770"/>
      <c r="L134" s="876"/>
      <c r="M134" s="770"/>
      <c r="N134" s="770"/>
      <c r="O134" s="770"/>
      <c r="P134" s="770"/>
      <c r="Q134" s="770"/>
      <c r="R134" s="770"/>
      <c r="S134" s="770"/>
      <c r="T134" s="770"/>
      <c r="U134" s="770"/>
      <c r="V134" s="770"/>
      <c r="W134" s="770"/>
      <c r="X134" s="770"/>
      <c r="Y134" s="770"/>
      <c r="Z134" s="770"/>
      <c r="AA134" s="770"/>
      <c r="AB134" s="770"/>
      <c r="AC134" s="770"/>
      <c r="AD134" s="770"/>
      <c r="AE134" s="770"/>
      <c r="AF134" s="770"/>
      <c r="AG134" s="770"/>
      <c r="AH134" s="770"/>
      <c r="AI134" s="770"/>
      <c r="AJ134" s="770"/>
      <c r="AK134" s="770"/>
      <c r="AL134" s="770"/>
      <c r="AM134" s="770"/>
      <c r="AN134" s="770"/>
      <c r="AO134" s="770"/>
      <c r="AP134" s="770"/>
      <c r="AQ134" s="770"/>
      <c r="AR134" s="770"/>
      <c r="AS134" s="770"/>
      <c r="AT134" s="770"/>
      <c r="AU134" s="770"/>
      <c r="AV134" s="770"/>
      <c r="AW134" s="770"/>
      <c r="AX134" s="770"/>
      <c r="AY134" s="770"/>
      <c r="AZ134" s="770"/>
      <c r="BA134" s="770"/>
      <c r="BB134" s="770"/>
      <c r="BC134" s="770"/>
      <c r="BD134" s="770"/>
      <c r="BE134" s="770"/>
      <c r="BF134" s="770"/>
      <c r="BG134" s="770"/>
      <c r="BH134" s="770"/>
      <c r="BI134" s="770"/>
      <c r="BJ134" s="770"/>
      <c r="BK134" s="770"/>
      <c r="BL134" s="770"/>
      <c r="BM134" s="770"/>
      <c r="BN134" s="770"/>
      <c r="BO134" s="770"/>
      <c r="BP134" s="770"/>
      <c r="BQ134" s="770"/>
      <c r="BR134" s="770"/>
      <c r="BS134" s="770"/>
      <c r="BT134" s="770"/>
      <c r="BU134" s="770"/>
      <c r="BV134" s="770"/>
      <c r="BW134" s="770"/>
      <c r="BX134" s="770"/>
      <c r="BY134" s="770"/>
      <c r="BZ134" s="770"/>
      <c r="CA134" s="770"/>
      <c r="CB134" s="770"/>
    </row>
    <row r="135" spans="1:80">
      <c r="A135" s="770"/>
      <c r="B135" s="770"/>
      <c r="C135" s="770"/>
      <c r="D135" s="770"/>
      <c r="E135" s="770"/>
      <c r="F135" s="770"/>
      <c r="G135" s="770"/>
      <c r="H135" s="770"/>
      <c r="I135" s="770"/>
      <c r="J135" s="770"/>
      <c r="K135" s="770"/>
      <c r="L135" s="876"/>
      <c r="M135" s="770"/>
      <c r="N135" s="770"/>
      <c r="O135" s="770"/>
      <c r="P135" s="770"/>
      <c r="Q135" s="770"/>
      <c r="R135" s="770"/>
      <c r="S135" s="770"/>
      <c r="T135" s="770"/>
      <c r="U135" s="770"/>
      <c r="V135" s="770"/>
      <c r="W135" s="770"/>
      <c r="X135" s="770"/>
      <c r="Y135" s="770"/>
      <c r="Z135" s="770"/>
      <c r="AA135" s="770"/>
      <c r="AB135" s="770"/>
      <c r="AC135" s="770"/>
      <c r="AD135" s="770"/>
      <c r="AE135" s="770"/>
      <c r="AF135" s="770"/>
      <c r="AG135" s="770"/>
      <c r="AH135" s="770"/>
      <c r="AI135" s="770"/>
      <c r="AJ135" s="770"/>
      <c r="AK135" s="770"/>
      <c r="AL135" s="770"/>
      <c r="AM135" s="770"/>
      <c r="AN135" s="770"/>
      <c r="AO135" s="770"/>
      <c r="AP135" s="770"/>
      <c r="AQ135" s="770"/>
      <c r="AR135" s="770"/>
      <c r="AS135" s="770"/>
      <c r="AT135" s="770"/>
      <c r="AU135" s="770"/>
      <c r="AV135" s="770"/>
      <c r="AW135" s="770"/>
      <c r="AX135" s="770"/>
      <c r="AY135" s="770"/>
      <c r="AZ135" s="770"/>
      <c r="BA135" s="770"/>
      <c r="BB135" s="770"/>
      <c r="BC135" s="770"/>
      <c r="BD135" s="770"/>
      <c r="BE135" s="770"/>
      <c r="BF135" s="770"/>
      <c r="BG135" s="770"/>
      <c r="BH135" s="770"/>
      <c r="BI135" s="770"/>
      <c r="BJ135" s="770"/>
      <c r="BK135" s="770"/>
      <c r="BL135" s="770"/>
      <c r="BM135" s="770"/>
      <c r="BN135" s="770"/>
      <c r="BO135" s="770"/>
      <c r="BP135" s="770"/>
      <c r="BQ135" s="770"/>
      <c r="BR135" s="770"/>
      <c r="BS135" s="770"/>
      <c r="BT135" s="770"/>
      <c r="BU135" s="770"/>
      <c r="BV135" s="770"/>
      <c r="BW135" s="770"/>
      <c r="BX135" s="770"/>
      <c r="BY135" s="770"/>
      <c r="BZ135" s="770"/>
      <c r="CA135" s="770"/>
      <c r="CB135" s="770"/>
    </row>
    <row r="136" spans="1:80">
      <c r="A136" s="770"/>
      <c r="B136" s="770"/>
      <c r="C136" s="770"/>
      <c r="D136" s="770"/>
      <c r="E136" s="770"/>
      <c r="F136" s="770"/>
      <c r="G136" s="770"/>
      <c r="H136" s="770"/>
      <c r="I136" s="770"/>
      <c r="J136" s="770"/>
      <c r="K136" s="770"/>
      <c r="L136" s="876"/>
      <c r="M136" s="770"/>
      <c r="N136" s="770"/>
      <c r="O136" s="770"/>
      <c r="P136" s="770"/>
      <c r="Q136" s="770"/>
      <c r="R136" s="770"/>
      <c r="S136" s="770"/>
      <c r="T136" s="770"/>
      <c r="U136" s="770"/>
      <c r="V136" s="770"/>
      <c r="W136" s="770"/>
      <c r="X136" s="770"/>
      <c r="Y136" s="770"/>
      <c r="Z136" s="770"/>
      <c r="AA136" s="770"/>
      <c r="AB136" s="770"/>
      <c r="AC136" s="770"/>
      <c r="AD136" s="770"/>
      <c r="AE136" s="770"/>
      <c r="AF136" s="770"/>
      <c r="AG136" s="770"/>
      <c r="AH136" s="770"/>
      <c r="AI136" s="770"/>
      <c r="AJ136" s="770"/>
      <c r="AK136" s="770"/>
      <c r="AL136" s="770"/>
      <c r="AM136" s="770"/>
      <c r="AN136" s="770"/>
      <c r="AO136" s="770"/>
      <c r="AP136" s="770"/>
      <c r="AQ136" s="770"/>
      <c r="AR136" s="770"/>
      <c r="AS136" s="770"/>
      <c r="AT136" s="770"/>
      <c r="AU136" s="770"/>
      <c r="AV136" s="770"/>
      <c r="AW136" s="770"/>
      <c r="AX136" s="770"/>
      <c r="AY136" s="770"/>
      <c r="AZ136" s="770"/>
      <c r="BA136" s="770"/>
      <c r="BB136" s="770"/>
      <c r="BC136" s="770"/>
      <c r="BD136" s="770"/>
      <c r="BE136" s="770"/>
      <c r="BF136" s="770"/>
      <c r="BG136" s="770"/>
      <c r="BH136" s="770"/>
      <c r="BI136" s="770"/>
      <c r="BJ136" s="770"/>
      <c r="BK136" s="770"/>
      <c r="BL136" s="770"/>
      <c r="BM136" s="770"/>
      <c r="BN136" s="770"/>
      <c r="BO136" s="770"/>
      <c r="BP136" s="770"/>
      <c r="BQ136" s="770"/>
      <c r="BR136" s="770"/>
      <c r="BS136" s="770"/>
      <c r="BT136" s="770"/>
      <c r="BU136" s="770"/>
      <c r="BV136" s="770"/>
      <c r="BW136" s="770"/>
      <c r="BX136" s="770"/>
      <c r="BY136" s="770"/>
      <c r="BZ136" s="770"/>
      <c r="CA136" s="770"/>
      <c r="CB136" s="770"/>
    </row>
    <row r="137" spans="1:80">
      <c r="A137" s="770"/>
      <c r="B137" s="770"/>
      <c r="C137" s="770"/>
      <c r="D137" s="770"/>
      <c r="E137" s="770"/>
      <c r="F137" s="770"/>
      <c r="G137" s="770"/>
      <c r="H137" s="770"/>
      <c r="I137" s="770"/>
      <c r="J137" s="770"/>
      <c r="K137" s="770"/>
      <c r="L137" s="876"/>
      <c r="M137" s="770"/>
      <c r="N137" s="770"/>
      <c r="O137" s="770"/>
      <c r="P137" s="770"/>
      <c r="Q137" s="770"/>
      <c r="R137" s="770"/>
      <c r="S137" s="770"/>
      <c r="T137" s="770"/>
      <c r="U137" s="770"/>
      <c r="V137" s="770"/>
      <c r="W137" s="770"/>
      <c r="X137" s="770"/>
      <c r="Y137" s="770"/>
      <c r="Z137" s="770"/>
      <c r="AA137" s="770"/>
      <c r="AB137" s="770"/>
      <c r="AC137" s="770"/>
      <c r="AD137" s="770"/>
      <c r="AE137" s="770"/>
      <c r="AF137" s="770"/>
      <c r="AG137" s="770"/>
      <c r="AH137" s="770"/>
      <c r="AI137" s="770"/>
      <c r="AJ137" s="770"/>
      <c r="AK137" s="770"/>
      <c r="AL137" s="770"/>
      <c r="AM137" s="770"/>
      <c r="AN137" s="770"/>
      <c r="AO137" s="770"/>
      <c r="AP137" s="770"/>
      <c r="AQ137" s="770"/>
      <c r="AR137" s="770"/>
      <c r="AS137" s="770"/>
      <c r="AT137" s="770"/>
      <c r="AU137" s="770"/>
      <c r="AV137" s="770"/>
      <c r="AW137" s="770"/>
      <c r="AX137" s="770"/>
      <c r="AY137" s="770"/>
      <c r="AZ137" s="770"/>
      <c r="BA137" s="770"/>
      <c r="BB137" s="770"/>
      <c r="BC137" s="770"/>
      <c r="BD137" s="770"/>
      <c r="BE137" s="770"/>
      <c r="BF137" s="770"/>
      <c r="BG137" s="770"/>
      <c r="BH137" s="770"/>
      <c r="BI137" s="770"/>
      <c r="BJ137" s="770"/>
      <c r="BK137" s="770"/>
      <c r="BL137" s="770"/>
      <c r="BM137" s="770"/>
      <c r="BN137" s="770"/>
      <c r="BO137" s="770"/>
      <c r="BP137" s="770"/>
      <c r="BQ137" s="770"/>
      <c r="BR137" s="770"/>
      <c r="BS137" s="770"/>
      <c r="BT137" s="770"/>
      <c r="BU137" s="770"/>
      <c r="BV137" s="770"/>
      <c r="BW137" s="770"/>
      <c r="BX137" s="770"/>
      <c r="BY137" s="770"/>
      <c r="BZ137" s="770"/>
      <c r="CA137" s="770"/>
      <c r="CB137" s="770"/>
    </row>
    <row r="138" spans="1:80">
      <c r="A138" s="770"/>
      <c r="B138" s="770"/>
      <c r="C138" s="770"/>
      <c r="D138" s="770"/>
      <c r="E138" s="770"/>
      <c r="F138" s="770"/>
      <c r="G138" s="770"/>
      <c r="H138" s="770"/>
      <c r="I138" s="770"/>
      <c r="J138" s="770"/>
      <c r="K138" s="770"/>
      <c r="L138" s="876"/>
      <c r="M138" s="770"/>
      <c r="N138" s="770"/>
      <c r="O138" s="770"/>
      <c r="P138" s="770"/>
      <c r="Q138" s="770"/>
      <c r="R138" s="770"/>
      <c r="S138" s="770"/>
      <c r="T138" s="770"/>
      <c r="U138" s="770"/>
      <c r="V138" s="770"/>
      <c r="W138" s="770"/>
      <c r="X138" s="770"/>
      <c r="Y138" s="770"/>
      <c r="Z138" s="770"/>
      <c r="AA138" s="770"/>
      <c r="AB138" s="770"/>
      <c r="AC138" s="770"/>
      <c r="AD138" s="770"/>
      <c r="AE138" s="770"/>
      <c r="AF138" s="770"/>
      <c r="AG138" s="770"/>
      <c r="AH138" s="770"/>
      <c r="AI138" s="770"/>
      <c r="AJ138" s="770"/>
      <c r="AK138" s="770"/>
      <c r="AL138" s="770"/>
      <c r="AM138" s="770"/>
      <c r="AN138" s="770"/>
      <c r="AO138" s="770"/>
      <c r="AP138" s="770"/>
      <c r="AQ138" s="770"/>
      <c r="AR138" s="770"/>
      <c r="AS138" s="770"/>
      <c r="AT138" s="770"/>
      <c r="AU138" s="770"/>
      <c r="AV138" s="770"/>
      <c r="AW138" s="770"/>
      <c r="AX138" s="770"/>
      <c r="AY138" s="770"/>
      <c r="AZ138" s="770"/>
      <c r="BA138" s="770"/>
      <c r="BB138" s="770"/>
      <c r="BC138" s="770"/>
      <c r="BD138" s="770"/>
      <c r="BE138" s="770"/>
      <c r="BF138" s="770"/>
      <c r="BG138" s="770"/>
      <c r="BH138" s="770"/>
      <c r="BI138" s="770"/>
      <c r="BJ138" s="770"/>
      <c r="BK138" s="770"/>
      <c r="BL138" s="770"/>
      <c r="BM138" s="770"/>
      <c r="BN138" s="770"/>
      <c r="BO138" s="770"/>
      <c r="BP138" s="770"/>
      <c r="BQ138" s="770"/>
      <c r="BR138" s="770"/>
      <c r="BS138" s="770"/>
      <c r="BT138" s="770"/>
      <c r="BU138" s="770"/>
      <c r="BV138" s="770"/>
      <c r="BW138" s="770"/>
      <c r="BX138" s="770"/>
      <c r="BY138" s="770"/>
      <c r="BZ138" s="770"/>
      <c r="CA138" s="770"/>
      <c r="CB138" s="770"/>
    </row>
    <row r="139" spans="1:80">
      <c r="A139" s="770"/>
      <c r="B139" s="770"/>
      <c r="C139" s="770"/>
      <c r="D139" s="770"/>
      <c r="E139" s="770"/>
      <c r="F139" s="770"/>
      <c r="G139" s="770"/>
      <c r="H139" s="770"/>
      <c r="I139" s="770"/>
      <c r="J139" s="770"/>
      <c r="K139" s="770"/>
      <c r="L139" s="876"/>
      <c r="M139" s="770"/>
      <c r="N139" s="770"/>
      <c r="O139" s="770"/>
      <c r="P139" s="770"/>
      <c r="Q139" s="770"/>
      <c r="R139" s="770"/>
      <c r="S139" s="770"/>
      <c r="T139" s="770"/>
      <c r="U139" s="770"/>
      <c r="V139" s="770"/>
      <c r="W139" s="770"/>
      <c r="X139" s="770"/>
      <c r="Y139" s="770"/>
      <c r="Z139" s="770"/>
      <c r="AA139" s="770"/>
      <c r="AB139" s="770"/>
      <c r="AC139" s="770"/>
      <c r="AD139" s="770"/>
      <c r="AE139" s="770"/>
      <c r="AF139" s="770"/>
      <c r="AG139" s="770"/>
      <c r="AH139" s="770"/>
      <c r="AI139" s="770"/>
      <c r="AJ139" s="770"/>
      <c r="AK139" s="770"/>
      <c r="AL139" s="770"/>
      <c r="AM139" s="770"/>
      <c r="AN139" s="770"/>
      <c r="AO139" s="770"/>
      <c r="AP139" s="770"/>
      <c r="AQ139" s="770"/>
      <c r="AR139" s="770"/>
      <c r="AS139" s="770"/>
      <c r="AT139" s="770"/>
      <c r="AU139" s="770"/>
      <c r="AV139" s="770"/>
      <c r="AW139" s="770"/>
      <c r="AX139" s="770"/>
      <c r="AY139" s="770"/>
      <c r="AZ139" s="770"/>
      <c r="BA139" s="770"/>
      <c r="BB139" s="770"/>
      <c r="BC139" s="770"/>
      <c r="BD139" s="770"/>
      <c r="BE139" s="770"/>
      <c r="BF139" s="770"/>
      <c r="BG139" s="770"/>
      <c r="BH139" s="770"/>
      <c r="BI139" s="770"/>
      <c r="BJ139" s="770"/>
      <c r="BK139" s="770"/>
      <c r="BL139" s="770"/>
      <c r="BM139" s="770"/>
      <c r="BN139" s="770"/>
      <c r="BO139" s="770"/>
      <c r="BP139" s="770"/>
      <c r="BQ139" s="770"/>
      <c r="BR139" s="770"/>
      <c r="BS139" s="770"/>
      <c r="BT139" s="770"/>
      <c r="BU139" s="770"/>
      <c r="BV139" s="770"/>
      <c r="BW139" s="770"/>
      <c r="BX139" s="770"/>
      <c r="BY139" s="770"/>
      <c r="BZ139" s="770"/>
      <c r="CA139" s="770"/>
      <c r="CB139" s="770"/>
    </row>
    <row r="140" spans="1:80">
      <c r="A140" s="770"/>
      <c r="B140" s="770"/>
      <c r="C140" s="770"/>
      <c r="D140" s="770"/>
      <c r="E140" s="770"/>
      <c r="F140" s="770"/>
      <c r="G140" s="770"/>
      <c r="H140" s="770"/>
      <c r="I140" s="770"/>
      <c r="J140" s="770"/>
      <c r="K140" s="770"/>
      <c r="L140" s="876"/>
      <c r="M140" s="770"/>
      <c r="N140" s="770"/>
      <c r="O140" s="770"/>
      <c r="P140" s="770"/>
      <c r="Q140" s="770"/>
      <c r="R140" s="770"/>
      <c r="S140" s="770"/>
      <c r="T140" s="770"/>
      <c r="U140" s="770"/>
      <c r="V140" s="770"/>
      <c r="W140" s="770"/>
      <c r="X140" s="770"/>
      <c r="Y140" s="770"/>
      <c r="Z140" s="770"/>
      <c r="AA140" s="770"/>
      <c r="AB140" s="770"/>
      <c r="AC140" s="770"/>
      <c r="AD140" s="770"/>
      <c r="AE140" s="770"/>
      <c r="AF140" s="770"/>
      <c r="AG140" s="770"/>
      <c r="AH140" s="770"/>
      <c r="AI140" s="770"/>
      <c r="AJ140" s="770"/>
      <c r="AK140" s="770"/>
      <c r="AL140" s="770"/>
      <c r="AM140" s="770"/>
      <c r="AN140" s="770"/>
      <c r="AO140" s="770"/>
      <c r="AP140" s="770"/>
      <c r="AQ140" s="770"/>
      <c r="AR140" s="770"/>
      <c r="AS140" s="770"/>
      <c r="AT140" s="770"/>
      <c r="AU140" s="770"/>
      <c r="AV140" s="770"/>
      <c r="AW140" s="770"/>
      <c r="AX140" s="770"/>
      <c r="AY140" s="770"/>
      <c r="AZ140" s="770"/>
      <c r="BA140" s="770"/>
      <c r="BB140" s="770"/>
      <c r="BC140" s="770"/>
      <c r="BD140" s="770"/>
      <c r="BE140" s="770"/>
      <c r="BF140" s="770"/>
      <c r="BG140" s="770"/>
      <c r="BH140" s="770"/>
      <c r="BI140" s="770"/>
      <c r="BJ140" s="770"/>
      <c r="BK140" s="770"/>
      <c r="BL140" s="770"/>
      <c r="BM140" s="770"/>
      <c r="BN140" s="770"/>
      <c r="BO140" s="770"/>
      <c r="BP140" s="770"/>
      <c r="BQ140" s="770"/>
      <c r="BR140" s="770"/>
      <c r="BS140" s="770"/>
      <c r="BT140" s="770"/>
      <c r="BU140" s="770"/>
      <c r="BV140" s="770"/>
      <c r="BW140" s="770"/>
      <c r="BX140" s="770"/>
      <c r="BY140" s="770"/>
      <c r="BZ140" s="770"/>
      <c r="CA140" s="770"/>
      <c r="CB140" s="770"/>
    </row>
    <row r="141" spans="1:80">
      <c r="A141" s="770"/>
      <c r="B141" s="770"/>
      <c r="C141" s="770"/>
      <c r="D141" s="770"/>
      <c r="E141" s="770"/>
      <c r="F141" s="770"/>
      <c r="G141" s="770"/>
      <c r="H141" s="770"/>
      <c r="I141" s="770"/>
      <c r="J141" s="770"/>
      <c r="K141" s="770"/>
      <c r="L141" s="876"/>
      <c r="M141" s="770"/>
      <c r="N141" s="770"/>
      <c r="O141" s="770"/>
      <c r="P141" s="770"/>
      <c r="Q141" s="770"/>
      <c r="R141" s="770"/>
      <c r="S141" s="770"/>
      <c r="T141" s="770"/>
      <c r="U141" s="770"/>
      <c r="V141" s="770"/>
      <c r="W141" s="770"/>
      <c r="X141" s="770"/>
      <c r="Y141" s="770"/>
      <c r="Z141" s="770"/>
      <c r="AA141" s="770"/>
      <c r="AB141" s="770"/>
      <c r="AC141" s="770"/>
      <c r="AD141" s="770"/>
      <c r="AE141" s="770"/>
      <c r="AF141" s="770"/>
      <c r="AG141" s="770"/>
      <c r="AH141" s="770"/>
      <c r="AI141" s="770"/>
      <c r="AJ141" s="770"/>
      <c r="AK141" s="770"/>
      <c r="AL141" s="770"/>
      <c r="AM141" s="770"/>
      <c r="AN141" s="770"/>
      <c r="AO141" s="770"/>
      <c r="AP141" s="770"/>
      <c r="AQ141" s="770"/>
      <c r="AR141" s="770"/>
      <c r="AS141" s="770"/>
      <c r="AT141" s="770"/>
      <c r="AU141" s="770"/>
      <c r="AV141" s="770"/>
      <c r="AW141" s="770"/>
      <c r="AX141" s="770"/>
      <c r="AY141" s="770"/>
      <c r="AZ141" s="770"/>
      <c r="BA141" s="770"/>
      <c r="BB141" s="770"/>
      <c r="BC141" s="770"/>
      <c r="BD141" s="770"/>
      <c r="BE141" s="770"/>
      <c r="BF141" s="770"/>
      <c r="BG141" s="770"/>
      <c r="BH141" s="770"/>
      <c r="BI141" s="770"/>
      <c r="BJ141" s="770"/>
      <c r="BK141" s="770"/>
      <c r="BL141" s="770"/>
      <c r="BM141" s="770"/>
      <c r="BN141" s="770"/>
      <c r="BO141" s="770"/>
      <c r="BP141" s="770"/>
      <c r="BQ141" s="770"/>
      <c r="BR141" s="770"/>
      <c r="BS141" s="770"/>
      <c r="BT141" s="770"/>
      <c r="BU141" s="770"/>
      <c r="BV141" s="770"/>
      <c r="BW141" s="770"/>
      <c r="BX141" s="770"/>
      <c r="BY141" s="770"/>
      <c r="BZ141" s="770"/>
      <c r="CA141" s="770"/>
      <c r="CB141" s="770"/>
    </row>
    <row r="142" spans="1:80">
      <c r="A142" s="770"/>
      <c r="B142" s="770"/>
      <c r="C142" s="770"/>
      <c r="D142" s="770"/>
      <c r="E142" s="770"/>
      <c r="F142" s="770"/>
      <c r="G142" s="770"/>
      <c r="H142" s="770"/>
      <c r="I142" s="770"/>
      <c r="J142" s="770"/>
      <c r="K142" s="770"/>
      <c r="L142" s="876"/>
      <c r="M142" s="770"/>
      <c r="N142" s="770"/>
      <c r="O142" s="770"/>
      <c r="P142" s="770"/>
      <c r="Q142" s="770"/>
      <c r="R142" s="770"/>
      <c r="S142" s="770"/>
      <c r="T142" s="770"/>
      <c r="U142" s="770"/>
      <c r="V142" s="770"/>
      <c r="W142" s="770"/>
      <c r="X142" s="770"/>
      <c r="Y142" s="770"/>
      <c r="Z142" s="770"/>
      <c r="AA142" s="770"/>
      <c r="AB142" s="770"/>
      <c r="AC142" s="770"/>
      <c r="AD142" s="770"/>
      <c r="AE142" s="770"/>
      <c r="AF142" s="770"/>
      <c r="AG142" s="770"/>
      <c r="AH142" s="770"/>
      <c r="AI142" s="770"/>
      <c r="AJ142" s="770"/>
      <c r="AK142" s="770"/>
      <c r="AL142" s="770"/>
      <c r="AM142" s="770"/>
      <c r="AN142" s="770"/>
      <c r="AO142" s="770"/>
      <c r="AP142" s="770"/>
      <c r="AQ142" s="770"/>
      <c r="AR142" s="770"/>
      <c r="AS142" s="770"/>
      <c r="AT142" s="770"/>
      <c r="AU142" s="770"/>
      <c r="AV142" s="770"/>
      <c r="AW142" s="770"/>
      <c r="AX142" s="770"/>
      <c r="AY142" s="770"/>
      <c r="AZ142" s="770"/>
      <c r="BA142" s="770"/>
      <c r="BB142" s="770"/>
      <c r="BC142" s="770"/>
      <c r="BD142" s="770"/>
      <c r="BE142" s="770"/>
      <c r="BF142" s="770"/>
      <c r="BG142" s="770"/>
      <c r="BH142" s="770"/>
      <c r="BI142" s="770"/>
      <c r="BJ142" s="770"/>
      <c r="BK142" s="770"/>
      <c r="BL142" s="770"/>
      <c r="BM142" s="770"/>
      <c r="BN142" s="770"/>
      <c r="BO142" s="770"/>
      <c r="BP142" s="770"/>
      <c r="BQ142" s="770"/>
      <c r="BR142" s="770"/>
      <c r="BS142" s="770"/>
      <c r="BT142" s="770"/>
      <c r="BU142" s="770"/>
      <c r="BV142" s="770"/>
      <c r="BW142" s="770"/>
      <c r="BX142" s="770"/>
      <c r="BY142" s="770"/>
      <c r="BZ142" s="770"/>
      <c r="CA142" s="770"/>
      <c r="CB142" s="770"/>
    </row>
    <row r="143" spans="1:80">
      <c r="A143" s="770"/>
      <c r="B143" s="770"/>
      <c r="C143" s="770"/>
      <c r="D143" s="770"/>
      <c r="E143" s="770"/>
      <c r="F143" s="770"/>
      <c r="G143" s="770"/>
      <c r="H143" s="770"/>
      <c r="I143" s="770"/>
      <c r="J143" s="770"/>
      <c r="K143" s="770"/>
      <c r="L143" s="876"/>
      <c r="M143" s="770"/>
      <c r="N143" s="770"/>
      <c r="O143" s="770"/>
      <c r="P143" s="770"/>
      <c r="Q143" s="770"/>
      <c r="R143" s="770"/>
      <c r="S143" s="770"/>
      <c r="T143" s="770"/>
      <c r="U143" s="770"/>
      <c r="V143" s="770"/>
      <c r="W143" s="770"/>
      <c r="X143" s="770"/>
      <c r="Y143" s="770"/>
      <c r="Z143" s="770"/>
      <c r="AA143" s="770"/>
      <c r="AB143" s="770"/>
      <c r="AC143" s="770"/>
      <c r="AD143" s="770"/>
      <c r="AE143" s="770"/>
      <c r="AF143" s="770"/>
      <c r="AG143" s="770"/>
      <c r="AH143" s="770"/>
      <c r="AI143" s="770"/>
      <c r="AJ143" s="770"/>
      <c r="AK143" s="770"/>
      <c r="AL143" s="770"/>
      <c r="AM143" s="770"/>
      <c r="AN143" s="770"/>
      <c r="AO143" s="770"/>
      <c r="AP143" s="770"/>
      <c r="AQ143" s="770"/>
      <c r="AR143" s="770"/>
      <c r="AS143" s="770"/>
      <c r="AT143" s="770"/>
      <c r="AU143" s="770"/>
      <c r="AV143" s="770"/>
      <c r="AW143" s="770"/>
      <c r="AX143" s="770"/>
      <c r="AY143" s="770"/>
      <c r="AZ143" s="770"/>
      <c r="BA143" s="770"/>
      <c r="BB143" s="770"/>
      <c r="BC143" s="770"/>
      <c r="BD143" s="770"/>
      <c r="BE143" s="770"/>
      <c r="BF143" s="770"/>
      <c r="BG143" s="770"/>
      <c r="BH143" s="770"/>
      <c r="BI143" s="770"/>
      <c r="BJ143" s="770"/>
      <c r="BK143" s="770"/>
      <c r="BL143" s="770"/>
      <c r="BM143" s="770"/>
      <c r="BN143" s="770"/>
      <c r="BO143" s="770"/>
      <c r="BP143" s="770"/>
      <c r="BQ143" s="770"/>
      <c r="BR143" s="770"/>
      <c r="BS143" s="770"/>
      <c r="BT143" s="770"/>
      <c r="BU143" s="770"/>
      <c r="BV143" s="770"/>
      <c r="BW143" s="770"/>
      <c r="BX143" s="770"/>
      <c r="BY143" s="770"/>
      <c r="BZ143" s="770"/>
      <c r="CA143" s="770"/>
      <c r="CB143" s="770"/>
    </row>
    <row r="144" spans="1:80">
      <c r="A144" s="770"/>
      <c r="B144" s="770"/>
      <c r="C144" s="770"/>
      <c r="D144" s="770"/>
      <c r="E144" s="770"/>
      <c r="F144" s="770"/>
      <c r="G144" s="770"/>
      <c r="H144" s="770"/>
      <c r="I144" s="770"/>
      <c r="J144" s="770"/>
      <c r="K144" s="770"/>
      <c r="L144" s="876"/>
      <c r="M144" s="770"/>
      <c r="N144" s="770"/>
      <c r="O144" s="770"/>
      <c r="P144" s="770"/>
      <c r="Q144" s="770"/>
      <c r="R144" s="770"/>
      <c r="S144" s="770"/>
      <c r="T144" s="770"/>
      <c r="U144" s="770"/>
      <c r="V144" s="770"/>
      <c r="W144" s="770"/>
      <c r="X144" s="770"/>
      <c r="Y144" s="770"/>
      <c r="Z144" s="770"/>
      <c r="AA144" s="770"/>
      <c r="AB144" s="770"/>
      <c r="AC144" s="770"/>
      <c r="AD144" s="770"/>
      <c r="AE144" s="770"/>
      <c r="AF144" s="770"/>
      <c r="AG144" s="770"/>
      <c r="AH144" s="770"/>
      <c r="AI144" s="770"/>
      <c r="AJ144" s="770"/>
      <c r="AK144" s="770"/>
      <c r="AL144" s="770"/>
      <c r="AM144" s="770"/>
      <c r="AN144" s="770"/>
      <c r="AO144" s="770"/>
      <c r="AP144" s="770"/>
      <c r="AQ144" s="770"/>
      <c r="AR144" s="770"/>
      <c r="AS144" s="770"/>
      <c r="AT144" s="770"/>
      <c r="AU144" s="770"/>
      <c r="AV144" s="770"/>
      <c r="AW144" s="770"/>
      <c r="AX144" s="770"/>
      <c r="AY144" s="770"/>
      <c r="AZ144" s="770"/>
      <c r="BA144" s="770"/>
      <c r="BB144" s="770"/>
      <c r="BC144" s="770"/>
      <c r="BD144" s="770"/>
      <c r="BE144" s="770"/>
      <c r="BF144" s="770"/>
      <c r="BG144" s="770"/>
      <c r="BH144" s="770"/>
      <c r="BI144" s="770"/>
      <c r="BJ144" s="770"/>
      <c r="BK144" s="770"/>
      <c r="BL144" s="770"/>
      <c r="BM144" s="770"/>
      <c r="BN144" s="770"/>
      <c r="BO144" s="770"/>
      <c r="BP144" s="770"/>
      <c r="BQ144" s="770"/>
      <c r="BR144" s="770"/>
      <c r="BS144" s="770"/>
      <c r="BT144" s="770"/>
      <c r="BU144" s="770"/>
      <c r="BV144" s="770"/>
      <c r="BW144" s="770"/>
      <c r="BX144" s="770"/>
      <c r="BY144" s="770"/>
      <c r="BZ144" s="770"/>
      <c r="CA144" s="770"/>
      <c r="CB144" s="770"/>
    </row>
    <row r="145" spans="1:80">
      <c r="A145" s="770"/>
      <c r="B145" s="770"/>
      <c r="C145" s="770"/>
      <c r="D145" s="770"/>
      <c r="E145" s="770"/>
      <c r="F145" s="770"/>
      <c r="G145" s="770"/>
      <c r="H145" s="770"/>
      <c r="I145" s="770"/>
      <c r="J145" s="770"/>
      <c r="K145" s="770"/>
      <c r="L145" s="876"/>
      <c r="M145" s="770"/>
      <c r="N145" s="770"/>
      <c r="O145" s="770"/>
      <c r="P145" s="770"/>
      <c r="Q145" s="770"/>
      <c r="R145" s="770"/>
      <c r="S145" s="770"/>
      <c r="T145" s="770"/>
      <c r="U145" s="770"/>
      <c r="V145" s="770"/>
      <c r="W145" s="770"/>
      <c r="X145" s="770"/>
      <c r="Y145" s="770"/>
      <c r="Z145" s="770"/>
      <c r="AA145" s="770"/>
      <c r="AB145" s="770"/>
      <c r="AC145" s="770"/>
      <c r="AD145" s="770"/>
      <c r="AE145" s="770"/>
      <c r="AF145" s="770"/>
      <c r="AG145" s="770"/>
      <c r="AH145" s="770"/>
      <c r="AI145" s="770"/>
      <c r="AJ145" s="770"/>
      <c r="AK145" s="770"/>
      <c r="AL145" s="770"/>
      <c r="AM145" s="770"/>
      <c r="AN145" s="770"/>
      <c r="AO145" s="770"/>
      <c r="AP145" s="770"/>
      <c r="AQ145" s="770"/>
      <c r="AR145" s="770"/>
      <c r="AS145" s="770"/>
      <c r="AT145" s="770"/>
      <c r="AU145" s="770"/>
      <c r="AV145" s="770"/>
      <c r="AW145" s="770"/>
      <c r="AX145" s="770"/>
      <c r="AY145" s="770"/>
      <c r="AZ145" s="770"/>
      <c r="BA145" s="770"/>
      <c r="BB145" s="770"/>
      <c r="BC145" s="770"/>
      <c r="BD145" s="770"/>
      <c r="BE145" s="770"/>
      <c r="BF145" s="770"/>
      <c r="BG145" s="770"/>
      <c r="BH145" s="770"/>
      <c r="BI145" s="770"/>
      <c r="BJ145" s="770"/>
      <c r="BK145" s="770"/>
      <c r="BL145" s="770"/>
      <c r="BM145" s="770"/>
      <c r="BN145" s="770"/>
      <c r="BO145" s="770"/>
      <c r="BP145" s="770"/>
      <c r="BQ145" s="770"/>
      <c r="BR145" s="770"/>
      <c r="BS145" s="770"/>
      <c r="BT145" s="770"/>
      <c r="BU145" s="770"/>
      <c r="BV145" s="770"/>
      <c r="BW145" s="770"/>
      <c r="BX145" s="770"/>
      <c r="BY145" s="770"/>
      <c r="BZ145" s="770"/>
      <c r="CA145" s="770"/>
      <c r="CB145" s="770"/>
    </row>
    <row r="146" spans="1:80">
      <c r="A146" s="770"/>
      <c r="B146" s="770"/>
      <c r="C146" s="770"/>
      <c r="D146" s="770"/>
      <c r="E146" s="770"/>
      <c r="F146" s="770"/>
      <c r="G146" s="770"/>
      <c r="H146" s="770"/>
      <c r="I146" s="770"/>
      <c r="J146" s="770"/>
      <c r="K146" s="770"/>
      <c r="L146" s="876"/>
      <c r="M146" s="770"/>
      <c r="N146" s="770"/>
      <c r="O146" s="770"/>
      <c r="P146" s="770"/>
      <c r="Q146" s="770"/>
      <c r="R146" s="770"/>
      <c r="S146" s="770"/>
      <c r="T146" s="770"/>
      <c r="U146" s="770"/>
      <c r="V146" s="770"/>
      <c r="W146" s="770"/>
      <c r="X146" s="770"/>
      <c r="Y146" s="770"/>
      <c r="Z146" s="770"/>
      <c r="AA146" s="770"/>
      <c r="AB146" s="770"/>
      <c r="AC146" s="770"/>
      <c r="AD146" s="770"/>
      <c r="AE146" s="770"/>
      <c r="AF146" s="770"/>
      <c r="AG146" s="770"/>
      <c r="AH146" s="770"/>
      <c r="AI146" s="770"/>
      <c r="AJ146" s="770"/>
      <c r="AK146" s="770"/>
      <c r="AL146" s="770"/>
      <c r="AM146" s="770"/>
      <c r="AN146" s="770"/>
      <c r="AO146" s="770"/>
      <c r="AP146" s="770"/>
      <c r="AQ146" s="770"/>
      <c r="AR146" s="770"/>
      <c r="AS146" s="770"/>
      <c r="AT146" s="770"/>
      <c r="AU146" s="770"/>
      <c r="AV146" s="770"/>
      <c r="AW146" s="770"/>
      <c r="AX146" s="770"/>
      <c r="AY146" s="770"/>
      <c r="AZ146" s="770"/>
      <c r="BA146" s="770"/>
      <c r="BB146" s="770"/>
      <c r="BC146" s="770"/>
      <c r="BD146" s="770"/>
      <c r="BE146" s="770"/>
      <c r="BF146" s="770"/>
      <c r="BG146" s="770"/>
      <c r="BH146" s="770"/>
      <c r="BI146" s="770"/>
      <c r="BJ146" s="770"/>
      <c r="BK146" s="770"/>
      <c r="BL146" s="770"/>
      <c r="BM146" s="770"/>
      <c r="BN146" s="770"/>
      <c r="BO146" s="770"/>
      <c r="BP146" s="770"/>
      <c r="BQ146" s="770"/>
      <c r="BR146" s="770"/>
      <c r="BS146" s="770"/>
      <c r="BT146" s="770"/>
      <c r="BU146" s="770"/>
      <c r="BV146" s="770"/>
      <c r="BW146" s="770"/>
      <c r="BX146" s="770"/>
      <c r="BY146" s="770"/>
      <c r="BZ146" s="770"/>
      <c r="CA146" s="770"/>
      <c r="CB146" s="770"/>
    </row>
    <row r="147" spans="1:80">
      <c r="A147" s="770"/>
      <c r="B147" s="770"/>
      <c r="C147" s="770"/>
      <c r="D147" s="770"/>
      <c r="E147" s="770"/>
      <c r="F147" s="770"/>
      <c r="G147" s="770"/>
      <c r="H147" s="770"/>
      <c r="I147" s="770"/>
      <c r="J147" s="770"/>
      <c r="K147" s="770"/>
      <c r="L147" s="876"/>
      <c r="M147" s="770"/>
      <c r="N147" s="770"/>
      <c r="O147" s="770"/>
      <c r="P147" s="770"/>
      <c r="Q147" s="770"/>
      <c r="R147" s="770"/>
      <c r="S147" s="770"/>
      <c r="T147" s="770"/>
      <c r="U147" s="770"/>
      <c r="V147" s="770"/>
      <c r="W147" s="770"/>
      <c r="X147" s="770"/>
      <c r="Y147" s="770"/>
      <c r="Z147" s="770"/>
      <c r="AA147" s="770"/>
      <c r="AB147" s="770"/>
      <c r="AC147" s="770"/>
      <c r="AD147" s="770"/>
      <c r="AE147" s="770"/>
      <c r="AF147" s="770"/>
      <c r="AG147" s="770"/>
      <c r="AH147" s="770"/>
      <c r="AI147" s="770"/>
      <c r="AJ147" s="770"/>
      <c r="AK147" s="770"/>
      <c r="AL147" s="770"/>
      <c r="AM147" s="770"/>
      <c r="AN147" s="770"/>
      <c r="AO147" s="770"/>
      <c r="AP147" s="770"/>
      <c r="AQ147" s="770"/>
      <c r="AR147" s="770"/>
      <c r="AS147" s="770"/>
      <c r="AT147" s="770"/>
      <c r="AU147" s="770"/>
      <c r="AV147" s="770"/>
      <c r="AW147" s="770"/>
      <c r="AX147" s="770"/>
      <c r="AY147" s="770"/>
      <c r="AZ147" s="770"/>
      <c r="BA147" s="770"/>
      <c r="BB147" s="770"/>
      <c r="BC147" s="770"/>
      <c r="BD147" s="770"/>
      <c r="BE147" s="770"/>
      <c r="BF147" s="770"/>
      <c r="BG147" s="770"/>
      <c r="BH147" s="770"/>
      <c r="BI147" s="770"/>
      <c r="BJ147" s="770"/>
      <c r="BK147" s="770"/>
      <c r="BL147" s="770"/>
      <c r="BM147" s="770"/>
      <c r="BN147" s="770"/>
      <c r="BO147" s="770"/>
      <c r="BP147" s="770"/>
      <c r="BQ147" s="770"/>
      <c r="BR147" s="770"/>
      <c r="BS147" s="770"/>
      <c r="BT147" s="770"/>
      <c r="BU147" s="770"/>
      <c r="BV147" s="770"/>
      <c r="BW147" s="770"/>
      <c r="BX147" s="770"/>
      <c r="BY147" s="770"/>
      <c r="BZ147" s="770"/>
      <c r="CA147" s="770"/>
      <c r="CB147" s="770"/>
    </row>
    <row r="148" spans="1:80">
      <c r="A148" s="770"/>
      <c r="B148" s="770"/>
      <c r="C148" s="770"/>
      <c r="D148" s="770"/>
      <c r="E148" s="770"/>
      <c r="F148" s="770"/>
      <c r="G148" s="770"/>
      <c r="H148" s="770"/>
      <c r="I148" s="770"/>
      <c r="J148" s="770"/>
      <c r="K148" s="770"/>
      <c r="L148" s="876"/>
      <c r="M148" s="770"/>
      <c r="N148" s="770"/>
      <c r="O148" s="770"/>
      <c r="P148" s="770"/>
      <c r="Q148" s="770"/>
      <c r="R148" s="770"/>
      <c r="S148" s="770"/>
      <c r="T148" s="770"/>
      <c r="U148" s="770"/>
      <c r="V148" s="770"/>
      <c r="W148" s="770"/>
      <c r="X148" s="770"/>
      <c r="Y148" s="770"/>
      <c r="Z148" s="770"/>
      <c r="AA148" s="770"/>
      <c r="AB148" s="770"/>
      <c r="AC148" s="770"/>
      <c r="AD148" s="770"/>
      <c r="AE148" s="770"/>
      <c r="AF148" s="770"/>
      <c r="AG148" s="770"/>
      <c r="AH148" s="770"/>
      <c r="AI148" s="770"/>
      <c r="AJ148" s="770"/>
      <c r="AK148" s="770"/>
      <c r="AL148" s="770"/>
      <c r="AM148" s="770"/>
      <c r="AN148" s="770"/>
      <c r="AO148" s="770"/>
      <c r="AP148" s="770"/>
      <c r="AQ148" s="770"/>
      <c r="AR148" s="770"/>
      <c r="AS148" s="770"/>
      <c r="AT148" s="770"/>
      <c r="AU148" s="770"/>
      <c r="AV148" s="770"/>
      <c r="AW148" s="770"/>
      <c r="AX148" s="770"/>
      <c r="AY148" s="770"/>
      <c r="AZ148" s="770"/>
      <c r="BA148" s="770"/>
      <c r="BB148" s="770"/>
      <c r="BC148" s="770"/>
      <c r="BD148" s="770"/>
      <c r="BE148" s="770"/>
      <c r="BF148" s="770"/>
      <c r="BG148" s="770"/>
      <c r="BH148" s="770"/>
      <c r="BI148" s="770"/>
      <c r="BJ148" s="770"/>
      <c r="BK148" s="770"/>
      <c r="BL148" s="770"/>
      <c r="BM148" s="770"/>
      <c r="BN148" s="770"/>
      <c r="BO148" s="770"/>
      <c r="BP148" s="770"/>
      <c r="BQ148" s="770"/>
      <c r="BR148" s="770"/>
      <c r="BS148" s="770"/>
      <c r="BT148" s="770"/>
      <c r="BU148" s="770"/>
      <c r="BV148" s="770"/>
      <c r="BW148" s="770"/>
      <c r="BX148" s="770"/>
      <c r="BY148" s="770"/>
      <c r="BZ148" s="770"/>
      <c r="CA148" s="770"/>
      <c r="CB148" s="770"/>
    </row>
    <row r="149" spans="1:80">
      <c r="A149" s="770"/>
      <c r="B149" s="770"/>
      <c r="C149" s="770"/>
      <c r="D149" s="770"/>
      <c r="E149" s="770"/>
      <c r="F149" s="770"/>
      <c r="G149" s="770"/>
      <c r="H149" s="770"/>
      <c r="I149" s="770"/>
      <c r="J149" s="770"/>
      <c r="K149" s="770"/>
      <c r="L149" s="876"/>
      <c r="M149" s="770"/>
      <c r="N149" s="770"/>
      <c r="O149" s="770"/>
      <c r="P149" s="770"/>
      <c r="Q149" s="770"/>
      <c r="R149" s="770"/>
      <c r="S149" s="770"/>
      <c r="T149" s="770"/>
      <c r="U149" s="770"/>
      <c r="V149" s="770"/>
      <c r="W149" s="770"/>
      <c r="X149" s="770"/>
      <c r="Y149" s="770"/>
      <c r="Z149" s="770"/>
      <c r="AA149" s="770"/>
      <c r="AB149" s="770"/>
      <c r="AC149" s="770"/>
      <c r="AD149" s="770"/>
      <c r="AE149" s="770"/>
      <c r="AF149" s="770"/>
      <c r="AG149" s="770"/>
      <c r="AH149" s="770"/>
      <c r="AI149" s="770"/>
      <c r="AJ149" s="770"/>
      <c r="AK149" s="770"/>
      <c r="AL149" s="770"/>
      <c r="AM149" s="770"/>
      <c r="AN149" s="770"/>
      <c r="AO149" s="770"/>
      <c r="AP149" s="770"/>
      <c r="AQ149" s="770"/>
      <c r="AR149" s="770"/>
      <c r="AS149" s="770"/>
      <c r="AT149" s="770"/>
      <c r="AU149" s="770"/>
      <c r="AV149" s="770"/>
      <c r="AW149" s="770"/>
      <c r="AX149" s="770"/>
      <c r="AY149" s="770"/>
      <c r="AZ149" s="770"/>
      <c r="BA149" s="770"/>
      <c r="BB149" s="770"/>
      <c r="BC149" s="770"/>
      <c r="BD149" s="770"/>
      <c r="BE149" s="770"/>
      <c r="BF149" s="770"/>
      <c r="BG149" s="770"/>
      <c r="BH149" s="770"/>
      <c r="BI149" s="770"/>
      <c r="BJ149" s="770"/>
      <c r="BK149" s="770"/>
      <c r="BL149" s="770"/>
      <c r="BM149" s="770"/>
      <c r="BN149" s="770"/>
      <c r="BO149" s="770"/>
      <c r="BP149" s="770"/>
      <c r="BQ149" s="770"/>
      <c r="BR149" s="770"/>
      <c r="BS149" s="770"/>
      <c r="BT149" s="770"/>
      <c r="BU149" s="770"/>
      <c r="BV149" s="770"/>
      <c r="BW149" s="770"/>
      <c r="BX149" s="770"/>
      <c r="BY149" s="770"/>
      <c r="BZ149" s="770"/>
      <c r="CA149" s="770"/>
      <c r="CB149" s="770"/>
    </row>
    <row r="150" spans="1:80">
      <c r="A150" s="770"/>
      <c r="B150" s="770"/>
      <c r="C150" s="770"/>
      <c r="D150" s="770"/>
      <c r="E150" s="770"/>
      <c r="F150" s="770"/>
      <c r="G150" s="770"/>
      <c r="H150" s="770"/>
      <c r="I150" s="770"/>
      <c r="J150" s="770"/>
      <c r="K150" s="770"/>
      <c r="L150" s="876"/>
      <c r="M150" s="770"/>
      <c r="N150" s="770"/>
      <c r="O150" s="770"/>
      <c r="P150" s="770"/>
      <c r="Q150" s="770"/>
      <c r="R150" s="770"/>
      <c r="S150" s="770"/>
      <c r="T150" s="770"/>
      <c r="U150" s="770"/>
      <c r="V150" s="770"/>
      <c r="W150" s="770"/>
      <c r="X150" s="770"/>
      <c r="Y150" s="770"/>
      <c r="Z150" s="770"/>
      <c r="AA150" s="770"/>
      <c r="AB150" s="770"/>
      <c r="AC150" s="770"/>
      <c r="AD150" s="770"/>
      <c r="AE150" s="770"/>
      <c r="AF150" s="770"/>
      <c r="AG150" s="770"/>
      <c r="AH150" s="770"/>
      <c r="AI150" s="770"/>
      <c r="AJ150" s="770"/>
      <c r="AK150" s="770"/>
      <c r="AL150" s="770"/>
      <c r="AM150" s="770"/>
      <c r="AN150" s="770"/>
      <c r="AO150" s="770"/>
      <c r="AP150" s="770"/>
      <c r="AQ150" s="770"/>
      <c r="AR150" s="770"/>
      <c r="AS150" s="770"/>
      <c r="AT150" s="770"/>
      <c r="AU150" s="770"/>
      <c r="AV150" s="770"/>
      <c r="AW150" s="770"/>
      <c r="AX150" s="770"/>
      <c r="AY150" s="770"/>
      <c r="AZ150" s="770"/>
      <c r="BA150" s="770"/>
      <c r="BB150" s="770"/>
      <c r="BC150" s="770"/>
      <c r="BD150" s="770"/>
      <c r="BE150" s="770"/>
      <c r="BF150" s="770"/>
      <c r="BG150" s="770"/>
      <c r="BH150" s="770"/>
      <c r="BI150" s="770"/>
      <c r="BJ150" s="770"/>
      <c r="BK150" s="770"/>
      <c r="BL150" s="770"/>
      <c r="BM150" s="770"/>
      <c r="BN150" s="770"/>
      <c r="BO150" s="770"/>
      <c r="BP150" s="770"/>
      <c r="BQ150" s="770"/>
      <c r="BR150" s="770"/>
      <c r="BS150" s="770"/>
      <c r="BT150" s="770"/>
      <c r="BU150" s="770"/>
      <c r="BV150" s="770"/>
      <c r="BW150" s="770"/>
      <c r="BX150" s="770"/>
      <c r="BY150" s="770"/>
      <c r="BZ150" s="770"/>
      <c r="CA150" s="770"/>
      <c r="CB150" s="770"/>
    </row>
    <row r="151" spans="1:80">
      <c r="A151" s="770"/>
      <c r="B151" s="770"/>
      <c r="C151" s="770"/>
      <c r="D151" s="770"/>
      <c r="E151" s="770"/>
      <c r="F151" s="770"/>
      <c r="G151" s="770"/>
      <c r="H151" s="770"/>
      <c r="I151" s="770"/>
      <c r="J151" s="770"/>
      <c r="K151" s="770"/>
      <c r="L151" s="876"/>
      <c r="M151" s="770"/>
      <c r="N151" s="770"/>
      <c r="O151" s="770"/>
      <c r="P151" s="770"/>
      <c r="Q151" s="770"/>
      <c r="R151" s="770"/>
      <c r="S151" s="770"/>
      <c r="T151" s="770"/>
      <c r="U151" s="770"/>
      <c r="V151" s="770"/>
      <c r="W151" s="770"/>
      <c r="X151" s="770"/>
      <c r="Y151" s="770"/>
      <c r="Z151" s="770"/>
      <c r="AA151" s="770"/>
      <c r="AB151" s="770"/>
      <c r="AC151" s="770"/>
      <c r="AD151" s="770"/>
      <c r="AE151" s="770"/>
      <c r="AF151" s="770"/>
      <c r="AG151" s="770"/>
      <c r="AH151" s="770"/>
      <c r="AI151" s="770"/>
      <c r="AJ151" s="770"/>
      <c r="AK151" s="770"/>
      <c r="AL151" s="770"/>
      <c r="AM151" s="770"/>
      <c r="AN151" s="770"/>
      <c r="AO151" s="770"/>
      <c r="AP151" s="770"/>
      <c r="AQ151" s="770"/>
      <c r="AR151" s="770"/>
      <c r="AS151" s="770"/>
      <c r="AT151" s="770"/>
      <c r="AU151" s="770"/>
      <c r="AV151" s="770"/>
      <c r="AW151" s="770"/>
      <c r="AX151" s="770"/>
      <c r="AY151" s="770"/>
      <c r="AZ151" s="770"/>
      <c r="BA151" s="770"/>
      <c r="BB151" s="770"/>
      <c r="BC151" s="770"/>
      <c r="BD151" s="770"/>
      <c r="BE151" s="770"/>
      <c r="BF151" s="770"/>
      <c r="BG151" s="770"/>
      <c r="BH151" s="770"/>
      <c r="BI151" s="770"/>
      <c r="BJ151" s="770"/>
      <c r="BK151" s="770"/>
      <c r="BL151" s="770"/>
      <c r="BM151" s="770"/>
      <c r="BN151" s="770"/>
      <c r="BO151" s="770"/>
      <c r="BP151" s="770"/>
      <c r="BQ151" s="770"/>
      <c r="BR151" s="770"/>
      <c r="BS151" s="770"/>
      <c r="BT151" s="770"/>
      <c r="BU151" s="770"/>
      <c r="BV151" s="770"/>
      <c r="BW151" s="770"/>
      <c r="BX151" s="770"/>
      <c r="BY151" s="770"/>
      <c r="BZ151" s="770"/>
      <c r="CA151" s="770"/>
      <c r="CB151" s="770"/>
    </row>
    <row r="152" spans="1:80">
      <c r="A152" s="770"/>
      <c r="B152" s="770"/>
      <c r="C152" s="770"/>
      <c r="D152" s="770"/>
      <c r="E152" s="770"/>
      <c r="F152" s="770"/>
      <c r="G152" s="770"/>
      <c r="H152" s="770"/>
      <c r="I152" s="770"/>
      <c r="J152" s="770"/>
      <c r="K152" s="770"/>
      <c r="L152" s="876"/>
      <c r="M152" s="770"/>
      <c r="N152" s="770"/>
      <c r="O152" s="770"/>
      <c r="P152" s="770"/>
      <c r="Q152" s="770"/>
      <c r="R152" s="770"/>
      <c r="S152" s="770"/>
      <c r="T152" s="770"/>
      <c r="U152" s="770"/>
      <c r="V152" s="770"/>
      <c r="W152" s="770"/>
      <c r="X152" s="770"/>
      <c r="Y152" s="770"/>
      <c r="Z152" s="770"/>
      <c r="AA152" s="770"/>
      <c r="AB152" s="770"/>
      <c r="AC152" s="770"/>
      <c r="AD152" s="770"/>
      <c r="AE152" s="770"/>
      <c r="AF152" s="770"/>
      <c r="AG152" s="770"/>
      <c r="AH152" s="770"/>
      <c r="AI152" s="770"/>
      <c r="AJ152" s="770"/>
      <c r="AK152" s="770"/>
      <c r="AL152" s="770"/>
      <c r="AM152" s="770"/>
      <c r="AN152" s="770"/>
      <c r="AO152" s="770"/>
      <c r="AP152" s="770"/>
      <c r="AQ152" s="770"/>
      <c r="AR152" s="770"/>
      <c r="AS152" s="770"/>
      <c r="AT152" s="770"/>
      <c r="AU152" s="770"/>
      <c r="AV152" s="770"/>
      <c r="AW152" s="770"/>
      <c r="AX152" s="770"/>
      <c r="AY152" s="770"/>
      <c r="AZ152" s="770"/>
      <c r="BA152" s="770"/>
      <c r="BB152" s="770"/>
      <c r="BC152" s="770"/>
      <c r="BD152" s="770"/>
      <c r="BE152" s="770"/>
      <c r="BF152" s="770"/>
      <c r="BG152" s="770"/>
      <c r="BH152" s="770"/>
      <c r="BI152" s="770"/>
      <c r="BJ152" s="770"/>
      <c r="BK152" s="770"/>
      <c r="BL152" s="770"/>
      <c r="BM152" s="770"/>
      <c r="BN152" s="770"/>
      <c r="BO152" s="770"/>
      <c r="BP152" s="770"/>
      <c r="BQ152" s="770"/>
      <c r="BR152" s="770"/>
      <c r="BS152" s="770"/>
      <c r="BT152" s="770"/>
      <c r="BU152" s="770"/>
      <c r="BV152" s="770"/>
      <c r="BW152" s="770"/>
      <c r="BX152" s="770"/>
      <c r="BY152" s="770"/>
      <c r="BZ152" s="770"/>
      <c r="CA152" s="770"/>
      <c r="CB152" s="770"/>
    </row>
    <row r="153" spans="1:80">
      <c r="A153" s="770"/>
      <c r="B153" s="770"/>
      <c r="C153" s="770"/>
      <c r="D153" s="770"/>
      <c r="E153" s="770"/>
      <c r="F153" s="770"/>
      <c r="G153" s="770"/>
      <c r="H153" s="770"/>
      <c r="I153" s="770"/>
      <c r="J153" s="770"/>
      <c r="K153" s="770"/>
      <c r="L153" s="876"/>
      <c r="M153" s="770"/>
      <c r="N153" s="770"/>
      <c r="O153" s="770"/>
      <c r="P153" s="770"/>
      <c r="Q153" s="770"/>
      <c r="R153" s="770"/>
      <c r="S153" s="770"/>
      <c r="T153" s="770"/>
      <c r="U153" s="770"/>
      <c r="V153" s="770"/>
      <c r="W153" s="770"/>
      <c r="X153" s="770"/>
      <c r="Y153" s="770"/>
      <c r="Z153" s="770"/>
      <c r="AA153" s="770"/>
      <c r="AB153" s="770"/>
      <c r="AC153" s="770"/>
      <c r="AD153" s="770"/>
      <c r="AE153" s="770"/>
      <c r="AF153" s="770"/>
      <c r="AG153" s="770"/>
      <c r="AH153" s="770"/>
      <c r="AI153" s="770"/>
      <c r="AJ153" s="770"/>
      <c r="AK153" s="770"/>
      <c r="AL153" s="770"/>
      <c r="AM153" s="770"/>
      <c r="AN153" s="770"/>
      <c r="AO153" s="770"/>
      <c r="AP153" s="770"/>
      <c r="AQ153" s="770"/>
      <c r="AR153" s="770"/>
      <c r="AS153" s="770"/>
      <c r="AT153" s="770"/>
      <c r="AU153" s="770"/>
      <c r="AV153" s="770"/>
      <c r="AW153" s="770"/>
      <c r="AX153" s="770"/>
      <c r="AY153" s="770"/>
      <c r="AZ153" s="770"/>
      <c r="BA153" s="770"/>
      <c r="BB153" s="770"/>
      <c r="BC153" s="770"/>
      <c r="BD153" s="770"/>
      <c r="BE153" s="770"/>
      <c r="BF153" s="770"/>
      <c r="BG153" s="770"/>
      <c r="BH153" s="770"/>
      <c r="BI153" s="770"/>
      <c r="BJ153" s="770"/>
      <c r="BK153" s="770"/>
      <c r="BL153" s="770"/>
      <c r="BM153" s="770"/>
      <c r="BN153" s="770"/>
      <c r="BO153" s="770"/>
      <c r="BP153" s="770"/>
      <c r="BQ153" s="770"/>
      <c r="BR153" s="770"/>
      <c r="BS153" s="770"/>
      <c r="BT153" s="770"/>
      <c r="BU153" s="770"/>
      <c r="BV153" s="770"/>
      <c r="BW153" s="770"/>
      <c r="BX153" s="770"/>
      <c r="BY153" s="770"/>
      <c r="BZ153" s="770"/>
      <c r="CA153" s="770"/>
      <c r="CB153" s="770"/>
    </row>
    <row r="154" spans="1:80">
      <c r="A154" s="770"/>
      <c r="B154" s="770"/>
      <c r="C154" s="770"/>
      <c r="D154" s="770"/>
      <c r="E154" s="770"/>
      <c r="F154" s="770"/>
      <c r="G154" s="770"/>
      <c r="H154" s="770"/>
      <c r="I154" s="770"/>
      <c r="J154" s="770"/>
      <c r="K154" s="770"/>
      <c r="L154" s="876"/>
      <c r="M154" s="770"/>
      <c r="N154" s="770"/>
      <c r="O154" s="770"/>
      <c r="P154" s="770"/>
      <c r="Q154" s="770"/>
      <c r="R154" s="770"/>
      <c r="S154" s="770"/>
      <c r="T154" s="770"/>
      <c r="U154" s="770"/>
      <c r="V154" s="770"/>
      <c r="W154" s="770"/>
      <c r="X154" s="770"/>
      <c r="Y154" s="770"/>
      <c r="Z154" s="770"/>
      <c r="AA154" s="770"/>
      <c r="AB154" s="770"/>
      <c r="AC154" s="770"/>
      <c r="AD154" s="770"/>
      <c r="AE154" s="770"/>
      <c r="AF154" s="770"/>
      <c r="AG154" s="770"/>
      <c r="AH154" s="770"/>
      <c r="AI154" s="770"/>
      <c r="AJ154" s="770"/>
      <c r="AK154" s="770"/>
      <c r="AL154" s="770"/>
      <c r="AM154" s="770"/>
      <c r="AN154" s="770"/>
      <c r="AO154" s="770"/>
      <c r="AP154" s="770"/>
      <c r="AQ154" s="770"/>
      <c r="AR154" s="770"/>
      <c r="AS154" s="770"/>
      <c r="AT154" s="770"/>
      <c r="AU154" s="770"/>
      <c r="AV154" s="770"/>
      <c r="AW154" s="770"/>
      <c r="AX154" s="770"/>
      <c r="AY154" s="770"/>
      <c r="AZ154" s="770"/>
      <c r="BA154" s="770"/>
      <c r="BB154" s="770"/>
      <c r="BC154" s="770"/>
      <c r="BD154" s="770"/>
      <c r="BE154" s="770"/>
      <c r="BF154" s="770"/>
      <c r="BG154" s="770"/>
      <c r="BH154" s="770"/>
      <c r="BI154" s="770"/>
      <c r="BJ154" s="770"/>
      <c r="BK154" s="770"/>
      <c r="BL154" s="770"/>
      <c r="BM154" s="770"/>
      <c r="BN154" s="770"/>
      <c r="BO154" s="770"/>
      <c r="BP154" s="770"/>
      <c r="BQ154" s="770"/>
      <c r="BR154" s="770"/>
      <c r="BS154" s="770"/>
      <c r="BT154" s="770"/>
      <c r="BU154" s="770"/>
      <c r="BV154" s="770"/>
      <c r="BW154" s="770"/>
      <c r="BX154" s="770"/>
      <c r="BY154" s="770"/>
      <c r="BZ154" s="770"/>
      <c r="CA154" s="770"/>
      <c r="CB154" s="770"/>
    </row>
    <row r="155" spans="1:80">
      <c r="A155" s="770"/>
      <c r="B155" s="770"/>
      <c r="C155" s="770"/>
      <c r="D155" s="770"/>
      <c r="E155" s="770"/>
      <c r="F155" s="770"/>
      <c r="G155" s="770"/>
      <c r="H155" s="770"/>
      <c r="I155" s="770"/>
      <c r="J155" s="770"/>
      <c r="K155" s="770"/>
      <c r="L155" s="876"/>
      <c r="M155" s="770"/>
      <c r="N155" s="770"/>
      <c r="O155" s="770"/>
      <c r="P155" s="770"/>
      <c r="Q155" s="770"/>
      <c r="R155" s="770"/>
      <c r="S155" s="770"/>
      <c r="T155" s="770"/>
      <c r="U155" s="770"/>
      <c r="V155" s="770"/>
      <c r="W155" s="770"/>
      <c r="X155" s="770"/>
      <c r="Y155" s="770"/>
      <c r="Z155" s="770"/>
      <c r="AA155" s="770"/>
      <c r="AB155" s="770"/>
      <c r="AC155" s="770"/>
      <c r="AD155" s="770"/>
      <c r="AE155" s="770"/>
      <c r="AF155" s="770"/>
      <c r="AG155" s="770"/>
      <c r="AH155" s="770"/>
      <c r="AI155" s="770"/>
      <c r="AJ155" s="770"/>
      <c r="AK155" s="770"/>
      <c r="AL155" s="770"/>
      <c r="AM155" s="770"/>
      <c r="AN155" s="770"/>
      <c r="AO155" s="770"/>
      <c r="AP155" s="770"/>
      <c r="AQ155" s="770"/>
      <c r="AR155" s="770"/>
      <c r="AS155" s="770"/>
      <c r="AT155" s="770"/>
      <c r="AU155" s="770"/>
      <c r="AV155" s="770"/>
      <c r="AW155" s="770"/>
      <c r="AX155" s="770"/>
      <c r="AY155" s="770"/>
      <c r="AZ155" s="770"/>
      <c r="BA155" s="770"/>
      <c r="BB155" s="770"/>
      <c r="BC155" s="770"/>
      <c r="BD155" s="770"/>
      <c r="BE155" s="770"/>
      <c r="BF155" s="770"/>
      <c r="BG155" s="770"/>
      <c r="BH155" s="770"/>
      <c r="BI155" s="770"/>
      <c r="BJ155" s="770"/>
      <c r="BK155" s="770"/>
      <c r="BL155" s="770"/>
      <c r="BM155" s="770"/>
      <c r="BN155" s="770"/>
      <c r="BO155" s="770"/>
      <c r="BP155" s="770"/>
      <c r="BQ155" s="770"/>
      <c r="BR155" s="770"/>
      <c r="BS155" s="770"/>
      <c r="BT155" s="770"/>
      <c r="BU155" s="770"/>
      <c r="BV155" s="770"/>
      <c r="BW155" s="770"/>
      <c r="BX155" s="770"/>
      <c r="BY155" s="770"/>
      <c r="BZ155" s="770"/>
      <c r="CA155" s="770"/>
      <c r="CB155" s="770"/>
    </row>
    <row r="156" spans="1:80">
      <c r="A156" s="770"/>
      <c r="B156" s="770"/>
      <c r="C156" s="770"/>
      <c r="D156" s="770"/>
      <c r="E156" s="770"/>
      <c r="F156" s="770"/>
      <c r="G156" s="770"/>
      <c r="H156" s="770"/>
      <c r="I156" s="770"/>
      <c r="J156" s="770"/>
      <c r="K156" s="770"/>
      <c r="L156" s="876"/>
      <c r="M156" s="770"/>
      <c r="N156" s="770"/>
      <c r="O156" s="770"/>
      <c r="P156" s="770"/>
      <c r="Q156" s="770"/>
      <c r="R156" s="770"/>
      <c r="S156" s="770"/>
      <c r="T156" s="770"/>
      <c r="U156" s="770"/>
      <c r="V156" s="770"/>
      <c r="W156" s="770"/>
      <c r="X156" s="770"/>
      <c r="Y156" s="770"/>
      <c r="Z156" s="770"/>
      <c r="AA156" s="770"/>
      <c r="AB156" s="770"/>
      <c r="AC156" s="770"/>
      <c r="AD156" s="770"/>
      <c r="AE156" s="770"/>
      <c r="AF156" s="770"/>
      <c r="AG156" s="770"/>
      <c r="AH156" s="770"/>
      <c r="AI156" s="770"/>
      <c r="AJ156" s="770"/>
      <c r="AK156" s="770"/>
      <c r="AL156" s="770"/>
      <c r="AM156" s="770"/>
      <c r="AN156" s="770"/>
      <c r="AO156" s="770"/>
      <c r="AP156" s="770"/>
      <c r="AQ156" s="770"/>
      <c r="AR156" s="770"/>
      <c r="AS156" s="770"/>
      <c r="AT156" s="770"/>
      <c r="AU156" s="770"/>
      <c r="AV156" s="770"/>
      <c r="AW156" s="770"/>
      <c r="AX156" s="770"/>
      <c r="AY156" s="770"/>
      <c r="AZ156" s="770"/>
      <c r="BA156" s="770"/>
      <c r="BB156" s="770"/>
      <c r="BC156" s="770"/>
      <c r="BD156" s="770"/>
      <c r="BE156" s="770"/>
      <c r="BF156" s="770"/>
      <c r="BG156" s="770"/>
      <c r="BH156" s="770"/>
      <c r="BI156" s="770"/>
      <c r="BJ156" s="770"/>
      <c r="BK156" s="770"/>
      <c r="BL156" s="770"/>
      <c r="BM156" s="770"/>
      <c r="BN156" s="770"/>
      <c r="BO156" s="770"/>
      <c r="BP156" s="770"/>
      <c r="BQ156" s="770"/>
      <c r="BR156" s="770"/>
      <c r="BS156" s="770"/>
      <c r="BT156" s="770"/>
      <c r="BU156" s="770"/>
      <c r="BV156" s="770"/>
      <c r="BW156" s="770"/>
      <c r="BX156" s="770"/>
      <c r="BY156" s="770"/>
      <c r="BZ156" s="770"/>
      <c r="CA156" s="770"/>
      <c r="CB156" s="770"/>
    </row>
    <row r="157" spans="1:80">
      <c r="A157" s="770"/>
      <c r="B157" s="770"/>
      <c r="C157" s="770"/>
      <c r="D157" s="770"/>
      <c r="E157" s="770"/>
      <c r="F157" s="770"/>
      <c r="G157" s="770"/>
      <c r="H157" s="770"/>
      <c r="I157" s="770"/>
      <c r="J157" s="770"/>
      <c r="K157" s="770"/>
      <c r="L157" s="876"/>
      <c r="M157" s="770"/>
      <c r="N157" s="770"/>
      <c r="O157" s="770"/>
      <c r="P157" s="770"/>
      <c r="Q157" s="770"/>
      <c r="R157" s="770"/>
      <c r="S157" s="770"/>
      <c r="T157" s="770"/>
      <c r="U157" s="770"/>
      <c r="V157" s="770"/>
      <c r="W157" s="770"/>
      <c r="X157" s="770"/>
      <c r="Y157" s="770"/>
      <c r="Z157" s="770"/>
      <c r="AA157" s="770"/>
      <c r="AB157" s="770"/>
      <c r="AC157" s="770"/>
      <c r="AD157" s="770"/>
      <c r="AE157" s="770"/>
      <c r="AF157" s="770"/>
      <c r="AG157" s="770"/>
      <c r="AH157" s="770"/>
      <c r="AI157" s="770"/>
      <c r="AJ157" s="770"/>
      <c r="AK157" s="770"/>
      <c r="AL157" s="770"/>
      <c r="AM157" s="770"/>
      <c r="AN157" s="770"/>
      <c r="AO157" s="770"/>
      <c r="AP157" s="770"/>
      <c r="AQ157" s="770"/>
      <c r="AR157" s="770"/>
      <c r="AS157" s="770"/>
      <c r="AT157" s="770"/>
      <c r="AU157" s="770"/>
      <c r="AV157" s="770"/>
      <c r="AW157" s="770"/>
      <c r="AX157" s="770"/>
      <c r="AY157" s="770"/>
      <c r="AZ157" s="770"/>
      <c r="BA157" s="770"/>
      <c r="BB157" s="770"/>
      <c r="BC157" s="770"/>
      <c r="BD157" s="770"/>
      <c r="BE157" s="770"/>
      <c r="BF157" s="770"/>
      <c r="BG157" s="770"/>
      <c r="BH157" s="770"/>
      <c r="BI157" s="770"/>
      <c r="BJ157" s="770"/>
      <c r="BK157" s="770"/>
      <c r="BL157" s="770"/>
      <c r="BM157" s="770"/>
      <c r="BN157" s="770"/>
      <c r="BO157" s="770"/>
      <c r="BP157" s="770"/>
      <c r="BQ157" s="770"/>
      <c r="BR157" s="770"/>
      <c r="BS157" s="770"/>
      <c r="BT157" s="770"/>
      <c r="BU157" s="770"/>
      <c r="BV157" s="770"/>
      <c r="BW157" s="770"/>
      <c r="BX157" s="770"/>
      <c r="BY157" s="770"/>
      <c r="BZ157" s="770"/>
      <c r="CA157" s="770"/>
      <c r="CB157" s="770"/>
    </row>
    <row r="158" spans="1:80">
      <c r="A158" s="770"/>
      <c r="B158" s="770"/>
      <c r="C158" s="770"/>
      <c r="D158" s="770"/>
      <c r="E158" s="770"/>
      <c r="F158" s="770"/>
      <c r="G158" s="770"/>
      <c r="H158" s="770"/>
      <c r="I158" s="770"/>
      <c r="J158" s="770"/>
      <c r="K158" s="770"/>
      <c r="L158" s="876"/>
      <c r="M158" s="770"/>
      <c r="N158" s="770"/>
      <c r="O158" s="770"/>
      <c r="P158" s="770"/>
      <c r="Q158" s="770"/>
      <c r="R158" s="770"/>
      <c r="S158" s="770"/>
      <c r="T158" s="770"/>
      <c r="U158" s="770"/>
      <c r="V158" s="770"/>
      <c r="W158" s="770"/>
      <c r="X158" s="770"/>
      <c r="Y158" s="770"/>
      <c r="Z158" s="770"/>
      <c r="AA158" s="770"/>
      <c r="AB158" s="770"/>
      <c r="AC158" s="770"/>
      <c r="AD158" s="770"/>
      <c r="AE158" s="770"/>
      <c r="AF158" s="770"/>
      <c r="AG158" s="770"/>
      <c r="AH158" s="770"/>
      <c r="AI158" s="770"/>
      <c r="AJ158" s="770"/>
      <c r="AK158" s="770"/>
      <c r="AL158" s="770"/>
      <c r="AM158" s="770"/>
      <c r="AN158" s="770"/>
      <c r="AO158" s="770"/>
      <c r="AP158" s="770"/>
      <c r="AQ158" s="770"/>
      <c r="AR158" s="770"/>
      <c r="AS158" s="770"/>
      <c r="AT158" s="770"/>
      <c r="AU158" s="770"/>
      <c r="AV158" s="770"/>
      <c r="AW158" s="770"/>
      <c r="AX158" s="770"/>
      <c r="AY158" s="770"/>
      <c r="AZ158" s="770"/>
      <c r="BA158" s="770"/>
      <c r="BB158" s="770"/>
      <c r="BC158" s="770"/>
      <c r="BD158" s="770"/>
      <c r="BE158" s="770"/>
      <c r="BF158" s="770"/>
      <c r="BG158" s="770"/>
      <c r="BH158" s="770"/>
      <c r="BI158" s="770"/>
      <c r="BJ158" s="770"/>
      <c r="BK158" s="770"/>
      <c r="BL158" s="770"/>
      <c r="BM158" s="770"/>
      <c r="BN158" s="770"/>
      <c r="BO158" s="770"/>
      <c r="BP158" s="770"/>
      <c r="BQ158" s="770"/>
      <c r="BR158" s="770"/>
      <c r="BS158" s="770"/>
      <c r="BT158" s="770"/>
      <c r="BU158" s="770"/>
      <c r="BV158" s="770"/>
      <c r="BW158" s="770"/>
      <c r="BX158" s="770"/>
      <c r="BY158" s="770"/>
      <c r="BZ158" s="770"/>
      <c r="CA158" s="770"/>
      <c r="CB158" s="770"/>
    </row>
    <row r="159" spans="1:80">
      <c r="A159" s="770"/>
      <c r="B159" s="770"/>
      <c r="C159" s="770"/>
      <c r="D159" s="770"/>
      <c r="E159" s="770"/>
      <c r="F159" s="770"/>
      <c r="G159" s="770"/>
      <c r="H159" s="770"/>
      <c r="I159" s="770"/>
      <c r="J159" s="770"/>
      <c r="K159" s="770"/>
      <c r="L159" s="876"/>
      <c r="M159" s="770"/>
      <c r="N159" s="770"/>
      <c r="O159" s="770"/>
      <c r="P159" s="770"/>
      <c r="Q159" s="770"/>
      <c r="R159" s="770"/>
      <c r="S159" s="770"/>
      <c r="T159" s="770"/>
      <c r="U159" s="770"/>
      <c r="V159" s="770"/>
      <c r="W159" s="770"/>
      <c r="X159" s="770"/>
      <c r="Y159" s="770"/>
      <c r="Z159" s="770"/>
      <c r="AA159" s="770"/>
      <c r="AB159" s="770"/>
      <c r="AC159" s="770"/>
      <c r="AD159" s="770"/>
      <c r="AE159" s="770"/>
      <c r="AF159" s="770"/>
      <c r="AG159" s="770"/>
      <c r="AH159" s="770"/>
      <c r="AI159" s="770"/>
      <c r="AJ159" s="770"/>
      <c r="AK159" s="770"/>
      <c r="AL159" s="770"/>
      <c r="AM159" s="770"/>
      <c r="AN159" s="770"/>
      <c r="AO159" s="770"/>
      <c r="AP159" s="770"/>
      <c r="AQ159" s="770"/>
      <c r="AR159" s="770"/>
      <c r="AS159" s="770"/>
      <c r="AT159" s="770"/>
      <c r="AU159" s="770"/>
      <c r="AV159" s="770"/>
      <c r="AW159" s="770"/>
      <c r="AX159" s="770"/>
      <c r="AY159" s="770"/>
      <c r="AZ159" s="770"/>
      <c r="BA159" s="770"/>
      <c r="BB159" s="770"/>
      <c r="BC159" s="770"/>
      <c r="BD159" s="770"/>
      <c r="BE159" s="770"/>
      <c r="BF159" s="770"/>
      <c r="BG159" s="770"/>
      <c r="BH159" s="770"/>
      <c r="BI159" s="770"/>
      <c r="BJ159" s="770"/>
      <c r="BK159" s="770"/>
      <c r="BL159" s="770"/>
      <c r="BM159" s="770"/>
      <c r="BN159" s="770"/>
      <c r="BO159" s="770"/>
      <c r="BP159" s="770"/>
      <c r="BQ159" s="770"/>
      <c r="BR159" s="770"/>
      <c r="BS159" s="770"/>
      <c r="BT159" s="770"/>
      <c r="BU159" s="770"/>
      <c r="BV159" s="770"/>
      <c r="BW159" s="770"/>
      <c r="BX159" s="770"/>
      <c r="BY159" s="770"/>
      <c r="BZ159" s="770"/>
      <c r="CA159" s="770"/>
      <c r="CB159" s="770"/>
    </row>
    <row r="160" spans="1:80">
      <c r="A160" s="770"/>
      <c r="B160" s="770"/>
      <c r="C160" s="770"/>
      <c r="D160" s="770"/>
      <c r="E160" s="770"/>
      <c r="F160" s="770"/>
      <c r="G160" s="770"/>
      <c r="H160" s="770"/>
      <c r="I160" s="770"/>
      <c r="J160" s="770"/>
      <c r="K160" s="770"/>
      <c r="L160" s="876"/>
      <c r="M160" s="770"/>
      <c r="N160" s="770"/>
      <c r="O160" s="770"/>
      <c r="P160" s="770"/>
      <c r="Q160" s="770"/>
      <c r="R160" s="770"/>
      <c r="S160" s="770"/>
      <c r="T160" s="770"/>
      <c r="U160" s="770"/>
      <c r="V160" s="770"/>
      <c r="W160" s="770"/>
      <c r="X160" s="770"/>
      <c r="Y160" s="770"/>
      <c r="Z160" s="770"/>
      <c r="AA160" s="770"/>
      <c r="AB160" s="770"/>
      <c r="AC160" s="770"/>
      <c r="AD160" s="770"/>
      <c r="AE160" s="770"/>
      <c r="AF160" s="770"/>
      <c r="AG160" s="770"/>
      <c r="AH160" s="770"/>
      <c r="AI160" s="770"/>
      <c r="AJ160" s="770"/>
      <c r="AK160" s="770"/>
      <c r="AL160" s="770"/>
      <c r="AM160" s="770"/>
      <c r="AN160" s="770"/>
      <c r="AO160" s="770"/>
      <c r="AP160" s="770"/>
      <c r="AQ160" s="770"/>
      <c r="AR160" s="770"/>
      <c r="AS160" s="770"/>
      <c r="AT160" s="770"/>
      <c r="AU160" s="770"/>
      <c r="AV160" s="770"/>
      <c r="AW160" s="770"/>
      <c r="AX160" s="770"/>
      <c r="AY160" s="770"/>
      <c r="AZ160" s="770"/>
      <c r="BA160" s="770"/>
      <c r="BB160" s="770"/>
      <c r="BC160" s="770"/>
      <c r="BD160" s="770"/>
      <c r="BE160" s="770"/>
      <c r="BF160" s="770"/>
      <c r="BG160" s="770"/>
      <c r="BH160" s="770"/>
      <c r="BI160" s="770"/>
      <c r="BJ160" s="770"/>
      <c r="BK160" s="770"/>
      <c r="BL160" s="770"/>
      <c r="BM160" s="770"/>
      <c r="BN160" s="770"/>
      <c r="BO160" s="770"/>
      <c r="BP160" s="770"/>
      <c r="BQ160" s="770"/>
      <c r="BR160" s="770"/>
      <c r="BS160" s="770"/>
      <c r="BT160" s="770"/>
      <c r="BU160" s="770"/>
      <c r="BV160" s="770"/>
      <c r="BW160" s="770"/>
      <c r="BX160" s="770"/>
      <c r="BY160" s="770"/>
      <c r="BZ160" s="770"/>
      <c r="CA160" s="770"/>
      <c r="CB160" s="770"/>
    </row>
    <row r="161" spans="1:80">
      <c r="A161" s="770"/>
      <c r="B161" s="770"/>
      <c r="C161" s="770"/>
      <c r="D161" s="770"/>
      <c r="E161" s="770"/>
      <c r="F161" s="770"/>
      <c r="G161" s="770"/>
      <c r="H161" s="770"/>
      <c r="I161" s="770"/>
      <c r="J161" s="770"/>
      <c r="K161" s="770"/>
      <c r="L161" s="876"/>
      <c r="M161" s="770"/>
      <c r="N161" s="770"/>
      <c r="O161" s="770"/>
      <c r="P161" s="770"/>
      <c r="Q161" s="770"/>
      <c r="R161" s="770"/>
      <c r="S161" s="770"/>
      <c r="T161" s="770"/>
      <c r="U161" s="770"/>
      <c r="V161" s="770"/>
      <c r="W161" s="770"/>
      <c r="X161" s="770"/>
      <c r="Y161" s="770"/>
      <c r="Z161" s="770"/>
      <c r="AA161" s="770"/>
      <c r="AB161" s="770"/>
      <c r="AC161" s="770"/>
      <c r="AD161" s="770"/>
      <c r="AE161" s="770"/>
      <c r="AF161" s="770"/>
      <c r="AG161" s="770"/>
      <c r="AH161" s="770"/>
      <c r="AI161" s="770"/>
      <c r="AJ161" s="770"/>
      <c r="AK161" s="770"/>
      <c r="AL161" s="770"/>
      <c r="AM161" s="770"/>
      <c r="AN161" s="770"/>
      <c r="AO161" s="770"/>
      <c r="AP161" s="770"/>
      <c r="AQ161" s="770"/>
      <c r="AR161" s="770"/>
      <c r="AS161" s="770"/>
      <c r="AT161" s="770"/>
      <c r="AU161" s="770"/>
      <c r="AV161" s="770"/>
      <c r="AW161" s="770"/>
      <c r="AX161" s="770"/>
      <c r="AY161" s="770"/>
      <c r="AZ161" s="770"/>
      <c r="BA161" s="770"/>
      <c r="BB161" s="770"/>
      <c r="BC161" s="770"/>
      <c r="BD161" s="770"/>
      <c r="BE161" s="770"/>
      <c r="BF161" s="770"/>
      <c r="BG161" s="770"/>
      <c r="BH161" s="770"/>
      <c r="BI161" s="770"/>
      <c r="BJ161" s="770"/>
      <c r="BK161" s="770"/>
      <c r="BL161" s="770"/>
      <c r="BM161" s="770"/>
      <c r="BN161" s="770"/>
      <c r="BO161" s="770"/>
      <c r="BP161" s="770"/>
      <c r="BQ161" s="770"/>
      <c r="BR161" s="770"/>
      <c r="BS161" s="770"/>
      <c r="BT161" s="770"/>
      <c r="BU161" s="770"/>
      <c r="BV161" s="770"/>
      <c r="BW161" s="770"/>
      <c r="BX161" s="770"/>
      <c r="BY161" s="770"/>
      <c r="BZ161" s="770"/>
      <c r="CA161" s="770"/>
      <c r="CB161" s="770"/>
    </row>
    <row r="162" spans="1:80">
      <c r="A162" s="770"/>
      <c r="B162" s="770"/>
      <c r="C162" s="770"/>
      <c r="D162" s="770"/>
      <c r="E162" s="770"/>
      <c r="F162" s="770"/>
      <c r="G162" s="770"/>
      <c r="H162" s="770"/>
      <c r="I162" s="770"/>
      <c r="J162" s="770"/>
      <c r="K162" s="770"/>
      <c r="L162" s="876"/>
      <c r="M162" s="770"/>
      <c r="N162" s="770"/>
      <c r="O162" s="770"/>
      <c r="P162" s="770"/>
      <c r="Q162" s="770"/>
      <c r="R162" s="770"/>
      <c r="S162" s="770"/>
      <c r="T162" s="770"/>
      <c r="U162" s="770"/>
      <c r="V162" s="770"/>
      <c r="W162" s="770"/>
      <c r="X162" s="770"/>
      <c r="Y162" s="770"/>
      <c r="Z162" s="770"/>
      <c r="AA162" s="770"/>
      <c r="AB162" s="770"/>
      <c r="AC162" s="770"/>
      <c r="AD162" s="770"/>
      <c r="AE162" s="770"/>
      <c r="AF162" s="770"/>
      <c r="AG162" s="770"/>
      <c r="AH162" s="770"/>
      <c r="AI162" s="770"/>
      <c r="AJ162" s="770"/>
      <c r="AK162" s="770"/>
      <c r="AL162" s="770"/>
      <c r="AM162" s="770"/>
      <c r="AN162" s="770"/>
      <c r="AO162" s="770"/>
      <c r="AP162" s="770"/>
      <c r="AQ162" s="770"/>
      <c r="AR162" s="770"/>
      <c r="AS162" s="770"/>
      <c r="AT162" s="770"/>
      <c r="AU162" s="770"/>
      <c r="AV162" s="770"/>
      <c r="AW162" s="770"/>
      <c r="AX162" s="770"/>
      <c r="AY162" s="770"/>
      <c r="AZ162" s="770"/>
      <c r="BA162" s="770"/>
      <c r="BB162" s="770"/>
      <c r="BC162" s="770"/>
      <c r="BD162" s="770"/>
      <c r="BE162" s="770"/>
      <c r="BF162" s="770"/>
      <c r="BG162" s="770"/>
      <c r="BH162" s="770"/>
      <c r="BI162" s="770"/>
      <c r="BJ162" s="770"/>
      <c r="BK162" s="770"/>
      <c r="BL162" s="770"/>
      <c r="BM162" s="770"/>
      <c r="BN162" s="770"/>
      <c r="BO162" s="770"/>
      <c r="BP162" s="770"/>
      <c r="BQ162" s="770"/>
      <c r="BR162" s="770"/>
      <c r="BS162" s="770"/>
      <c r="BT162" s="770"/>
      <c r="BU162" s="770"/>
      <c r="BV162" s="770"/>
      <c r="BW162" s="770"/>
      <c r="BX162" s="770"/>
      <c r="BY162" s="770"/>
      <c r="BZ162" s="770"/>
      <c r="CA162" s="770"/>
      <c r="CB162" s="770"/>
    </row>
    <row r="163" spans="1:80">
      <c r="A163" s="770"/>
      <c r="B163" s="770"/>
      <c r="C163" s="770"/>
      <c r="D163" s="770"/>
      <c r="E163" s="770"/>
      <c r="F163" s="770"/>
      <c r="G163" s="770"/>
      <c r="H163" s="770"/>
      <c r="I163" s="770"/>
      <c r="J163" s="770"/>
      <c r="K163" s="770"/>
      <c r="L163" s="876"/>
      <c r="M163" s="770"/>
      <c r="N163" s="770"/>
      <c r="O163" s="770"/>
      <c r="P163" s="770"/>
      <c r="Q163" s="770"/>
      <c r="R163" s="770"/>
      <c r="S163" s="770"/>
      <c r="T163" s="770"/>
      <c r="U163" s="770"/>
      <c r="V163" s="770"/>
      <c r="W163" s="770"/>
      <c r="X163" s="770"/>
      <c r="Y163" s="770"/>
      <c r="Z163" s="770"/>
      <c r="AA163" s="770"/>
      <c r="AB163" s="770"/>
      <c r="AC163" s="770"/>
      <c r="AD163" s="770"/>
      <c r="AE163" s="770"/>
      <c r="AF163" s="770"/>
      <c r="AG163" s="770"/>
      <c r="AH163" s="770"/>
      <c r="AI163" s="770"/>
      <c r="AJ163" s="770"/>
      <c r="AK163" s="770"/>
      <c r="AL163" s="770"/>
      <c r="AM163" s="770"/>
      <c r="AN163" s="770"/>
      <c r="AO163" s="770"/>
      <c r="AP163" s="770"/>
      <c r="AQ163" s="770"/>
      <c r="AR163" s="770"/>
      <c r="AS163" s="770"/>
      <c r="AT163" s="770"/>
      <c r="AU163" s="770"/>
      <c r="AV163" s="770"/>
      <c r="AW163" s="770"/>
      <c r="AX163" s="770"/>
      <c r="AY163" s="770"/>
      <c r="AZ163" s="770"/>
      <c r="BA163" s="770"/>
      <c r="BB163" s="770"/>
      <c r="BC163" s="770"/>
      <c r="BD163" s="770"/>
      <c r="BE163" s="770"/>
      <c r="BF163" s="770"/>
      <c r="BG163" s="770"/>
      <c r="BH163" s="770"/>
      <c r="BI163" s="770"/>
      <c r="BJ163" s="770"/>
      <c r="BK163" s="770"/>
      <c r="BL163" s="770"/>
      <c r="BM163" s="770"/>
      <c r="BN163" s="770"/>
      <c r="BO163" s="770"/>
      <c r="BP163" s="770"/>
      <c r="BQ163" s="770"/>
      <c r="BR163" s="770"/>
      <c r="BS163" s="770"/>
      <c r="BT163" s="770"/>
      <c r="BU163" s="770"/>
      <c r="BV163" s="770"/>
      <c r="BW163" s="770"/>
      <c r="BX163" s="770"/>
      <c r="BY163" s="770"/>
      <c r="BZ163" s="770"/>
      <c r="CA163" s="770"/>
      <c r="CB163" s="770"/>
    </row>
    <row r="164" spans="1:80">
      <c r="A164" s="770"/>
      <c r="B164" s="770"/>
      <c r="C164" s="770"/>
      <c r="D164" s="770"/>
      <c r="E164" s="770"/>
      <c r="F164" s="770"/>
      <c r="G164" s="770"/>
      <c r="H164" s="770"/>
      <c r="I164" s="770"/>
      <c r="J164" s="770"/>
      <c r="K164" s="770"/>
      <c r="L164" s="876"/>
      <c r="M164" s="770"/>
      <c r="N164" s="770"/>
      <c r="O164" s="770"/>
      <c r="P164" s="770"/>
      <c r="Q164" s="770"/>
      <c r="R164" s="770"/>
      <c r="S164" s="770"/>
      <c r="T164" s="770"/>
      <c r="U164" s="770"/>
      <c r="V164" s="770"/>
      <c r="W164" s="770"/>
      <c r="X164" s="770"/>
      <c r="Y164" s="770"/>
      <c r="Z164" s="770"/>
      <c r="AA164" s="770"/>
      <c r="AB164" s="770"/>
      <c r="AC164" s="770"/>
      <c r="AD164" s="770"/>
      <c r="AE164" s="770"/>
      <c r="AF164" s="770"/>
      <c r="AG164" s="770"/>
      <c r="AH164" s="770"/>
      <c r="AI164" s="770"/>
      <c r="AJ164" s="770"/>
      <c r="AK164" s="770"/>
      <c r="AL164" s="770"/>
      <c r="AM164" s="770"/>
      <c r="AN164" s="770"/>
      <c r="AO164" s="770"/>
      <c r="AP164" s="770"/>
      <c r="AQ164" s="770"/>
      <c r="AR164" s="770"/>
      <c r="AS164" s="770"/>
      <c r="AT164" s="770"/>
      <c r="AU164" s="770"/>
      <c r="AV164" s="770"/>
      <c r="AW164" s="770"/>
      <c r="AX164" s="770"/>
      <c r="AY164" s="770"/>
      <c r="AZ164" s="770"/>
      <c r="BA164" s="770"/>
      <c r="BB164" s="770"/>
      <c r="BC164" s="770"/>
      <c r="BD164" s="770"/>
      <c r="BE164" s="770"/>
      <c r="BF164" s="770"/>
      <c r="BG164" s="770"/>
      <c r="BH164" s="770"/>
      <c r="BI164" s="770"/>
      <c r="BJ164" s="770"/>
      <c r="BK164" s="770"/>
      <c r="BL164" s="770"/>
      <c r="BM164" s="770"/>
      <c r="BN164" s="770"/>
      <c r="BO164" s="770"/>
      <c r="BP164" s="770"/>
      <c r="BQ164" s="770"/>
      <c r="BR164" s="770"/>
      <c r="BS164" s="770"/>
      <c r="BT164" s="770"/>
      <c r="BU164" s="770"/>
      <c r="BV164" s="770"/>
      <c r="BW164" s="770"/>
      <c r="BX164" s="770"/>
      <c r="BY164" s="770"/>
      <c r="BZ164" s="770"/>
      <c r="CA164" s="770"/>
      <c r="CB164" s="770"/>
    </row>
    <row r="165" spans="1:80">
      <c r="A165" s="770"/>
      <c r="B165" s="770"/>
      <c r="C165" s="770"/>
      <c r="D165" s="770"/>
      <c r="E165" s="770"/>
      <c r="F165" s="770"/>
      <c r="G165" s="770"/>
      <c r="H165" s="770"/>
      <c r="I165" s="770"/>
      <c r="J165" s="770"/>
      <c r="K165" s="770"/>
      <c r="L165" s="876"/>
      <c r="M165" s="770"/>
      <c r="N165" s="770"/>
      <c r="O165" s="770"/>
      <c r="P165" s="770"/>
      <c r="Q165" s="770"/>
      <c r="R165" s="770"/>
      <c r="S165" s="770"/>
      <c r="T165" s="770"/>
      <c r="U165" s="770"/>
      <c r="V165" s="770"/>
      <c r="W165" s="770"/>
      <c r="X165" s="770"/>
      <c r="Y165" s="770"/>
      <c r="Z165" s="770"/>
      <c r="AA165" s="770"/>
      <c r="AB165" s="770"/>
      <c r="AC165" s="770"/>
      <c r="AD165" s="770"/>
      <c r="AE165" s="770"/>
      <c r="AF165" s="770"/>
      <c r="AG165" s="770"/>
      <c r="AH165" s="770"/>
      <c r="AI165" s="770"/>
      <c r="AJ165" s="770"/>
      <c r="AK165" s="770"/>
      <c r="AL165" s="770"/>
      <c r="AM165" s="770"/>
      <c r="AN165" s="770"/>
      <c r="AO165" s="770"/>
      <c r="AP165" s="770"/>
      <c r="AQ165" s="770"/>
      <c r="AR165" s="770"/>
      <c r="AS165" s="770"/>
      <c r="AT165" s="770"/>
      <c r="AU165" s="770"/>
      <c r="AV165" s="770"/>
      <c r="AW165" s="770"/>
      <c r="AX165" s="770"/>
      <c r="AY165" s="770"/>
      <c r="AZ165" s="770"/>
      <c r="BA165" s="770"/>
      <c r="BB165" s="770"/>
      <c r="BC165" s="770"/>
      <c r="BD165" s="770"/>
      <c r="BE165" s="770"/>
      <c r="BF165" s="770"/>
      <c r="BG165" s="770"/>
      <c r="BH165" s="770"/>
      <c r="BI165" s="770"/>
      <c r="BJ165" s="770"/>
      <c r="BK165" s="770"/>
      <c r="BL165" s="770"/>
      <c r="BM165" s="770"/>
      <c r="BN165" s="770"/>
      <c r="BO165" s="770"/>
      <c r="BP165" s="770"/>
      <c r="BQ165" s="770"/>
      <c r="BR165" s="770"/>
      <c r="BS165" s="770"/>
      <c r="BT165" s="770"/>
      <c r="BU165" s="770"/>
      <c r="BV165" s="770"/>
      <c r="BW165" s="770"/>
      <c r="BX165" s="770"/>
      <c r="BY165" s="770"/>
      <c r="BZ165" s="770"/>
      <c r="CA165" s="770"/>
      <c r="CB165" s="770"/>
    </row>
    <row r="166" spans="1:80">
      <c r="A166" s="770"/>
      <c r="B166" s="770"/>
      <c r="C166" s="770"/>
      <c r="D166" s="770"/>
      <c r="E166" s="770"/>
      <c r="F166" s="770"/>
      <c r="G166" s="770"/>
      <c r="H166" s="770"/>
      <c r="I166" s="770"/>
      <c r="J166" s="770"/>
      <c r="K166" s="770"/>
      <c r="L166" s="876"/>
      <c r="M166" s="770"/>
      <c r="N166" s="770"/>
      <c r="O166" s="770"/>
      <c r="P166" s="770"/>
      <c r="Q166" s="770"/>
      <c r="R166" s="770"/>
      <c r="S166" s="770"/>
      <c r="T166" s="770"/>
      <c r="U166" s="770"/>
      <c r="V166" s="770"/>
      <c r="W166" s="770"/>
      <c r="X166" s="770"/>
      <c r="Y166" s="770"/>
      <c r="Z166" s="770"/>
      <c r="AA166" s="770"/>
      <c r="AB166" s="770"/>
      <c r="AC166" s="770"/>
      <c r="AD166" s="770"/>
      <c r="AE166" s="770"/>
      <c r="AF166" s="770"/>
      <c r="AG166" s="770"/>
      <c r="AH166" s="770"/>
      <c r="AI166" s="770"/>
      <c r="AJ166" s="770"/>
      <c r="AK166" s="770"/>
      <c r="AL166" s="770"/>
      <c r="AM166" s="770"/>
      <c r="AN166" s="770"/>
      <c r="AO166" s="770"/>
      <c r="AP166" s="770"/>
      <c r="AQ166" s="770"/>
      <c r="AR166" s="770"/>
      <c r="AS166" s="770"/>
      <c r="AT166" s="770"/>
      <c r="AU166" s="770"/>
      <c r="AV166" s="770"/>
      <c r="AW166" s="770"/>
      <c r="AX166" s="770"/>
      <c r="AY166" s="770"/>
      <c r="AZ166" s="770"/>
      <c r="BA166" s="770"/>
      <c r="BB166" s="770"/>
      <c r="BC166" s="770"/>
      <c r="BD166" s="770"/>
      <c r="BE166" s="770"/>
      <c r="BF166" s="770"/>
      <c r="BG166" s="770"/>
      <c r="BH166" s="770"/>
      <c r="BI166" s="770"/>
      <c r="BJ166" s="770"/>
      <c r="BK166" s="770"/>
      <c r="BL166" s="770"/>
      <c r="BM166" s="770"/>
      <c r="BN166" s="770"/>
      <c r="BO166" s="770"/>
      <c r="BP166" s="770"/>
      <c r="BQ166" s="770"/>
      <c r="BR166" s="770"/>
      <c r="BS166" s="770"/>
      <c r="BT166" s="770"/>
      <c r="BU166" s="770"/>
      <c r="BV166" s="770"/>
      <c r="BW166" s="770"/>
      <c r="BX166" s="770"/>
      <c r="BY166" s="770"/>
      <c r="BZ166" s="770"/>
      <c r="CA166" s="770"/>
      <c r="CB166" s="770"/>
    </row>
    <row r="167" spans="1:80">
      <c r="A167" s="770"/>
      <c r="B167" s="770"/>
      <c r="C167" s="770"/>
      <c r="D167" s="770"/>
      <c r="E167" s="770"/>
      <c r="F167" s="770"/>
      <c r="G167" s="770"/>
      <c r="H167" s="770"/>
      <c r="I167" s="770"/>
      <c r="J167" s="770"/>
      <c r="K167" s="770"/>
      <c r="L167" s="876"/>
      <c r="M167" s="770"/>
      <c r="N167" s="770"/>
      <c r="O167" s="770"/>
      <c r="P167" s="770"/>
      <c r="Q167" s="770"/>
      <c r="R167" s="770"/>
      <c r="S167" s="770"/>
      <c r="T167" s="770"/>
      <c r="U167" s="770"/>
      <c r="V167" s="770"/>
      <c r="W167" s="770"/>
      <c r="X167" s="770"/>
      <c r="Y167" s="770"/>
      <c r="Z167" s="770"/>
      <c r="AA167" s="770"/>
      <c r="AB167" s="770"/>
      <c r="AC167" s="770"/>
      <c r="AD167" s="770"/>
      <c r="AE167" s="770"/>
      <c r="AF167" s="770"/>
      <c r="AG167" s="770"/>
      <c r="AH167" s="770"/>
      <c r="AI167" s="770"/>
      <c r="AJ167" s="770"/>
      <c r="AK167" s="770"/>
      <c r="AL167" s="770"/>
      <c r="AM167" s="770"/>
      <c r="AN167" s="770"/>
      <c r="AO167" s="770"/>
      <c r="AP167" s="770"/>
      <c r="AQ167" s="770"/>
      <c r="AR167" s="770"/>
      <c r="AS167" s="770"/>
      <c r="AT167" s="770"/>
      <c r="AU167" s="770"/>
      <c r="AV167" s="770"/>
      <c r="AW167" s="770"/>
      <c r="AX167" s="770"/>
      <c r="AY167" s="770"/>
      <c r="AZ167" s="770"/>
      <c r="BA167" s="770"/>
      <c r="BB167" s="770"/>
      <c r="BC167" s="770"/>
      <c r="BD167" s="770"/>
      <c r="BE167" s="770"/>
      <c r="BF167" s="770"/>
      <c r="BG167" s="770"/>
      <c r="BH167" s="770"/>
      <c r="BI167" s="770"/>
      <c r="BJ167" s="770"/>
      <c r="BK167" s="770"/>
      <c r="BL167" s="770"/>
      <c r="BM167" s="770"/>
      <c r="BN167" s="770"/>
      <c r="BO167" s="770"/>
      <c r="BP167" s="770"/>
      <c r="BQ167" s="770"/>
      <c r="BR167" s="770"/>
      <c r="BS167" s="770"/>
      <c r="BT167" s="770"/>
      <c r="BU167" s="770"/>
      <c r="BV167" s="770"/>
      <c r="BW167" s="770"/>
      <c r="BX167" s="770"/>
      <c r="BY167" s="770"/>
      <c r="BZ167" s="770"/>
      <c r="CA167" s="770"/>
      <c r="CB167" s="770"/>
    </row>
    <row r="168" spans="1:80">
      <c r="A168" s="770"/>
      <c r="B168" s="770"/>
      <c r="C168" s="770"/>
      <c r="D168" s="770"/>
      <c r="E168" s="770"/>
      <c r="F168" s="770"/>
      <c r="G168" s="770"/>
      <c r="H168" s="770"/>
      <c r="I168" s="770"/>
      <c r="J168" s="770"/>
      <c r="K168" s="770"/>
      <c r="L168" s="876"/>
      <c r="M168" s="770"/>
      <c r="N168" s="770"/>
      <c r="O168" s="770"/>
      <c r="P168" s="770"/>
      <c r="Q168" s="770"/>
      <c r="R168" s="770"/>
      <c r="S168" s="770"/>
      <c r="T168" s="770"/>
      <c r="U168" s="770"/>
      <c r="V168" s="770"/>
      <c r="W168" s="770"/>
      <c r="X168" s="770"/>
      <c r="Y168" s="770"/>
      <c r="Z168" s="770"/>
      <c r="AA168" s="770"/>
      <c r="AB168" s="770"/>
      <c r="AC168" s="770"/>
      <c r="AD168" s="770"/>
      <c r="AE168" s="770"/>
      <c r="AF168" s="770"/>
      <c r="AG168" s="770"/>
      <c r="AH168" s="770"/>
      <c r="AI168" s="770"/>
      <c r="AJ168" s="770"/>
      <c r="AK168" s="770"/>
      <c r="AL168" s="770"/>
      <c r="AM168" s="770"/>
      <c r="AN168" s="770"/>
      <c r="AO168" s="770"/>
      <c r="AP168" s="770"/>
      <c r="AQ168" s="770"/>
      <c r="AR168" s="770"/>
      <c r="AS168" s="770"/>
      <c r="AT168" s="770"/>
      <c r="AU168" s="770"/>
      <c r="AV168" s="770"/>
      <c r="AW168" s="770"/>
      <c r="AX168" s="770"/>
      <c r="AY168" s="770"/>
      <c r="AZ168" s="770"/>
      <c r="BA168" s="770"/>
      <c r="BB168" s="770"/>
      <c r="BC168" s="770"/>
      <c r="BD168" s="770"/>
      <c r="BE168" s="770"/>
      <c r="BF168" s="770"/>
      <c r="BG168" s="770"/>
      <c r="BH168" s="770"/>
      <c r="BI168" s="770"/>
      <c r="BJ168" s="770"/>
      <c r="BK168" s="770"/>
      <c r="BL168" s="770"/>
      <c r="BM168" s="770"/>
      <c r="BN168" s="770"/>
      <c r="BO168" s="770"/>
      <c r="BP168" s="770"/>
      <c r="BQ168" s="770"/>
      <c r="BR168" s="770"/>
      <c r="BS168" s="770"/>
      <c r="BT168" s="770"/>
      <c r="BU168" s="770"/>
      <c r="BV168" s="770"/>
      <c r="BW168" s="770"/>
      <c r="BX168" s="770"/>
      <c r="BY168" s="770"/>
      <c r="BZ168" s="770"/>
      <c r="CA168" s="770"/>
      <c r="CB168" s="770"/>
    </row>
    <row r="169" spans="1:80">
      <c r="A169" s="770"/>
      <c r="B169" s="770"/>
      <c r="C169" s="770"/>
      <c r="D169" s="770"/>
      <c r="E169" s="770"/>
      <c r="F169" s="770"/>
      <c r="G169" s="770"/>
      <c r="H169" s="770"/>
      <c r="I169" s="770"/>
      <c r="J169" s="770"/>
      <c r="K169" s="770"/>
      <c r="L169" s="876"/>
      <c r="M169" s="770"/>
      <c r="N169" s="770"/>
      <c r="O169" s="770"/>
      <c r="P169" s="770"/>
      <c r="Q169" s="770"/>
      <c r="R169" s="770"/>
      <c r="S169" s="770"/>
      <c r="T169" s="770"/>
      <c r="U169" s="770"/>
      <c r="V169" s="770"/>
      <c r="W169" s="770"/>
      <c r="X169" s="770"/>
      <c r="Y169" s="770"/>
      <c r="Z169" s="770"/>
      <c r="AA169" s="770"/>
      <c r="AB169" s="770"/>
      <c r="AC169" s="770"/>
      <c r="AD169" s="770"/>
      <c r="AE169" s="770"/>
      <c r="AF169" s="770"/>
      <c r="AG169" s="770"/>
      <c r="AH169" s="770"/>
      <c r="AI169" s="770"/>
      <c r="AJ169" s="770"/>
      <c r="AK169" s="770"/>
      <c r="AL169" s="770"/>
      <c r="AM169" s="770"/>
      <c r="AN169" s="770"/>
      <c r="AO169" s="770"/>
      <c r="AP169" s="770"/>
      <c r="AQ169" s="770"/>
      <c r="AR169" s="770"/>
      <c r="AS169" s="770"/>
      <c r="AT169" s="770"/>
      <c r="AU169" s="770"/>
      <c r="AV169" s="770"/>
      <c r="AW169" s="770"/>
      <c r="AX169" s="770"/>
      <c r="AY169" s="770"/>
      <c r="AZ169" s="770"/>
      <c r="BA169" s="770"/>
      <c r="BB169" s="770"/>
      <c r="BC169" s="770"/>
      <c r="BD169" s="770"/>
      <c r="BE169" s="770"/>
      <c r="BF169" s="770"/>
      <c r="BG169" s="770"/>
      <c r="BH169" s="770"/>
      <c r="BI169" s="770"/>
      <c r="BJ169" s="770"/>
      <c r="BK169" s="770"/>
      <c r="BL169" s="770"/>
      <c r="BM169" s="770"/>
      <c r="BN169" s="770"/>
      <c r="BO169" s="770"/>
      <c r="BP169" s="770"/>
      <c r="BQ169" s="770"/>
      <c r="BR169" s="770"/>
      <c r="BS169" s="770"/>
      <c r="BT169" s="770"/>
      <c r="BU169" s="770"/>
      <c r="BV169" s="770"/>
      <c r="BW169" s="770"/>
      <c r="BX169" s="770"/>
      <c r="BY169" s="770"/>
      <c r="BZ169" s="770"/>
      <c r="CA169" s="770"/>
      <c r="CB169" s="770"/>
    </row>
    <row r="170" spans="1:80">
      <c r="A170" s="770"/>
      <c r="B170" s="770"/>
      <c r="C170" s="770"/>
      <c r="D170" s="770"/>
      <c r="E170" s="770"/>
      <c r="F170" s="770"/>
      <c r="G170" s="770"/>
      <c r="H170" s="770"/>
      <c r="I170" s="770"/>
      <c r="J170" s="770"/>
      <c r="K170" s="770"/>
      <c r="L170" s="876"/>
      <c r="M170" s="770"/>
      <c r="N170" s="770"/>
      <c r="O170" s="770"/>
      <c r="P170" s="770"/>
      <c r="Q170" s="770"/>
      <c r="R170" s="770"/>
      <c r="S170" s="770"/>
      <c r="T170" s="770"/>
      <c r="U170" s="770"/>
      <c r="V170" s="770"/>
      <c r="W170" s="770"/>
      <c r="X170" s="770"/>
      <c r="Y170" s="770"/>
      <c r="Z170" s="770"/>
      <c r="AA170" s="770"/>
      <c r="AB170" s="770"/>
      <c r="AC170" s="770"/>
      <c r="AD170" s="770"/>
      <c r="AE170" s="770"/>
      <c r="AF170" s="770"/>
      <c r="AG170" s="770"/>
      <c r="AH170" s="770"/>
      <c r="AI170" s="770"/>
      <c r="AJ170" s="770"/>
      <c r="AK170" s="770"/>
      <c r="AL170" s="770"/>
      <c r="AM170" s="770"/>
      <c r="AN170" s="770"/>
      <c r="AO170" s="770"/>
      <c r="AP170" s="770"/>
      <c r="AQ170" s="770"/>
      <c r="AR170" s="770"/>
      <c r="AS170" s="770"/>
      <c r="AT170" s="770"/>
      <c r="AU170" s="770"/>
      <c r="AV170" s="770"/>
      <c r="AW170" s="770"/>
      <c r="AX170" s="770"/>
      <c r="AY170" s="770"/>
      <c r="AZ170" s="770"/>
      <c r="BA170" s="770"/>
      <c r="BB170" s="770"/>
      <c r="BC170" s="770"/>
      <c r="BD170" s="770"/>
      <c r="BE170" s="770"/>
      <c r="BF170" s="770"/>
      <c r="BG170" s="770"/>
      <c r="BH170" s="770"/>
      <c r="BI170" s="770"/>
      <c r="BJ170" s="770"/>
      <c r="BK170" s="770"/>
      <c r="BL170" s="770"/>
      <c r="BM170" s="770"/>
      <c r="BN170" s="770"/>
      <c r="BO170" s="770"/>
      <c r="BP170" s="770"/>
      <c r="BQ170" s="770"/>
      <c r="BR170" s="770"/>
      <c r="BS170" s="770"/>
      <c r="BT170" s="770"/>
      <c r="BU170" s="770"/>
      <c r="BV170" s="770"/>
      <c r="BW170" s="770"/>
      <c r="BX170" s="770"/>
      <c r="BY170" s="770"/>
      <c r="BZ170" s="770"/>
      <c r="CA170" s="770"/>
      <c r="CB170" s="770"/>
    </row>
    <row r="171" spans="1:80">
      <c r="A171" s="770"/>
      <c r="B171" s="770"/>
      <c r="C171" s="770"/>
      <c r="D171" s="770"/>
      <c r="E171" s="770"/>
      <c r="F171" s="770"/>
      <c r="G171" s="770"/>
      <c r="H171" s="770"/>
      <c r="I171" s="770"/>
      <c r="J171" s="770"/>
      <c r="K171" s="770"/>
      <c r="L171" s="876"/>
      <c r="M171" s="770"/>
      <c r="N171" s="770"/>
      <c r="O171" s="770"/>
      <c r="P171" s="770"/>
      <c r="Q171" s="770"/>
      <c r="R171" s="770"/>
      <c r="S171" s="770"/>
      <c r="T171" s="770"/>
      <c r="U171" s="770"/>
      <c r="V171" s="770"/>
      <c r="W171" s="770"/>
      <c r="X171" s="770"/>
      <c r="Y171" s="770"/>
      <c r="Z171" s="770"/>
      <c r="AA171" s="770"/>
      <c r="AB171" s="770"/>
      <c r="AC171" s="770"/>
      <c r="AD171" s="770"/>
      <c r="AE171" s="770"/>
      <c r="AF171" s="770"/>
      <c r="AG171" s="770"/>
      <c r="AH171" s="770"/>
      <c r="AI171" s="770"/>
      <c r="AJ171" s="770"/>
      <c r="AK171" s="770"/>
      <c r="AL171" s="770"/>
      <c r="AM171" s="770"/>
      <c r="AN171" s="770"/>
      <c r="AO171" s="770"/>
      <c r="AP171" s="770"/>
      <c r="AQ171" s="770"/>
      <c r="AR171" s="770"/>
      <c r="AS171" s="770"/>
      <c r="AT171" s="770"/>
      <c r="AU171" s="770"/>
      <c r="AV171" s="770"/>
      <c r="AW171" s="770"/>
      <c r="AX171" s="770"/>
      <c r="AY171" s="770"/>
      <c r="AZ171" s="770"/>
      <c r="BA171" s="770"/>
      <c r="BB171" s="770"/>
      <c r="BC171" s="770"/>
      <c r="BD171" s="770"/>
      <c r="BE171" s="770"/>
      <c r="BF171" s="770"/>
      <c r="BG171" s="770"/>
      <c r="BH171" s="770"/>
      <c r="BI171" s="770"/>
      <c r="BJ171" s="770"/>
      <c r="BK171" s="770"/>
      <c r="BL171" s="770"/>
      <c r="BM171" s="770"/>
      <c r="BN171" s="770"/>
      <c r="BO171" s="770"/>
      <c r="BP171" s="770"/>
      <c r="BQ171" s="770"/>
      <c r="BR171" s="770"/>
      <c r="BS171" s="770"/>
      <c r="BT171" s="770"/>
      <c r="BU171" s="770"/>
      <c r="BV171" s="770"/>
      <c r="BW171" s="770"/>
      <c r="BX171" s="770"/>
      <c r="BY171" s="770"/>
      <c r="BZ171" s="770"/>
      <c r="CA171" s="770"/>
      <c r="CB171" s="770"/>
    </row>
    <row r="172" spans="1:80">
      <c r="A172" s="770"/>
      <c r="B172" s="770"/>
      <c r="C172" s="770"/>
      <c r="D172" s="770"/>
      <c r="E172" s="770"/>
      <c r="F172" s="770"/>
      <c r="G172" s="770"/>
      <c r="H172" s="770"/>
      <c r="I172" s="770"/>
      <c r="J172" s="770"/>
      <c r="K172" s="770"/>
      <c r="L172" s="876"/>
      <c r="M172" s="770"/>
      <c r="N172" s="770"/>
      <c r="O172" s="770"/>
      <c r="P172" s="770"/>
      <c r="Q172" s="770"/>
      <c r="R172" s="770"/>
      <c r="S172" s="770"/>
      <c r="T172" s="770"/>
      <c r="U172" s="770"/>
      <c r="V172" s="770"/>
      <c r="W172" s="770"/>
      <c r="X172" s="770"/>
      <c r="Y172" s="770"/>
      <c r="Z172" s="770"/>
      <c r="AA172" s="770"/>
      <c r="AB172" s="770"/>
      <c r="AC172" s="770"/>
      <c r="AD172" s="770"/>
      <c r="AE172" s="770"/>
      <c r="AF172" s="770"/>
      <c r="AG172" s="770"/>
      <c r="AH172" s="770"/>
      <c r="AI172" s="770"/>
      <c r="AJ172" s="770"/>
      <c r="AK172" s="770"/>
      <c r="AL172" s="770"/>
      <c r="AM172" s="770"/>
      <c r="AN172" s="770"/>
      <c r="AO172" s="770"/>
      <c r="AP172" s="770"/>
      <c r="AQ172" s="770"/>
      <c r="AR172" s="770"/>
      <c r="AS172" s="770"/>
      <c r="AT172" s="770"/>
      <c r="AU172" s="770"/>
      <c r="AV172" s="770"/>
      <c r="AW172" s="770"/>
      <c r="AX172" s="770"/>
      <c r="AY172" s="770"/>
      <c r="AZ172" s="770"/>
      <c r="BA172" s="770"/>
      <c r="BB172" s="770"/>
      <c r="BC172" s="770"/>
      <c r="BD172" s="770"/>
      <c r="BE172" s="770"/>
      <c r="BF172" s="770"/>
      <c r="BG172" s="770"/>
      <c r="BH172" s="770"/>
      <c r="BI172" s="770"/>
      <c r="BJ172" s="770"/>
      <c r="BK172" s="770"/>
      <c r="BL172" s="770"/>
      <c r="BM172" s="770"/>
      <c r="BN172" s="770"/>
      <c r="BO172" s="770"/>
      <c r="BP172" s="770"/>
      <c r="BQ172" s="770"/>
      <c r="BR172" s="770"/>
      <c r="BS172" s="770"/>
      <c r="BT172" s="770"/>
      <c r="BU172" s="770"/>
      <c r="BV172" s="770"/>
      <c r="BW172" s="770"/>
      <c r="BX172" s="770"/>
      <c r="BY172" s="770"/>
      <c r="BZ172" s="770"/>
      <c r="CA172" s="770"/>
      <c r="CB172" s="770"/>
    </row>
    <row r="173" spans="1:80">
      <c r="A173" s="770"/>
      <c r="B173" s="770"/>
      <c r="C173" s="770"/>
      <c r="D173" s="770"/>
      <c r="E173" s="770"/>
      <c r="F173" s="770"/>
      <c r="G173" s="770"/>
      <c r="H173" s="770"/>
      <c r="I173" s="770"/>
      <c r="J173" s="770"/>
      <c r="K173" s="770"/>
      <c r="L173" s="876"/>
      <c r="M173" s="770"/>
      <c r="N173" s="770"/>
      <c r="O173" s="770"/>
      <c r="P173" s="770"/>
      <c r="Q173" s="770"/>
      <c r="R173" s="770"/>
      <c r="S173" s="770"/>
      <c r="T173" s="770"/>
      <c r="U173" s="770"/>
      <c r="V173" s="770"/>
      <c r="W173" s="770"/>
      <c r="X173" s="770"/>
      <c r="Y173" s="770"/>
      <c r="Z173" s="770"/>
      <c r="AA173" s="770"/>
      <c r="AB173" s="770"/>
      <c r="AC173" s="770"/>
      <c r="AD173" s="770"/>
      <c r="AE173" s="770"/>
      <c r="AF173" s="770"/>
      <c r="AG173" s="770"/>
      <c r="AH173" s="770"/>
      <c r="AI173" s="770"/>
      <c r="AJ173" s="770"/>
      <c r="AK173" s="770"/>
      <c r="AL173" s="770"/>
      <c r="AM173" s="770"/>
      <c r="AN173" s="770"/>
      <c r="AO173" s="770"/>
      <c r="AP173" s="770"/>
      <c r="AQ173" s="770"/>
      <c r="AR173" s="770"/>
      <c r="AS173" s="770"/>
      <c r="AT173" s="770"/>
      <c r="AU173" s="770"/>
      <c r="AV173" s="770"/>
      <c r="AW173" s="770"/>
      <c r="AX173" s="770"/>
      <c r="AY173" s="770"/>
      <c r="AZ173" s="770"/>
      <c r="BA173" s="770"/>
      <c r="BB173" s="770"/>
      <c r="BC173" s="770"/>
      <c r="BD173" s="770"/>
      <c r="BE173" s="770"/>
      <c r="BF173" s="770"/>
      <c r="BG173" s="770"/>
      <c r="BH173" s="770"/>
      <c r="BI173" s="770"/>
      <c r="BJ173" s="770"/>
      <c r="BK173" s="770"/>
      <c r="BL173" s="770"/>
      <c r="BM173" s="770"/>
      <c r="BN173" s="770"/>
      <c r="BO173" s="770"/>
      <c r="BP173" s="770"/>
      <c r="BQ173" s="770"/>
      <c r="BR173" s="770"/>
      <c r="BS173" s="770"/>
      <c r="BT173" s="770"/>
      <c r="BU173" s="770"/>
      <c r="BV173" s="770"/>
      <c r="BW173" s="770"/>
      <c r="BX173" s="770"/>
      <c r="BY173" s="770"/>
      <c r="BZ173" s="770"/>
      <c r="CA173" s="770"/>
      <c r="CB173" s="770"/>
    </row>
    <row r="174" spans="1:80">
      <c r="A174" s="770"/>
      <c r="B174" s="770"/>
      <c r="C174" s="770"/>
      <c r="D174" s="770"/>
      <c r="E174" s="770"/>
      <c r="F174" s="770"/>
      <c r="G174" s="770"/>
      <c r="H174" s="770"/>
      <c r="I174" s="770"/>
      <c r="J174" s="770"/>
      <c r="K174" s="770"/>
      <c r="L174" s="876"/>
      <c r="M174" s="770"/>
      <c r="N174" s="770"/>
      <c r="O174" s="770"/>
      <c r="P174" s="770"/>
      <c r="Q174" s="770"/>
      <c r="R174" s="770"/>
      <c r="S174" s="770"/>
      <c r="T174" s="770"/>
      <c r="U174" s="770"/>
      <c r="V174" s="770"/>
      <c r="W174" s="770"/>
      <c r="X174" s="770"/>
      <c r="Y174" s="770"/>
      <c r="Z174" s="770"/>
      <c r="AA174" s="770"/>
      <c r="AB174" s="770"/>
      <c r="AC174" s="770"/>
      <c r="AD174" s="770"/>
      <c r="AE174" s="770"/>
      <c r="AF174" s="770"/>
      <c r="AG174" s="770"/>
      <c r="AH174" s="770"/>
      <c r="AI174" s="770"/>
      <c r="AJ174" s="770"/>
      <c r="AK174" s="770"/>
      <c r="AL174" s="770"/>
      <c r="AM174" s="770"/>
      <c r="AN174" s="770"/>
      <c r="AO174" s="770"/>
      <c r="AP174" s="770"/>
      <c r="AQ174" s="770"/>
      <c r="AR174" s="770"/>
      <c r="AS174" s="770"/>
      <c r="AT174" s="770"/>
      <c r="AU174" s="770"/>
      <c r="AV174" s="770"/>
      <c r="AW174" s="770"/>
      <c r="AX174" s="770"/>
      <c r="AY174" s="770"/>
      <c r="AZ174" s="770"/>
      <c r="BA174" s="770"/>
      <c r="BB174" s="770"/>
      <c r="BC174" s="770"/>
      <c r="BD174" s="770"/>
      <c r="BE174" s="770"/>
      <c r="BF174" s="770"/>
      <c r="BG174" s="770"/>
      <c r="BH174" s="770"/>
      <c r="BI174" s="770"/>
      <c r="BJ174" s="770"/>
      <c r="BK174" s="770"/>
      <c r="BL174" s="770"/>
      <c r="BM174" s="770"/>
      <c r="BN174" s="770"/>
      <c r="BO174" s="770"/>
      <c r="BP174" s="770"/>
      <c r="BQ174" s="770"/>
      <c r="BR174" s="770"/>
      <c r="BS174" s="770"/>
      <c r="BT174" s="770"/>
      <c r="BU174" s="770"/>
      <c r="BV174" s="770"/>
      <c r="BW174" s="770"/>
      <c r="BX174" s="770"/>
      <c r="BY174" s="770"/>
      <c r="BZ174" s="770"/>
      <c r="CA174" s="770"/>
      <c r="CB174" s="770"/>
    </row>
    <row r="175" spans="1:80">
      <c r="A175" s="770"/>
      <c r="B175" s="770"/>
      <c r="C175" s="770"/>
      <c r="D175" s="770"/>
      <c r="E175" s="770"/>
      <c r="F175" s="770"/>
      <c r="G175" s="770"/>
      <c r="H175" s="770"/>
      <c r="I175" s="770"/>
      <c r="J175" s="770"/>
      <c r="K175" s="770"/>
      <c r="L175" s="876"/>
      <c r="M175" s="770"/>
      <c r="N175" s="770"/>
      <c r="O175" s="770"/>
      <c r="P175" s="770"/>
      <c r="Q175" s="770"/>
      <c r="R175" s="770"/>
      <c r="S175" s="770"/>
      <c r="T175" s="770"/>
      <c r="U175" s="770"/>
      <c r="V175" s="770"/>
      <c r="W175" s="770"/>
      <c r="X175" s="770"/>
      <c r="Y175" s="770"/>
      <c r="Z175" s="770"/>
      <c r="AA175" s="770"/>
      <c r="AB175" s="770"/>
      <c r="AC175" s="770"/>
      <c r="AD175" s="770"/>
      <c r="AE175" s="770"/>
      <c r="AF175" s="770"/>
      <c r="AG175" s="770"/>
      <c r="AH175" s="770"/>
      <c r="AI175" s="770"/>
      <c r="AJ175" s="770"/>
      <c r="AK175" s="770"/>
      <c r="AL175" s="770"/>
      <c r="AM175" s="770"/>
      <c r="AN175" s="770"/>
      <c r="AO175" s="770"/>
      <c r="AP175" s="770"/>
      <c r="AQ175" s="770"/>
      <c r="AR175" s="770"/>
      <c r="AS175" s="770"/>
      <c r="AT175" s="770"/>
      <c r="AU175" s="770"/>
      <c r="AV175" s="770"/>
      <c r="AW175" s="770"/>
      <c r="AX175" s="770"/>
      <c r="AY175" s="770"/>
      <c r="AZ175" s="770"/>
      <c r="BA175" s="770"/>
      <c r="BB175" s="770"/>
      <c r="BC175" s="770"/>
      <c r="BD175" s="770"/>
      <c r="BE175" s="770"/>
      <c r="BF175" s="770"/>
      <c r="BG175" s="770"/>
      <c r="BH175" s="770"/>
      <c r="BI175" s="770"/>
      <c r="BJ175" s="770"/>
      <c r="BK175" s="770"/>
      <c r="BL175" s="770"/>
      <c r="BM175" s="770"/>
      <c r="BN175" s="770"/>
      <c r="BO175" s="770"/>
      <c r="BP175" s="770"/>
      <c r="BQ175" s="770"/>
      <c r="BR175" s="770"/>
      <c r="BS175" s="770"/>
      <c r="BT175" s="770"/>
      <c r="BU175" s="770"/>
      <c r="BV175" s="770"/>
      <c r="BW175" s="770"/>
      <c r="BX175" s="770"/>
      <c r="BY175" s="770"/>
      <c r="BZ175" s="770"/>
      <c r="CA175" s="770"/>
      <c r="CB175" s="770"/>
    </row>
    <row r="176" spans="1:80">
      <c r="A176" s="770"/>
      <c r="B176" s="770"/>
      <c r="C176" s="770"/>
      <c r="D176" s="770"/>
      <c r="E176" s="770"/>
      <c r="F176" s="770"/>
      <c r="G176" s="770"/>
      <c r="H176" s="770"/>
      <c r="I176" s="770"/>
      <c r="J176" s="770"/>
      <c r="K176" s="770"/>
      <c r="L176" s="876"/>
      <c r="M176" s="770"/>
      <c r="N176" s="770"/>
      <c r="O176" s="770"/>
      <c r="P176" s="770"/>
      <c r="Q176" s="770"/>
      <c r="R176" s="770"/>
      <c r="S176" s="770"/>
      <c r="T176" s="770"/>
      <c r="U176" s="770"/>
      <c r="V176" s="770"/>
      <c r="W176" s="770"/>
      <c r="X176" s="770"/>
      <c r="Y176" s="770"/>
      <c r="Z176" s="770"/>
      <c r="AA176" s="770"/>
      <c r="AB176" s="770"/>
      <c r="AC176" s="770"/>
      <c r="AD176" s="770"/>
      <c r="AE176" s="770"/>
      <c r="AF176" s="770"/>
      <c r="AG176" s="770"/>
      <c r="AH176" s="770"/>
      <c r="AI176" s="770"/>
      <c r="AJ176" s="770"/>
      <c r="AK176" s="770"/>
      <c r="AL176" s="770"/>
      <c r="AM176" s="770"/>
      <c r="AN176" s="770"/>
      <c r="AO176" s="770"/>
      <c r="AP176" s="770"/>
      <c r="AQ176" s="770"/>
      <c r="AR176" s="770"/>
      <c r="AS176" s="770"/>
      <c r="AT176" s="770"/>
      <c r="AU176" s="770"/>
      <c r="AV176" s="770"/>
      <c r="AW176" s="770"/>
      <c r="AX176" s="770"/>
      <c r="AY176" s="770"/>
      <c r="AZ176" s="770"/>
      <c r="BA176" s="770"/>
      <c r="BB176" s="770"/>
      <c r="BC176" s="770"/>
      <c r="BD176" s="770"/>
      <c r="BE176" s="770"/>
      <c r="BF176" s="770"/>
      <c r="BG176" s="770"/>
      <c r="BH176" s="770"/>
      <c r="BI176" s="770"/>
      <c r="BJ176" s="770"/>
      <c r="BK176" s="770"/>
      <c r="BL176" s="770"/>
      <c r="BM176" s="770"/>
      <c r="BN176" s="770"/>
      <c r="BO176" s="770"/>
      <c r="BP176" s="770"/>
      <c r="BQ176" s="770"/>
      <c r="BR176" s="770"/>
      <c r="BS176" s="770"/>
      <c r="BT176" s="770"/>
      <c r="BU176" s="770"/>
      <c r="BV176" s="770"/>
      <c r="BW176" s="770"/>
      <c r="BX176" s="770"/>
      <c r="BY176" s="770"/>
      <c r="BZ176" s="770"/>
      <c r="CA176" s="770"/>
      <c r="CB176" s="770"/>
    </row>
    <row r="177" spans="1:80">
      <c r="A177" s="770"/>
      <c r="B177" s="770"/>
      <c r="C177" s="770"/>
      <c r="D177" s="770"/>
      <c r="E177" s="770"/>
      <c r="F177" s="770"/>
      <c r="G177" s="770"/>
      <c r="H177" s="770"/>
      <c r="I177" s="770"/>
      <c r="J177" s="770"/>
      <c r="K177" s="770"/>
      <c r="L177" s="876"/>
      <c r="M177" s="770"/>
      <c r="N177" s="770"/>
      <c r="O177" s="770"/>
      <c r="P177" s="770"/>
      <c r="Q177" s="770"/>
      <c r="R177" s="770"/>
      <c r="S177" s="770"/>
      <c r="T177" s="770"/>
      <c r="U177" s="770"/>
      <c r="V177" s="770"/>
      <c r="W177" s="770"/>
      <c r="X177" s="770"/>
      <c r="Y177" s="770"/>
      <c r="Z177" s="770"/>
      <c r="AA177" s="770"/>
      <c r="AB177" s="770"/>
      <c r="AC177" s="770"/>
      <c r="AD177" s="770"/>
      <c r="AE177" s="770"/>
      <c r="AF177" s="770"/>
      <c r="AG177" s="770"/>
      <c r="AH177" s="770"/>
      <c r="AI177" s="770"/>
      <c r="AJ177" s="770"/>
      <c r="AK177" s="770"/>
      <c r="AL177" s="770"/>
      <c r="AM177" s="770"/>
      <c r="AN177" s="770"/>
      <c r="AO177" s="770"/>
      <c r="AP177" s="770"/>
      <c r="AQ177" s="770"/>
      <c r="AR177" s="770"/>
      <c r="AS177" s="770"/>
      <c r="AT177" s="770"/>
      <c r="AU177" s="770"/>
      <c r="AV177" s="770"/>
      <c r="AW177" s="770"/>
      <c r="AX177" s="770"/>
      <c r="AY177" s="770"/>
      <c r="AZ177" s="770"/>
      <c r="BA177" s="770"/>
      <c r="BB177" s="770"/>
      <c r="BC177" s="770"/>
      <c r="BD177" s="770"/>
      <c r="BE177" s="770"/>
      <c r="BF177" s="770"/>
      <c r="BG177" s="770"/>
      <c r="BH177" s="770"/>
      <c r="BI177" s="770"/>
      <c r="BJ177" s="770"/>
      <c r="BK177" s="770"/>
      <c r="BL177" s="770"/>
      <c r="BM177" s="770"/>
      <c r="BN177" s="770"/>
      <c r="BO177" s="770"/>
      <c r="BP177" s="770"/>
      <c r="BQ177" s="770"/>
      <c r="BR177" s="770"/>
      <c r="BS177" s="770"/>
      <c r="BT177" s="770"/>
      <c r="BU177" s="770"/>
      <c r="BV177" s="770"/>
      <c r="BW177" s="770"/>
      <c r="BX177" s="770"/>
      <c r="BY177" s="770"/>
      <c r="BZ177" s="770"/>
      <c r="CA177" s="770"/>
      <c r="CB177" s="770"/>
    </row>
    <row r="178" spans="1:80">
      <c r="A178" s="770"/>
      <c r="B178" s="770"/>
      <c r="C178" s="770"/>
      <c r="D178" s="770"/>
      <c r="E178" s="770"/>
      <c r="F178" s="770"/>
      <c r="G178" s="770"/>
      <c r="H178" s="770"/>
      <c r="I178" s="770"/>
      <c r="J178" s="770"/>
      <c r="K178" s="770"/>
      <c r="L178" s="876"/>
      <c r="M178" s="770"/>
      <c r="N178" s="770"/>
      <c r="O178" s="770"/>
      <c r="P178" s="770"/>
      <c r="Q178" s="770"/>
      <c r="R178" s="770"/>
      <c r="S178" s="770"/>
      <c r="T178" s="770"/>
      <c r="U178" s="770"/>
      <c r="V178" s="770"/>
      <c r="W178" s="770"/>
      <c r="X178" s="770"/>
      <c r="Y178" s="770"/>
      <c r="Z178" s="770"/>
      <c r="AA178" s="770"/>
      <c r="AB178" s="770"/>
      <c r="AC178" s="770"/>
      <c r="AD178" s="770"/>
      <c r="AE178" s="770"/>
      <c r="AF178" s="770"/>
      <c r="AG178" s="770"/>
      <c r="AH178" s="770"/>
      <c r="AI178" s="770"/>
      <c r="AJ178" s="770"/>
      <c r="AK178" s="770"/>
      <c r="AL178" s="770"/>
      <c r="AM178" s="770"/>
      <c r="AN178" s="770"/>
      <c r="AO178" s="770"/>
      <c r="AP178" s="770"/>
      <c r="AQ178" s="770"/>
      <c r="AR178" s="770"/>
      <c r="AS178" s="770"/>
      <c r="AT178" s="770"/>
      <c r="AU178" s="770"/>
      <c r="AV178" s="770"/>
      <c r="AW178" s="770"/>
      <c r="AX178" s="770"/>
      <c r="AY178" s="770"/>
      <c r="AZ178" s="770"/>
      <c r="BA178" s="770"/>
      <c r="BB178" s="770"/>
      <c r="BC178" s="770"/>
      <c r="BD178" s="770"/>
      <c r="BE178" s="770"/>
      <c r="BF178" s="770"/>
      <c r="BG178" s="770"/>
      <c r="BH178" s="770"/>
      <c r="BI178" s="770"/>
      <c r="BJ178" s="770"/>
      <c r="BK178" s="770"/>
      <c r="BL178" s="770"/>
      <c r="BM178" s="770"/>
      <c r="BN178" s="770"/>
      <c r="BO178" s="770"/>
      <c r="BP178" s="770"/>
      <c r="BQ178" s="770"/>
      <c r="BR178" s="770"/>
      <c r="BS178" s="770"/>
      <c r="BT178" s="770"/>
      <c r="BU178" s="770"/>
      <c r="BV178" s="770"/>
      <c r="BW178" s="770"/>
      <c r="BX178" s="770"/>
      <c r="BY178" s="770"/>
      <c r="BZ178" s="770"/>
      <c r="CA178" s="770"/>
      <c r="CB178" s="770"/>
    </row>
    <row r="179" spans="1:80">
      <c r="A179" s="770"/>
      <c r="B179" s="770"/>
      <c r="C179" s="770"/>
      <c r="D179" s="770"/>
      <c r="E179" s="770"/>
      <c r="F179" s="770"/>
      <c r="G179" s="770"/>
      <c r="H179" s="770"/>
      <c r="I179" s="770"/>
      <c r="J179" s="770"/>
      <c r="K179" s="770"/>
      <c r="L179" s="876"/>
      <c r="M179" s="770"/>
      <c r="N179" s="770"/>
      <c r="O179" s="770"/>
      <c r="P179" s="770"/>
      <c r="Q179" s="770"/>
      <c r="R179" s="770"/>
      <c r="S179" s="770"/>
      <c r="T179" s="770"/>
      <c r="U179" s="770"/>
      <c r="V179" s="770"/>
      <c r="W179" s="770"/>
      <c r="X179" s="770"/>
      <c r="Y179" s="770"/>
      <c r="Z179" s="770"/>
      <c r="AA179" s="770"/>
      <c r="AB179" s="770"/>
      <c r="AC179" s="770"/>
      <c r="AD179" s="770"/>
      <c r="AE179" s="770"/>
      <c r="AF179" s="770"/>
      <c r="AG179" s="770"/>
      <c r="AH179" s="770"/>
      <c r="AI179" s="770"/>
      <c r="AJ179" s="770"/>
      <c r="AK179" s="770"/>
      <c r="AL179" s="770"/>
      <c r="AM179" s="770"/>
      <c r="AN179" s="770"/>
      <c r="AO179" s="770"/>
      <c r="AP179" s="770"/>
      <c r="AQ179" s="770"/>
      <c r="AR179" s="770"/>
      <c r="AS179" s="770"/>
      <c r="AT179" s="770"/>
      <c r="AU179" s="770"/>
      <c r="AV179" s="770"/>
      <c r="AW179" s="770"/>
      <c r="AX179" s="770"/>
      <c r="AY179" s="770"/>
      <c r="AZ179" s="770"/>
      <c r="BA179" s="770"/>
      <c r="BB179" s="770"/>
      <c r="BC179" s="770"/>
      <c r="BD179" s="770"/>
      <c r="BE179" s="770"/>
      <c r="BF179" s="770"/>
      <c r="BG179" s="770"/>
      <c r="BH179" s="770"/>
      <c r="BI179" s="770"/>
      <c r="BJ179" s="770"/>
      <c r="BK179" s="770"/>
      <c r="BL179" s="770"/>
      <c r="BM179" s="770"/>
      <c r="BN179" s="770"/>
      <c r="BO179" s="770"/>
      <c r="BP179" s="770"/>
      <c r="BQ179" s="770"/>
      <c r="BR179" s="770"/>
      <c r="BS179" s="770"/>
      <c r="BT179" s="770"/>
      <c r="BU179" s="770"/>
      <c r="BV179" s="770"/>
      <c r="BW179" s="770"/>
      <c r="BX179" s="770"/>
      <c r="BY179" s="770"/>
      <c r="BZ179" s="770"/>
      <c r="CA179" s="770"/>
      <c r="CB179" s="770"/>
    </row>
    <row r="180" spans="1:80">
      <c r="A180" s="770"/>
      <c r="B180" s="770"/>
      <c r="C180" s="770"/>
      <c r="D180" s="770"/>
      <c r="E180" s="770"/>
      <c r="F180" s="770"/>
      <c r="G180" s="770"/>
      <c r="H180" s="770"/>
      <c r="I180" s="770"/>
      <c r="J180" s="770"/>
      <c r="K180" s="770"/>
      <c r="L180" s="876"/>
      <c r="M180" s="770"/>
      <c r="N180" s="770"/>
      <c r="O180" s="770"/>
      <c r="P180" s="770"/>
      <c r="Q180" s="770"/>
      <c r="R180" s="770"/>
      <c r="S180" s="770"/>
      <c r="T180" s="770"/>
      <c r="U180" s="770"/>
      <c r="V180" s="770"/>
      <c r="W180" s="770"/>
      <c r="X180" s="770"/>
      <c r="Y180" s="770"/>
      <c r="Z180" s="770"/>
      <c r="AA180" s="770"/>
      <c r="AB180" s="770"/>
      <c r="AC180" s="770"/>
      <c r="AD180" s="770"/>
      <c r="AE180" s="770"/>
      <c r="AF180" s="770"/>
      <c r="AG180" s="770"/>
      <c r="AH180" s="770"/>
      <c r="AI180" s="770"/>
      <c r="AJ180" s="770"/>
      <c r="AK180" s="770"/>
      <c r="AL180" s="770"/>
      <c r="AM180" s="770"/>
      <c r="AN180" s="770"/>
      <c r="AO180" s="770"/>
      <c r="AP180" s="770"/>
      <c r="AQ180" s="770"/>
      <c r="AR180" s="770"/>
      <c r="AS180" s="770"/>
      <c r="AT180" s="770"/>
      <c r="AU180" s="770"/>
      <c r="AV180" s="770"/>
      <c r="AW180" s="770"/>
      <c r="AX180" s="770"/>
      <c r="AY180" s="770"/>
      <c r="AZ180" s="770"/>
      <c r="BA180" s="770"/>
      <c r="BB180" s="770"/>
      <c r="BC180" s="770"/>
      <c r="BD180" s="770"/>
      <c r="BE180" s="770"/>
      <c r="BF180" s="770"/>
      <c r="BG180" s="770"/>
      <c r="BH180" s="770"/>
      <c r="BI180" s="770"/>
      <c r="BJ180" s="770"/>
      <c r="BK180" s="770"/>
      <c r="BL180" s="770"/>
      <c r="BM180" s="770"/>
      <c r="BN180" s="770"/>
      <c r="BO180" s="770"/>
      <c r="BP180" s="770"/>
      <c r="BQ180" s="770"/>
      <c r="BR180" s="770"/>
      <c r="BS180" s="770"/>
      <c r="BT180" s="770"/>
      <c r="BU180" s="770"/>
      <c r="BV180" s="770"/>
      <c r="BW180" s="770"/>
      <c r="BX180" s="770"/>
      <c r="BY180" s="770"/>
      <c r="BZ180" s="770"/>
      <c r="CA180" s="770"/>
      <c r="CB180" s="770"/>
    </row>
    <row r="181" spans="1:80">
      <c r="A181" s="770"/>
      <c r="B181" s="770"/>
      <c r="C181" s="770"/>
      <c r="D181" s="770"/>
      <c r="E181" s="770"/>
      <c r="F181" s="770"/>
      <c r="G181" s="770"/>
      <c r="H181" s="770"/>
      <c r="I181" s="770"/>
      <c r="J181" s="770"/>
      <c r="K181" s="770"/>
      <c r="L181" s="876"/>
      <c r="M181" s="770"/>
      <c r="N181" s="770"/>
      <c r="O181" s="770"/>
      <c r="P181" s="770"/>
      <c r="Q181" s="770"/>
      <c r="R181" s="770"/>
      <c r="S181" s="770"/>
      <c r="T181" s="770"/>
      <c r="U181" s="770"/>
      <c r="V181" s="770"/>
      <c r="W181" s="770"/>
      <c r="X181" s="770"/>
      <c r="Y181" s="770"/>
      <c r="Z181" s="770"/>
      <c r="AA181" s="770"/>
      <c r="AB181" s="770"/>
      <c r="AC181" s="770"/>
      <c r="AD181" s="770"/>
      <c r="AE181" s="770"/>
      <c r="AF181" s="770"/>
      <c r="AG181" s="770"/>
      <c r="AH181" s="770"/>
      <c r="AI181" s="770"/>
      <c r="AJ181" s="770"/>
      <c r="AK181" s="770"/>
      <c r="AL181" s="770"/>
      <c r="AM181" s="770"/>
      <c r="AN181" s="770"/>
      <c r="AO181" s="770"/>
      <c r="AP181" s="770"/>
      <c r="AQ181" s="770"/>
      <c r="AR181" s="770"/>
      <c r="AS181" s="770"/>
      <c r="AT181" s="770"/>
      <c r="AU181" s="770"/>
      <c r="AV181" s="770"/>
      <c r="AW181" s="770"/>
      <c r="AX181" s="770"/>
      <c r="AY181" s="770"/>
      <c r="AZ181" s="770"/>
      <c r="BA181" s="770"/>
      <c r="BB181" s="770"/>
      <c r="BC181" s="770"/>
      <c r="BD181" s="770"/>
      <c r="BE181" s="770"/>
      <c r="BF181" s="770"/>
      <c r="BG181" s="770"/>
      <c r="BH181" s="770"/>
      <c r="BI181" s="770"/>
      <c r="BJ181" s="770"/>
      <c r="BK181" s="770"/>
      <c r="BL181" s="770"/>
      <c r="BM181" s="770"/>
      <c r="BN181" s="770"/>
      <c r="BO181" s="770"/>
      <c r="BP181" s="770"/>
      <c r="BQ181" s="770"/>
      <c r="BR181" s="770"/>
      <c r="BS181" s="770"/>
      <c r="BT181" s="770"/>
      <c r="BU181" s="770"/>
      <c r="BV181" s="770"/>
      <c r="BW181" s="770"/>
      <c r="BX181" s="770"/>
      <c r="BY181" s="770"/>
      <c r="BZ181" s="770"/>
      <c r="CA181" s="770"/>
      <c r="CB181" s="770"/>
    </row>
    <row r="182" spans="1:80">
      <c r="A182" s="770"/>
      <c r="B182" s="770"/>
      <c r="C182" s="770"/>
      <c r="D182" s="770"/>
      <c r="E182" s="770"/>
      <c r="F182" s="770"/>
      <c r="G182" s="770"/>
      <c r="H182" s="770"/>
      <c r="I182" s="770"/>
      <c r="J182" s="770"/>
      <c r="K182" s="770"/>
      <c r="L182" s="876"/>
      <c r="M182" s="770"/>
      <c r="N182" s="770"/>
      <c r="O182" s="770"/>
      <c r="P182" s="770"/>
      <c r="Q182" s="770"/>
      <c r="R182" s="770"/>
      <c r="S182" s="770"/>
      <c r="T182" s="770"/>
      <c r="U182" s="770"/>
      <c r="V182" s="770"/>
      <c r="W182" s="770"/>
      <c r="X182" s="770"/>
      <c r="Y182" s="770"/>
      <c r="Z182" s="770"/>
      <c r="AA182" s="770"/>
      <c r="AB182" s="770"/>
      <c r="AC182" s="770"/>
      <c r="AD182" s="770"/>
      <c r="AE182" s="770"/>
      <c r="AF182" s="770"/>
      <c r="AG182" s="770"/>
      <c r="AH182" s="770"/>
      <c r="AI182" s="770"/>
      <c r="AJ182" s="770"/>
      <c r="AK182" s="770"/>
      <c r="AL182" s="770"/>
      <c r="AM182" s="770"/>
      <c r="AN182" s="770"/>
      <c r="AO182" s="770"/>
      <c r="AP182" s="770"/>
      <c r="AQ182" s="770"/>
      <c r="AR182" s="770"/>
      <c r="AS182" s="770"/>
      <c r="AT182" s="770"/>
      <c r="AU182" s="770"/>
      <c r="AV182" s="770"/>
      <c r="AW182" s="770"/>
      <c r="AX182" s="770"/>
      <c r="AY182" s="770"/>
      <c r="AZ182" s="770"/>
      <c r="BA182" s="770"/>
      <c r="BB182" s="770"/>
      <c r="BC182" s="770"/>
      <c r="BD182" s="770"/>
      <c r="BE182" s="770"/>
      <c r="BF182" s="770"/>
      <c r="BG182" s="770"/>
      <c r="BH182" s="770"/>
      <c r="BI182" s="770"/>
      <c r="BJ182" s="770"/>
      <c r="BK182" s="770"/>
      <c r="BL182" s="770"/>
      <c r="BM182" s="770"/>
      <c r="BN182" s="770"/>
      <c r="BO182" s="770"/>
      <c r="BP182" s="770"/>
      <c r="BQ182" s="770"/>
      <c r="BR182" s="770"/>
      <c r="BS182" s="770"/>
      <c r="BT182" s="770"/>
      <c r="BU182" s="770"/>
      <c r="BV182" s="770"/>
      <c r="BW182" s="770"/>
      <c r="BX182" s="770"/>
      <c r="BY182" s="770"/>
      <c r="BZ182" s="770"/>
      <c r="CA182" s="770"/>
      <c r="CB182" s="770"/>
    </row>
    <row r="183" spans="1:80">
      <c r="A183" s="770"/>
      <c r="B183" s="770"/>
      <c r="C183" s="770"/>
      <c r="D183" s="770"/>
      <c r="E183" s="770"/>
      <c r="F183" s="770"/>
      <c r="G183" s="770"/>
      <c r="H183" s="770"/>
      <c r="I183" s="770"/>
      <c r="J183" s="770"/>
      <c r="K183" s="770"/>
      <c r="L183" s="876"/>
      <c r="M183" s="770"/>
      <c r="N183" s="770"/>
      <c r="O183" s="770"/>
      <c r="P183" s="770"/>
      <c r="Q183" s="770"/>
      <c r="R183" s="770"/>
      <c r="S183" s="770"/>
      <c r="T183" s="770"/>
      <c r="U183" s="770"/>
      <c r="V183" s="770"/>
      <c r="W183" s="770"/>
      <c r="X183" s="770"/>
      <c r="Y183" s="770"/>
      <c r="Z183" s="770"/>
      <c r="AA183" s="770"/>
      <c r="AB183" s="770"/>
      <c r="AC183" s="770"/>
      <c r="AD183" s="770"/>
      <c r="AE183" s="770"/>
      <c r="AF183" s="770"/>
      <c r="AG183" s="770"/>
      <c r="AH183" s="770"/>
      <c r="AI183" s="770"/>
      <c r="AJ183" s="770"/>
      <c r="AK183" s="770"/>
      <c r="AL183" s="770"/>
      <c r="AM183" s="770"/>
      <c r="AN183" s="770"/>
      <c r="AO183" s="770"/>
      <c r="AP183" s="770"/>
      <c r="AQ183" s="770"/>
      <c r="AR183" s="770"/>
      <c r="AS183" s="770"/>
      <c r="AT183" s="770"/>
      <c r="AU183" s="770"/>
      <c r="AV183" s="770"/>
      <c r="AW183" s="770"/>
      <c r="AX183" s="770"/>
      <c r="AY183" s="770"/>
      <c r="AZ183" s="770"/>
      <c r="BA183" s="770"/>
      <c r="BB183" s="770"/>
      <c r="BC183" s="770"/>
      <c r="BD183" s="770"/>
      <c r="BE183" s="770"/>
      <c r="BF183" s="770"/>
      <c r="BG183" s="770"/>
      <c r="BH183" s="770"/>
      <c r="BI183" s="770"/>
      <c r="BJ183" s="770"/>
      <c r="BK183" s="770"/>
      <c r="BL183" s="770"/>
      <c r="BM183" s="770"/>
      <c r="BN183" s="770"/>
      <c r="BO183" s="770"/>
      <c r="BP183" s="770"/>
      <c r="BQ183" s="770"/>
      <c r="BR183" s="770"/>
      <c r="BS183" s="770"/>
      <c r="BT183" s="770"/>
      <c r="BU183" s="770"/>
      <c r="BV183" s="770"/>
      <c r="BW183" s="770"/>
      <c r="BX183" s="770"/>
      <c r="BY183" s="770"/>
      <c r="BZ183" s="770"/>
      <c r="CA183" s="770"/>
      <c r="CB183" s="770"/>
    </row>
    <row r="184" spans="1:80">
      <c r="A184" s="770"/>
      <c r="B184" s="770"/>
      <c r="C184" s="770"/>
      <c r="D184" s="770"/>
      <c r="E184" s="770"/>
      <c r="F184" s="770"/>
      <c r="G184" s="770"/>
      <c r="H184" s="770"/>
      <c r="I184" s="770"/>
      <c r="J184" s="770"/>
      <c r="K184" s="770"/>
      <c r="L184" s="876"/>
      <c r="M184" s="770"/>
      <c r="N184" s="770"/>
      <c r="O184" s="770"/>
      <c r="P184" s="770"/>
      <c r="Q184" s="770"/>
      <c r="R184" s="770"/>
      <c r="S184" s="770"/>
      <c r="T184" s="770"/>
      <c r="U184" s="770"/>
      <c r="V184" s="770"/>
      <c r="W184" s="770"/>
      <c r="X184" s="770"/>
      <c r="Y184" s="770"/>
      <c r="Z184" s="770"/>
      <c r="AA184" s="770"/>
      <c r="AB184" s="770"/>
      <c r="AC184" s="770"/>
      <c r="AD184" s="770"/>
      <c r="AE184" s="770"/>
      <c r="AF184" s="770"/>
      <c r="AG184" s="770"/>
      <c r="AH184" s="770"/>
      <c r="AI184" s="770"/>
      <c r="AJ184" s="770"/>
      <c r="AK184" s="770"/>
      <c r="AL184" s="770"/>
      <c r="AM184" s="770"/>
      <c r="AN184" s="770"/>
      <c r="AO184" s="770"/>
      <c r="AP184" s="770"/>
      <c r="AQ184" s="770"/>
      <c r="AR184" s="770"/>
      <c r="AS184" s="770"/>
      <c r="AT184" s="770"/>
      <c r="AU184" s="770"/>
      <c r="AV184" s="770"/>
      <c r="AW184" s="770"/>
      <c r="AX184" s="770"/>
      <c r="AY184" s="770"/>
      <c r="AZ184" s="770"/>
      <c r="BA184" s="770"/>
      <c r="BB184" s="770"/>
      <c r="BC184" s="770"/>
      <c r="BD184" s="770"/>
      <c r="BE184" s="770"/>
      <c r="BF184" s="770"/>
      <c r="BG184" s="770"/>
      <c r="BH184" s="770"/>
      <c r="BI184" s="770"/>
      <c r="BJ184" s="770"/>
      <c r="BK184" s="770"/>
      <c r="BL184" s="770"/>
      <c r="BM184" s="770"/>
      <c r="BN184" s="770"/>
      <c r="BO184" s="770"/>
      <c r="BP184" s="770"/>
      <c r="BQ184" s="770"/>
      <c r="BR184" s="770"/>
      <c r="BS184" s="770"/>
      <c r="BT184" s="770"/>
      <c r="BU184" s="770"/>
      <c r="BV184" s="770"/>
      <c r="BW184" s="770"/>
      <c r="BX184" s="770"/>
      <c r="BY184" s="770"/>
      <c r="BZ184" s="770"/>
      <c r="CA184" s="770"/>
      <c r="CB184" s="770"/>
    </row>
    <row r="185" spans="1:80">
      <c r="A185" s="770"/>
      <c r="B185" s="770"/>
      <c r="C185" s="770"/>
      <c r="D185" s="770"/>
      <c r="E185" s="770"/>
      <c r="F185" s="770"/>
      <c r="G185" s="770"/>
      <c r="H185" s="770"/>
      <c r="I185" s="770"/>
      <c r="J185" s="770"/>
      <c r="K185" s="770"/>
      <c r="L185" s="876"/>
      <c r="M185" s="770"/>
      <c r="N185" s="770"/>
      <c r="O185" s="770"/>
      <c r="P185" s="770"/>
      <c r="Q185" s="770"/>
      <c r="R185" s="770"/>
      <c r="S185" s="770"/>
      <c r="T185" s="770"/>
      <c r="U185" s="770"/>
      <c r="V185" s="770"/>
      <c r="W185" s="770"/>
      <c r="X185" s="770"/>
      <c r="Y185" s="770"/>
      <c r="Z185" s="770"/>
      <c r="AA185" s="770"/>
      <c r="AB185" s="770"/>
      <c r="AC185" s="770"/>
      <c r="AD185" s="770"/>
      <c r="AE185" s="770"/>
      <c r="AF185" s="770"/>
      <c r="AG185" s="770"/>
      <c r="AH185" s="770"/>
      <c r="AI185" s="770"/>
      <c r="AJ185" s="770"/>
      <c r="AK185" s="770"/>
      <c r="AL185" s="770"/>
      <c r="AM185" s="770"/>
      <c r="AN185" s="770"/>
      <c r="AO185" s="770"/>
      <c r="AP185" s="770"/>
      <c r="AQ185" s="770"/>
      <c r="AR185" s="770"/>
      <c r="AS185" s="770"/>
      <c r="AT185" s="770"/>
      <c r="AU185" s="770"/>
      <c r="AV185" s="770"/>
      <c r="AW185" s="770"/>
      <c r="AX185" s="770"/>
      <c r="AY185" s="770"/>
      <c r="AZ185" s="770"/>
      <c r="BA185" s="770"/>
      <c r="BB185" s="770"/>
      <c r="BC185" s="770"/>
      <c r="BD185" s="770"/>
      <c r="BE185" s="770"/>
      <c r="BF185" s="770"/>
      <c r="BG185" s="770"/>
      <c r="BH185" s="770"/>
      <c r="BI185" s="770"/>
      <c r="BJ185" s="770"/>
      <c r="BK185" s="770"/>
      <c r="BL185" s="770"/>
      <c r="BM185" s="770"/>
      <c r="BN185" s="770"/>
      <c r="BO185" s="770"/>
      <c r="BP185" s="770"/>
      <c r="BQ185" s="770"/>
      <c r="BR185" s="770"/>
      <c r="BS185" s="770"/>
      <c r="BT185" s="770"/>
      <c r="BU185" s="770"/>
      <c r="BV185" s="770"/>
      <c r="BW185" s="770"/>
      <c r="BX185" s="770"/>
      <c r="BY185" s="770"/>
      <c r="BZ185" s="770"/>
      <c r="CA185" s="770"/>
      <c r="CB185" s="770"/>
    </row>
    <row r="186" spans="1:80">
      <c r="A186" s="770"/>
      <c r="B186" s="770"/>
      <c r="C186" s="770"/>
      <c r="D186" s="770"/>
      <c r="E186" s="770"/>
      <c r="F186" s="770"/>
      <c r="G186" s="770"/>
      <c r="H186" s="770"/>
      <c r="I186" s="770"/>
      <c r="J186" s="770"/>
      <c r="K186" s="770"/>
      <c r="L186" s="876"/>
      <c r="M186" s="770"/>
      <c r="N186" s="770"/>
      <c r="O186" s="770"/>
      <c r="P186" s="770"/>
      <c r="Q186" s="770"/>
      <c r="R186" s="770"/>
      <c r="S186" s="770"/>
      <c r="T186" s="770"/>
      <c r="U186" s="770"/>
      <c r="V186" s="770"/>
      <c r="W186" s="770"/>
      <c r="X186" s="770"/>
      <c r="Y186" s="770"/>
      <c r="Z186" s="770"/>
      <c r="AA186" s="770"/>
      <c r="AB186" s="770"/>
      <c r="AC186" s="770"/>
      <c r="AD186" s="770"/>
      <c r="AE186" s="770"/>
      <c r="AF186" s="770"/>
      <c r="AG186" s="770"/>
      <c r="AH186" s="770"/>
      <c r="AI186" s="770"/>
      <c r="AJ186" s="770"/>
      <c r="AK186" s="770"/>
      <c r="AL186" s="770"/>
      <c r="AM186" s="770"/>
      <c r="AN186" s="770"/>
      <c r="AO186" s="770"/>
      <c r="AP186" s="770"/>
      <c r="AQ186" s="770"/>
      <c r="AR186" s="770"/>
      <c r="AS186" s="770"/>
      <c r="AT186" s="770"/>
      <c r="AU186" s="770"/>
      <c r="AV186" s="770"/>
      <c r="AW186" s="770"/>
      <c r="AX186" s="770"/>
      <c r="AY186" s="770"/>
      <c r="AZ186" s="770"/>
      <c r="BA186" s="770"/>
      <c r="BB186" s="770"/>
      <c r="BC186" s="770"/>
      <c r="BD186" s="770"/>
      <c r="BE186" s="770"/>
      <c r="BF186" s="770"/>
      <c r="BG186" s="770"/>
      <c r="BH186" s="770"/>
      <c r="BI186" s="770"/>
      <c r="BJ186" s="770"/>
      <c r="BK186" s="770"/>
      <c r="BL186" s="770"/>
      <c r="BM186" s="770"/>
      <c r="BN186" s="770"/>
      <c r="BO186" s="770"/>
      <c r="BP186" s="770"/>
      <c r="BQ186" s="770"/>
      <c r="BR186" s="770"/>
      <c r="BS186" s="770"/>
      <c r="BT186" s="770"/>
      <c r="BU186" s="770"/>
      <c r="BV186" s="770"/>
      <c r="BW186" s="770"/>
      <c r="BX186" s="770"/>
      <c r="BY186" s="770"/>
      <c r="BZ186" s="770"/>
      <c r="CA186" s="770"/>
      <c r="CB186" s="770"/>
    </row>
    <row r="187" spans="1:80">
      <c r="A187" s="770"/>
      <c r="B187" s="770"/>
      <c r="C187" s="770"/>
      <c r="D187" s="770"/>
      <c r="E187" s="770"/>
      <c r="F187" s="770"/>
      <c r="G187" s="770"/>
      <c r="H187" s="770"/>
      <c r="I187" s="770"/>
      <c r="J187" s="770"/>
      <c r="K187" s="770"/>
      <c r="L187" s="876"/>
      <c r="M187" s="770"/>
      <c r="N187" s="770"/>
      <c r="O187" s="770"/>
      <c r="P187" s="770"/>
      <c r="Q187" s="770"/>
      <c r="R187" s="770"/>
      <c r="S187" s="770"/>
      <c r="T187" s="770"/>
      <c r="U187" s="770"/>
      <c r="V187" s="770"/>
      <c r="W187" s="770"/>
      <c r="X187" s="770"/>
      <c r="Y187" s="770"/>
      <c r="Z187" s="770"/>
      <c r="AA187" s="770"/>
      <c r="AB187" s="770"/>
      <c r="AC187" s="770"/>
      <c r="AD187" s="770"/>
      <c r="AE187" s="770"/>
      <c r="AF187" s="770"/>
      <c r="AG187" s="770"/>
      <c r="AH187" s="770"/>
      <c r="AI187" s="770"/>
      <c r="AJ187" s="770"/>
      <c r="AK187" s="770"/>
      <c r="AL187" s="770"/>
      <c r="AM187" s="770"/>
      <c r="AN187" s="770"/>
      <c r="AO187" s="770"/>
      <c r="AP187" s="770"/>
      <c r="AQ187" s="770"/>
      <c r="AR187" s="770"/>
      <c r="AS187" s="770"/>
      <c r="AT187" s="770"/>
      <c r="AU187" s="770"/>
      <c r="AV187" s="770"/>
      <c r="AW187" s="770"/>
      <c r="AX187" s="770"/>
      <c r="AY187" s="770"/>
      <c r="AZ187" s="770"/>
      <c r="BA187" s="770"/>
      <c r="BB187" s="770"/>
      <c r="BC187" s="770"/>
      <c r="BD187" s="770"/>
      <c r="BE187" s="770"/>
      <c r="BF187" s="770"/>
      <c r="BG187" s="770"/>
      <c r="BH187" s="770"/>
      <c r="BI187" s="770"/>
      <c r="BJ187" s="770"/>
      <c r="BK187" s="770"/>
      <c r="BL187" s="770"/>
      <c r="BM187" s="770"/>
      <c r="BN187" s="770"/>
      <c r="BO187" s="770"/>
      <c r="BP187" s="770"/>
      <c r="BQ187" s="770"/>
      <c r="BR187" s="770"/>
      <c r="BS187" s="770"/>
      <c r="BT187" s="770"/>
      <c r="BU187" s="770"/>
      <c r="BV187" s="770"/>
      <c r="BW187" s="770"/>
      <c r="BX187" s="770"/>
      <c r="BY187" s="770"/>
      <c r="BZ187" s="770"/>
      <c r="CA187" s="770"/>
      <c r="CB187" s="770"/>
    </row>
    <row r="188" spans="1:80">
      <c r="A188" s="770"/>
      <c r="B188" s="770"/>
      <c r="C188" s="770"/>
      <c r="D188" s="770"/>
      <c r="E188" s="770"/>
      <c r="F188" s="770"/>
      <c r="G188" s="770"/>
      <c r="H188" s="770"/>
      <c r="I188" s="770"/>
      <c r="J188" s="770"/>
      <c r="K188" s="770"/>
      <c r="L188" s="876"/>
      <c r="M188" s="770"/>
      <c r="N188" s="770"/>
      <c r="O188" s="770"/>
      <c r="P188" s="770"/>
      <c r="Q188" s="770"/>
      <c r="R188" s="770"/>
      <c r="S188" s="770"/>
      <c r="T188" s="770"/>
      <c r="U188" s="770"/>
      <c r="V188" s="770"/>
      <c r="W188" s="770"/>
      <c r="X188" s="770"/>
      <c r="Y188" s="770"/>
      <c r="Z188" s="770"/>
      <c r="AA188" s="770"/>
      <c r="AB188" s="770"/>
      <c r="AC188" s="770"/>
      <c r="AD188" s="770"/>
      <c r="AE188" s="770"/>
      <c r="AF188" s="770"/>
      <c r="AG188" s="770"/>
      <c r="AH188" s="770"/>
      <c r="AI188" s="770"/>
      <c r="AJ188" s="770"/>
      <c r="AK188" s="770"/>
      <c r="AL188" s="770"/>
      <c r="AM188" s="770"/>
      <c r="AN188" s="770"/>
      <c r="AO188" s="770"/>
      <c r="AP188" s="770"/>
      <c r="AQ188" s="770"/>
      <c r="AR188" s="770"/>
      <c r="AS188" s="770"/>
      <c r="AT188" s="770"/>
      <c r="AU188" s="770"/>
      <c r="AV188" s="770"/>
      <c r="AW188" s="770"/>
      <c r="AX188" s="770"/>
      <c r="AY188" s="770"/>
      <c r="AZ188" s="770"/>
      <c r="BA188" s="770"/>
      <c r="BB188" s="770"/>
      <c r="BC188" s="770"/>
      <c r="BD188" s="770"/>
      <c r="BE188" s="770"/>
      <c r="BF188" s="770"/>
      <c r="BG188" s="770"/>
      <c r="BH188" s="770"/>
      <c r="BI188" s="770"/>
      <c r="BJ188" s="770"/>
      <c r="BK188" s="770"/>
      <c r="BL188" s="770"/>
      <c r="BM188" s="770"/>
      <c r="BN188" s="770"/>
      <c r="BO188" s="770"/>
      <c r="BP188" s="770"/>
      <c r="BQ188" s="770"/>
      <c r="BR188" s="770"/>
      <c r="BS188" s="770"/>
      <c r="BT188" s="770"/>
      <c r="BU188" s="770"/>
      <c r="BV188" s="770"/>
      <c r="BW188" s="770"/>
      <c r="BX188" s="770"/>
      <c r="BY188" s="770"/>
      <c r="BZ188" s="770"/>
      <c r="CA188" s="770"/>
      <c r="CB188" s="770"/>
    </row>
    <row r="189" spans="1:80">
      <c r="A189" s="770"/>
      <c r="B189" s="770"/>
      <c r="C189" s="770"/>
      <c r="D189" s="770"/>
      <c r="E189" s="770"/>
      <c r="F189" s="770"/>
      <c r="G189" s="770"/>
      <c r="H189" s="770"/>
      <c r="I189" s="770"/>
      <c r="J189" s="770"/>
      <c r="K189" s="770"/>
      <c r="L189" s="876"/>
      <c r="M189" s="770"/>
      <c r="N189" s="770"/>
      <c r="O189" s="770"/>
      <c r="P189" s="770"/>
      <c r="Q189" s="770"/>
      <c r="R189" s="770"/>
      <c r="S189" s="770"/>
      <c r="T189" s="770"/>
      <c r="U189" s="770"/>
      <c r="V189" s="770"/>
      <c r="W189" s="770"/>
      <c r="X189" s="770"/>
      <c r="Y189" s="770"/>
      <c r="Z189" s="770"/>
      <c r="AA189" s="770"/>
      <c r="AB189" s="770"/>
      <c r="AC189" s="770"/>
      <c r="AD189" s="770"/>
      <c r="AE189" s="770"/>
      <c r="AF189" s="770"/>
      <c r="AG189" s="770"/>
      <c r="AH189" s="770"/>
      <c r="AI189" s="770"/>
      <c r="AJ189" s="770"/>
      <c r="AK189" s="770"/>
      <c r="AL189" s="770"/>
      <c r="AM189" s="770"/>
      <c r="AN189" s="770"/>
      <c r="AO189" s="770"/>
      <c r="AP189" s="770"/>
      <c r="AQ189" s="770"/>
      <c r="AR189" s="770"/>
      <c r="AS189" s="770"/>
      <c r="AT189" s="770"/>
      <c r="AU189" s="770"/>
      <c r="AV189" s="770"/>
      <c r="AW189" s="770"/>
      <c r="AX189" s="770"/>
      <c r="AY189" s="770"/>
      <c r="AZ189" s="770"/>
      <c r="BA189" s="770"/>
      <c r="BB189" s="770"/>
      <c r="BC189" s="770"/>
      <c r="BD189" s="770"/>
      <c r="BE189" s="770"/>
      <c r="BF189" s="770"/>
      <c r="BG189" s="770"/>
      <c r="BH189" s="770"/>
      <c r="BI189" s="770"/>
      <c r="BJ189" s="770"/>
      <c r="BK189" s="770"/>
      <c r="BL189" s="770"/>
      <c r="BM189" s="770"/>
      <c r="BN189" s="770"/>
      <c r="BO189" s="770"/>
      <c r="BP189" s="770"/>
      <c r="BQ189" s="770"/>
      <c r="BR189" s="770"/>
      <c r="BS189" s="770"/>
      <c r="BT189" s="770"/>
      <c r="BU189" s="770"/>
      <c r="BV189" s="770"/>
      <c r="BW189" s="770"/>
      <c r="BX189" s="770"/>
      <c r="BY189" s="770"/>
      <c r="BZ189" s="770"/>
      <c r="CA189" s="770"/>
      <c r="CB189" s="770"/>
    </row>
    <row r="190" spans="1:80">
      <c r="A190" s="770"/>
      <c r="B190" s="770"/>
      <c r="C190" s="770"/>
      <c r="D190" s="770"/>
      <c r="E190" s="770"/>
      <c r="F190" s="770"/>
      <c r="G190" s="770"/>
      <c r="H190" s="770"/>
      <c r="I190" s="770"/>
      <c r="J190" s="770"/>
      <c r="K190" s="770"/>
      <c r="L190" s="876"/>
      <c r="M190" s="770"/>
      <c r="N190" s="770"/>
      <c r="O190" s="770"/>
      <c r="P190" s="770"/>
      <c r="Q190" s="770"/>
      <c r="R190" s="770"/>
      <c r="S190" s="770"/>
      <c r="T190" s="770"/>
      <c r="U190" s="770"/>
      <c r="V190" s="770"/>
      <c r="W190" s="770"/>
      <c r="X190" s="770"/>
      <c r="Y190" s="770"/>
      <c r="Z190" s="770"/>
      <c r="AA190" s="770"/>
      <c r="AB190" s="770"/>
      <c r="AC190" s="770"/>
      <c r="AD190" s="770"/>
      <c r="AE190" s="770"/>
      <c r="AF190" s="770"/>
      <c r="AG190" s="770"/>
      <c r="AH190" s="770"/>
      <c r="AI190" s="770"/>
      <c r="AJ190" s="770"/>
      <c r="AK190" s="770"/>
      <c r="AL190" s="770"/>
      <c r="AM190" s="770"/>
      <c r="AN190" s="770"/>
      <c r="AO190" s="770"/>
      <c r="AP190" s="770"/>
      <c r="AQ190" s="770"/>
      <c r="AR190" s="770"/>
      <c r="AS190" s="770"/>
      <c r="AT190" s="770"/>
      <c r="AU190" s="770"/>
      <c r="AV190" s="770"/>
      <c r="AW190" s="770"/>
      <c r="AX190" s="770"/>
      <c r="AY190" s="770"/>
      <c r="AZ190" s="770"/>
      <c r="BA190" s="770"/>
      <c r="BB190" s="770"/>
      <c r="BC190" s="770"/>
      <c r="BD190" s="770"/>
      <c r="BE190" s="770"/>
      <c r="BF190" s="770"/>
      <c r="BG190" s="770"/>
      <c r="BH190" s="770"/>
      <c r="BI190" s="770"/>
      <c r="BJ190" s="770"/>
      <c r="BK190" s="770"/>
      <c r="BL190" s="770"/>
      <c r="BM190" s="770"/>
      <c r="BN190" s="770"/>
      <c r="BO190" s="770"/>
      <c r="BP190" s="770"/>
      <c r="BQ190" s="770"/>
      <c r="BR190" s="770"/>
      <c r="BS190" s="770"/>
      <c r="BT190" s="770"/>
      <c r="BU190" s="770"/>
      <c r="BV190" s="770"/>
      <c r="BW190" s="770"/>
      <c r="BX190" s="770"/>
      <c r="BY190" s="770"/>
      <c r="BZ190" s="770"/>
      <c r="CA190" s="770"/>
      <c r="CB190" s="770"/>
    </row>
    <row r="191" spans="1:80">
      <c r="A191" s="770"/>
      <c r="B191" s="770"/>
      <c r="C191" s="770"/>
      <c r="D191" s="770"/>
      <c r="E191" s="770"/>
      <c r="F191" s="770"/>
      <c r="G191" s="770"/>
      <c r="H191" s="770"/>
      <c r="I191" s="770"/>
      <c r="J191" s="770"/>
      <c r="K191" s="770"/>
      <c r="L191" s="876"/>
      <c r="M191" s="770"/>
      <c r="N191" s="770"/>
      <c r="O191" s="770"/>
      <c r="P191" s="770"/>
      <c r="Q191" s="770"/>
      <c r="R191" s="770"/>
      <c r="S191" s="770"/>
      <c r="T191" s="770"/>
      <c r="U191" s="770"/>
      <c r="V191" s="770"/>
      <c r="W191" s="770"/>
      <c r="X191" s="770"/>
      <c r="Y191" s="770"/>
      <c r="Z191" s="770"/>
      <c r="AA191" s="770"/>
      <c r="AB191" s="770"/>
      <c r="AC191" s="770"/>
      <c r="AD191" s="770"/>
      <c r="AE191" s="770"/>
      <c r="AF191" s="770"/>
      <c r="AG191" s="770"/>
      <c r="AH191" s="770"/>
      <c r="AI191" s="770"/>
      <c r="AJ191" s="770"/>
      <c r="AK191" s="770"/>
      <c r="AL191" s="770"/>
      <c r="AM191" s="770"/>
      <c r="AN191" s="770"/>
      <c r="AO191" s="770"/>
      <c r="AP191" s="770"/>
      <c r="AQ191" s="770"/>
      <c r="AR191" s="770"/>
      <c r="AS191" s="770"/>
      <c r="AT191" s="770"/>
      <c r="AU191" s="770"/>
      <c r="AV191" s="770"/>
      <c r="AW191" s="770"/>
      <c r="AX191" s="770"/>
      <c r="AY191" s="770"/>
      <c r="AZ191" s="770"/>
      <c r="BA191" s="770"/>
      <c r="BB191" s="770"/>
      <c r="BC191" s="770"/>
      <c r="BD191" s="770"/>
      <c r="BE191" s="770"/>
      <c r="BF191" s="770"/>
      <c r="BG191" s="770"/>
      <c r="BH191" s="770"/>
      <c r="BI191" s="770"/>
      <c r="BJ191" s="770"/>
      <c r="BK191" s="770"/>
      <c r="BL191" s="770"/>
      <c r="BM191" s="770"/>
      <c r="BN191" s="770"/>
      <c r="BO191" s="770"/>
      <c r="BP191" s="770"/>
      <c r="BQ191" s="770"/>
      <c r="BR191" s="770"/>
      <c r="BS191" s="770"/>
      <c r="BT191" s="770"/>
      <c r="BU191" s="770"/>
      <c r="BV191" s="770"/>
      <c r="BW191" s="770"/>
      <c r="BX191" s="770"/>
      <c r="BY191" s="770"/>
      <c r="BZ191" s="770"/>
      <c r="CA191" s="770"/>
      <c r="CB191" s="770"/>
    </row>
    <row r="192" spans="1:80">
      <c r="A192" s="770"/>
      <c r="B192" s="770"/>
      <c r="C192" s="770"/>
      <c r="D192" s="770"/>
      <c r="E192" s="770"/>
      <c r="F192" s="770"/>
      <c r="G192" s="770"/>
      <c r="H192" s="770"/>
      <c r="I192" s="770"/>
      <c r="J192" s="770"/>
      <c r="K192" s="770"/>
      <c r="L192" s="876"/>
      <c r="M192" s="770"/>
      <c r="N192" s="770"/>
      <c r="O192" s="770"/>
      <c r="P192" s="770"/>
      <c r="Q192" s="770"/>
      <c r="R192" s="770"/>
      <c r="S192" s="770"/>
      <c r="T192" s="770"/>
      <c r="U192" s="770"/>
      <c r="V192" s="770"/>
      <c r="W192" s="770"/>
      <c r="X192" s="770"/>
      <c r="Y192" s="770"/>
      <c r="Z192" s="770"/>
      <c r="AA192" s="770"/>
      <c r="AB192" s="770"/>
      <c r="AC192" s="770"/>
      <c r="AD192" s="770"/>
      <c r="AE192" s="770"/>
      <c r="AF192" s="770"/>
      <c r="AG192" s="770"/>
      <c r="AH192" s="770"/>
      <c r="AI192" s="770"/>
      <c r="AJ192" s="770"/>
      <c r="AK192" s="770"/>
      <c r="AL192" s="770"/>
      <c r="AM192" s="770"/>
      <c r="AN192" s="770"/>
      <c r="AO192" s="770"/>
      <c r="AP192" s="770"/>
      <c r="AQ192" s="770"/>
      <c r="AR192" s="770"/>
      <c r="AS192" s="770"/>
      <c r="AT192" s="770"/>
      <c r="AU192" s="770"/>
      <c r="AV192" s="770"/>
      <c r="AW192" s="770"/>
      <c r="AX192" s="770"/>
      <c r="AY192" s="770"/>
      <c r="AZ192" s="770"/>
      <c r="BA192" s="770"/>
      <c r="BB192" s="770"/>
      <c r="BC192" s="770"/>
      <c r="BD192" s="770"/>
      <c r="BE192" s="770"/>
      <c r="BF192" s="770"/>
      <c r="BG192" s="770"/>
      <c r="BH192" s="770"/>
      <c r="BI192" s="770"/>
      <c r="BJ192" s="770"/>
      <c r="BK192" s="770"/>
      <c r="BL192" s="770"/>
      <c r="BM192" s="770"/>
      <c r="BN192" s="770"/>
      <c r="BO192" s="770"/>
      <c r="BP192" s="770"/>
      <c r="BQ192" s="770"/>
      <c r="BR192" s="770"/>
      <c r="BS192" s="770"/>
      <c r="BT192" s="770"/>
      <c r="BU192" s="770"/>
      <c r="BV192" s="770"/>
      <c r="BW192" s="770"/>
      <c r="BX192" s="770"/>
      <c r="BY192" s="770"/>
      <c r="BZ192" s="770"/>
      <c r="CA192" s="770"/>
      <c r="CB192" s="770"/>
    </row>
    <row r="193" spans="1:80">
      <c r="A193" s="770"/>
      <c r="B193" s="770"/>
      <c r="C193" s="770"/>
      <c r="D193" s="770"/>
      <c r="E193" s="770"/>
      <c r="F193" s="770"/>
      <c r="G193" s="770"/>
      <c r="H193" s="770"/>
      <c r="I193" s="770"/>
      <c r="J193" s="770"/>
      <c r="K193" s="770"/>
      <c r="L193" s="876"/>
      <c r="M193" s="770"/>
      <c r="N193" s="770"/>
      <c r="O193" s="770"/>
      <c r="P193" s="770"/>
      <c r="Q193" s="770"/>
      <c r="R193" s="770"/>
      <c r="S193" s="770"/>
      <c r="T193" s="770"/>
      <c r="U193" s="770"/>
      <c r="V193" s="770"/>
      <c r="W193" s="770"/>
      <c r="X193" s="770"/>
      <c r="Y193" s="770"/>
      <c r="Z193" s="770"/>
      <c r="AA193" s="770"/>
      <c r="AB193" s="770"/>
      <c r="AC193" s="770"/>
      <c r="AD193" s="770"/>
      <c r="AE193" s="770"/>
      <c r="AF193" s="770"/>
      <c r="AG193" s="770"/>
      <c r="AH193" s="770"/>
      <c r="AI193" s="770"/>
      <c r="AJ193" s="770"/>
      <c r="AK193" s="770"/>
      <c r="AL193" s="770"/>
      <c r="AM193" s="770"/>
      <c r="AN193" s="770"/>
      <c r="AO193" s="770"/>
      <c r="AP193" s="770"/>
      <c r="AQ193" s="770"/>
      <c r="AR193" s="770"/>
      <c r="AS193" s="770"/>
      <c r="AT193" s="770"/>
      <c r="AU193" s="770"/>
      <c r="AV193" s="770"/>
      <c r="AW193" s="770"/>
      <c r="AX193" s="770"/>
      <c r="AY193" s="770"/>
      <c r="AZ193" s="770"/>
      <c r="BA193" s="770"/>
      <c r="BB193" s="770"/>
      <c r="BC193" s="770"/>
      <c r="BD193" s="770"/>
      <c r="BE193" s="770"/>
      <c r="BF193" s="770"/>
      <c r="BG193" s="770"/>
      <c r="BH193" s="770"/>
      <c r="BI193" s="770"/>
      <c r="BJ193" s="770"/>
      <c r="BK193" s="770"/>
      <c r="BL193" s="770"/>
      <c r="BM193" s="770"/>
      <c r="BN193" s="770"/>
      <c r="BO193" s="770"/>
      <c r="BP193" s="770"/>
      <c r="BQ193" s="770"/>
      <c r="BR193" s="770"/>
      <c r="BS193" s="770"/>
      <c r="BT193" s="770"/>
      <c r="BU193" s="770"/>
      <c r="BV193" s="770"/>
      <c r="BW193" s="770"/>
      <c r="BX193" s="770"/>
      <c r="BY193" s="770"/>
      <c r="BZ193" s="770"/>
      <c r="CA193" s="770"/>
      <c r="CB193" s="770"/>
    </row>
    <row r="194" spans="1:80">
      <c r="A194" s="770"/>
      <c r="B194" s="770"/>
      <c r="C194" s="770"/>
      <c r="D194" s="770"/>
      <c r="E194" s="770"/>
      <c r="F194" s="770"/>
      <c r="G194" s="770"/>
      <c r="H194" s="770"/>
      <c r="I194" s="770"/>
      <c r="J194" s="770"/>
      <c r="K194" s="770"/>
      <c r="L194" s="876"/>
      <c r="M194" s="770"/>
      <c r="N194" s="770"/>
      <c r="O194" s="770"/>
      <c r="P194" s="770"/>
      <c r="Q194" s="770"/>
      <c r="R194" s="770"/>
      <c r="S194" s="770"/>
      <c r="T194" s="770"/>
      <c r="U194" s="770"/>
      <c r="V194" s="770"/>
      <c r="W194" s="770"/>
      <c r="X194" s="770"/>
      <c r="Y194" s="770"/>
      <c r="Z194" s="770"/>
      <c r="AA194" s="770"/>
      <c r="AB194" s="770"/>
      <c r="AC194" s="770"/>
      <c r="AD194" s="770"/>
      <c r="AE194" s="770"/>
      <c r="AF194" s="770"/>
      <c r="AG194" s="770"/>
      <c r="AH194" s="770"/>
      <c r="AI194" s="770"/>
      <c r="AJ194" s="770"/>
      <c r="AK194" s="770"/>
      <c r="AL194" s="770"/>
      <c r="AM194" s="770"/>
      <c r="AN194" s="770"/>
      <c r="AO194" s="770"/>
      <c r="AP194" s="770"/>
      <c r="AQ194" s="770"/>
      <c r="AR194" s="770"/>
      <c r="AS194" s="770"/>
      <c r="AT194" s="770"/>
      <c r="AU194" s="770"/>
      <c r="AV194" s="770"/>
      <c r="AW194" s="770"/>
      <c r="AX194" s="770"/>
      <c r="AY194" s="770"/>
      <c r="AZ194" s="770"/>
      <c r="BA194" s="770"/>
      <c r="BB194" s="770"/>
      <c r="BC194" s="770"/>
      <c r="BD194" s="770"/>
      <c r="BE194" s="770"/>
      <c r="BF194" s="770"/>
      <c r="BG194" s="770"/>
      <c r="BH194" s="770"/>
      <c r="BI194" s="770"/>
      <c r="BJ194" s="770"/>
      <c r="BK194" s="770"/>
      <c r="BL194" s="770"/>
      <c r="BM194" s="770"/>
      <c r="BN194" s="770"/>
      <c r="BO194" s="770"/>
      <c r="BP194" s="770"/>
      <c r="BQ194" s="770"/>
      <c r="BR194" s="770"/>
      <c r="BS194" s="770"/>
      <c r="BT194" s="770"/>
      <c r="BU194" s="770"/>
      <c r="BV194" s="770"/>
      <c r="BW194" s="770"/>
      <c r="BX194" s="770"/>
      <c r="BY194" s="770"/>
      <c r="BZ194" s="770"/>
      <c r="CA194" s="770"/>
      <c r="CB194" s="770"/>
    </row>
    <row r="195" spans="1:80">
      <c r="A195" s="770"/>
      <c r="B195" s="770"/>
      <c r="C195" s="770"/>
      <c r="D195" s="770"/>
      <c r="E195" s="770"/>
      <c r="F195" s="770"/>
      <c r="G195" s="770"/>
      <c r="H195" s="770"/>
      <c r="I195" s="770"/>
      <c r="J195" s="770"/>
      <c r="K195" s="770"/>
      <c r="L195" s="876"/>
      <c r="M195" s="770"/>
      <c r="N195" s="770"/>
      <c r="O195" s="770"/>
      <c r="P195" s="770"/>
      <c r="Q195" s="770"/>
      <c r="R195" s="770"/>
      <c r="S195" s="770"/>
      <c r="T195" s="770"/>
      <c r="U195" s="770"/>
      <c r="V195" s="770"/>
      <c r="W195" s="770"/>
      <c r="X195" s="770"/>
      <c r="Y195" s="770"/>
      <c r="Z195" s="770"/>
      <c r="AA195" s="770"/>
      <c r="AB195" s="770"/>
      <c r="AC195" s="770"/>
      <c r="AD195" s="770"/>
      <c r="AE195" s="770"/>
      <c r="AF195" s="770"/>
      <c r="AG195" s="770"/>
      <c r="AH195" s="770"/>
      <c r="AI195" s="770"/>
      <c r="AJ195" s="770"/>
      <c r="AK195" s="770"/>
      <c r="AL195" s="770"/>
      <c r="AM195" s="770"/>
      <c r="AN195" s="770"/>
      <c r="AO195" s="770"/>
      <c r="AP195" s="770"/>
      <c r="AQ195" s="770"/>
      <c r="AR195" s="770"/>
      <c r="AS195" s="770"/>
      <c r="AT195" s="770"/>
      <c r="AU195" s="770"/>
      <c r="AV195" s="770"/>
      <c r="AW195" s="770"/>
      <c r="AX195" s="770"/>
      <c r="AY195" s="770"/>
      <c r="AZ195" s="770"/>
      <c r="BA195" s="770"/>
      <c r="BB195" s="770"/>
      <c r="BC195" s="770"/>
      <c r="BD195" s="770"/>
      <c r="BE195" s="770"/>
      <c r="BF195" s="770"/>
      <c r="BG195" s="770"/>
      <c r="BH195" s="770"/>
      <c r="BI195" s="770"/>
      <c r="BJ195" s="770"/>
      <c r="BK195" s="770"/>
      <c r="BL195" s="770"/>
      <c r="BM195" s="770"/>
      <c r="BN195" s="770"/>
      <c r="BO195" s="770"/>
      <c r="BP195" s="770"/>
      <c r="BQ195" s="770"/>
      <c r="BR195" s="770"/>
      <c r="BS195" s="770"/>
      <c r="BT195" s="770"/>
      <c r="BU195" s="770"/>
      <c r="BV195" s="770"/>
      <c r="BW195" s="770"/>
      <c r="BX195" s="770"/>
      <c r="BY195" s="770"/>
      <c r="BZ195" s="770"/>
      <c r="CA195" s="770"/>
      <c r="CB195" s="770"/>
    </row>
    <row r="196" spans="1:80">
      <c r="A196" s="770"/>
      <c r="B196" s="770"/>
      <c r="C196" s="770"/>
      <c r="D196" s="770"/>
      <c r="E196" s="770"/>
      <c r="F196" s="770"/>
      <c r="G196" s="770"/>
      <c r="H196" s="770"/>
      <c r="I196" s="770"/>
      <c r="J196" s="770"/>
      <c r="K196" s="770"/>
      <c r="L196" s="876"/>
      <c r="M196" s="770"/>
      <c r="N196" s="770"/>
      <c r="O196" s="770"/>
      <c r="P196" s="770"/>
      <c r="Q196" s="770"/>
      <c r="R196" s="770"/>
      <c r="S196" s="770"/>
      <c r="T196" s="770"/>
      <c r="U196" s="770"/>
      <c r="V196" s="770"/>
      <c r="W196" s="770"/>
      <c r="X196" s="770"/>
      <c r="Y196" s="770"/>
      <c r="Z196" s="770"/>
      <c r="AA196" s="770"/>
      <c r="AB196" s="770"/>
      <c r="AC196" s="770"/>
      <c r="AD196" s="770"/>
      <c r="AE196" s="770"/>
      <c r="AF196" s="770"/>
      <c r="AG196" s="770"/>
      <c r="AH196" s="770"/>
      <c r="AI196" s="770"/>
      <c r="AJ196" s="770"/>
      <c r="AK196" s="770"/>
      <c r="AL196" s="770"/>
      <c r="AM196" s="770"/>
      <c r="AN196" s="770"/>
      <c r="AO196" s="770"/>
      <c r="AP196" s="770"/>
      <c r="AQ196" s="770"/>
      <c r="AR196" s="770"/>
      <c r="AS196" s="770"/>
      <c r="AT196" s="770"/>
      <c r="AU196" s="770"/>
      <c r="AV196" s="770"/>
      <c r="AW196" s="770"/>
      <c r="AX196" s="770"/>
      <c r="AY196" s="770"/>
      <c r="AZ196" s="770"/>
      <c r="BA196" s="770"/>
      <c r="BB196" s="770"/>
      <c r="BC196" s="770"/>
      <c r="BD196" s="770"/>
      <c r="BE196" s="770"/>
      <c r="BF196" s="770"/>
      <c r="BG196" s="770"/>
      <c r="BH196" s="770"/>
      <c r="BI196" s="770"/>
      <c r="BJ196" s="770"/>
      <c r="BK196" s="770"/>
      <c r="BL196" s="770"/>
      <c r="BM196" s="770"/>
      <c r="BN196" s="770"/>
      <c r="BO196" s="770"/>
      <c r="BP196" s="770"/>
      <c r="BQ196" s="770"/>
      <c r="BR196" s="770"/>
      <c r="BS196" s="770"/>
      <c r="BT196" s="770"/>
      <c r="BU196" s="770"/>
      <c r="BV196" s="770"/>
      <c r="BW196" s="770"/>
      <c r="BX196" s="770"/>
      <c r="BY196" s="770"/>
      <c r="BZ196" s="770"/>
      <c r="CA196" s="770"/>
      <c r="CB196" s="770"/>
    </row>
    <row r="197" spans="1:80">
      <c r="A197" s="770"/>
      <c r="B197" s="770"/>
      <c r="C197" s="770"/>
      <c r="D197" s="770"/>
      <c r="E197" s="770"/>
      <c r="F197" s="770"/>
      <c r="G197" s="770"/>
      <c r="H197" s="770"/>
      <c r="I197" s="770"/>
      <c r="J197" s="770"/>
      <c r="K197" s="770"/>
      <c r="L197" s="876"/>
      <c r="M197" s="770"/>
      <c r="N197" s="770"/>
      <c r="O197" s="770"/>
      <c r="P197" s="770"/>
      <c r="Q197" s="770"/>
      <c r="R197" s="770"/>
      <c r="S197" s="770"/>
      <c r="T197" s="770"/>
      <c r="U197" s="770"/>
      <c r="V197" s="770"/>
      <c r="W197" s="770"/>
      <c r="X197" s="770"/>
      <c r="Y197" s="770"/>
      <c r="Z197" s="770"/>
      <c r="AA197" s="770"/>
      <c r="AB197" s="770"/>
      <c r="AC197" s="770"/>
      <c r="AD197" s="770"/>
      <c r="AE197" s="770"/>
      <c r="AF197" s="770"/>
      <c r="AG197" s="770"/>
      <c r="AH197" s="770"/>
      <c r="AI197" s="770"/>
      <c r="AJ197" s="770"/>
      <c r="AK197" s="770"/>
      <c r="AL197" s="770"/>
      <c r="AM197" s="770"/>
      <c r="AN197" s="770"/>
      <c r="AO197" s="770"/>
      <c r="AP197" s="770"/>
      <c r="AQ197" s="770"/>
      <c r="AR197" s="770"/>
      <c r="AS197" s="770"/>
      <c r="AT197" s="770"/>
      <c r="AU197" s="770"/>
      <c r="AV197" s="770"/>
      <c r="AW197" s="770"/>
      <c r="AX197" s="770"/>
      <c r="AY197" s="770"/>
      <c r="AZ197" s="770"/>
      <c r="BA197" s="770"/>
      <c r="BB197" s="770"/>
      <c r="BC197" s="770"/>
      <c r="BD197" s="770"/>
      <c r="BE197" s="770"/>
      <c r="BF197" s="770"/>
      <c r="BG197" s="770"/>
      <c r="BH197" s="770"/>
      <c r="BI197" s="770"/>
      <c r="BJ197" s="770"/>
      <c r="BK197" s="770"/>
      <c r="BL197" s="770"/>
      <c r="BM197" s="770"/>
      <c r="BN197" s="770"/>
      <c r="BO197" s="770"/>
      <c r="BP197" s="770"/>
      <c r="BQ197" s="770"/>
      <c r="BR197" s="770"/>
      <c r="BS197" s="770"/>
      <c r="BT197" s="770"/>
      <c r="BU197" s="770"/>
      <c r="BV197" s="770"/>
      <c r="BW197" s="770"/>
      <c r="BX197" s="770"/>
      <c r="BY197" s="770"/>
      <c r="BZ197" s="770"/>
      <c r="CA197" s="770"/>
      <c r="CB197" s="770"/>
    </row>
    <row r="198" spans="1:80">
      <c r="A198" s="770"/>
      <c r="B198" s="770"/>
      <c r="C198" s="770"/>
      <c r="D198" s="770"/>
      <c r="E198" s="770"/>
      <c r="F198" s="770"/>
      <c r="G198" s="770"/>
      <c r="H198" s="770"/>
      <c r="I198" s="770"/>
      <c r="J198" s="770"/>
      <c r="K198" s="770"/>
      <c r="L198" s="876"/>
      <c r="M198" s="770"/>
      <c r="N198" s="770"/>
      <c r="O198" s="770"/>
      <c r="P198" s="770"/>
      <c r="Q198" s="770"/>
      <c r="R198" s="770"/>
      <c r="S198" s="770"/>
      <c r="T198" s="770"/>
      <c r="U198" s="770"/>
      <c r="V198" s="770"/>
      <c r="W198" s="770"/>
      <c r="X198" s="770"/>
      <c r="Y198" s="770"/>
      <c r="Z198" s="770"/>
      <c r="AA198" s="770"/>
      <c r="AB198" s="770"/>
      <c r="AC198" s="770"/>
      <c r="AD198" s="770"/>
      <c r="AE198" s="770"/>
      <c r="AF198" s="770"/>
      <c r="AG198" s="770"/>
      <c r="AH198" s="770"/>
      <c r="AI198" s="770"/>
      <c r="AJ198" s="770"/>
      <c r="AK198" s="770"/>
      <c r="AL198" s="770"/>
      <c r="AM198" s="770"/>
      <c r="AN198" s="770"/>
      <c r="AO198" s="770"/>
      <c r="AP198" s="770"/>
      <c r="AQ198" s="770"/>
      <c r="AR198" s="770"/>
      <c r="AS198" s="770"/>
      <c r="AT198" s="770"/>
      <c r="AU198" s="770"/>
      <c r="AV198" s="770"/>
      <c r="AW198" s="770"/>
      <c r="AX198" s="770"/>
      <c r="AY198" s="770"/>
      <c r="AZ198" s="770"/>
      <c r="BA198" s="770"/>
      <c r="BB198" s="770"/>
      <c r="BC198" s="770"/>
      <c r="BD198" s="770"/>
      <c r="BE198" s="770"/>
      <c r="BF198" s="770"/>
      <c r="BG198" s="770"/>
      <c r="BH198" s="770"/>
      <c r="BI198" s="770"/>
      <c r="BJ198" s="770"/>
      <c r="BK198" s="770"/>
      <c r="BL198" s="770"/>
      <c r="BM198" s="770"/>
      <c r="BN198" s="770"/>
      <c r="BO198" s="770"/>
      <c r="BP198" s="770"/>
      <c r="BQ198" s="770"/>
      <c r="BR198" s="770"/>
      <c r="BS198" s="770"/>
      <c r="BT198" s="770"/>
      <c r="BU198" s="770"/>
      <c r="BV198" s="770"/>
      <c r="BW198" s="770"/>
      <c r="BX198" s="770"/>
      <c r="BY198" s="770"/>
      <c r="BZ198" s="770"/>
      <c r="CA198" s="770"/>
      <c r="CB198" s="770"/>
    </row>
    <row r="199" spans="1:80">
      <c r="A199" s="770"/>
      <c r="B199" s="770"/>
      <c r="C199" s="770"/>
      <c r="D199" s="770"/>
      <c r="E199" s="770"/>
      <c r="F199" s="770"/>
      <c r="G199" s="770"/>
      <c r="H199" s="770"/>
      <c r="I199" s="770"/>
      <c r="J199" s="770"/>
      <c r="K199" s="770"/>
      <c r="L199" s="876"/>
      <c r="M199" s="770"/>
      <c r="N199" s="770"/>
      <c r="O199" s="770"/>
      <c r="P199" s="770"/>
      <c r="Q199" s="770"/>
      <c r="R199" s="770"/>
      <c r="S199" s="770"/>
      <c r="T199" s="770"/>
      <c r="U199" s="770"/>
      <c r="V199" s="770"/>
      <c r="W199" s="770"/>
      <c r="X199" s="770"/>
      <c r="Y199" s="770"/>
      <c r="Z199" s="770"/>
      <c r="AA199" s="770"/>
      <c r="AB199" s="770"/>
      <c r="AC199" s="770"/>
      <c r="AD199" s="770"/>
      <c r="AE199" s="770"/>
      <c r="AF199" s="770"/>
      <c r="AG199" s="770"/>
      <c r="AH199" s="770"/>
      <c r="AI199" s="770"/>
      <c r="AJ199" s="770"/>
      <c r="AK199" s="770"/>
      <c r="AL199" s="770"/>
      <c r="AM199" s="770"/>
      <c r="AN199" s="770"/>
      <c r="AO199" s="770"/>
      <c r="AP199" s="770"/>
      <c r="AQ199" s="770"/>
      <c r="AR199" s="770"/>
      <c r="AS199" s="770"/>
      <c r="AT199" s="770"/>
      <c r="AU199" s="770"/>
      <c r="AV199" s="770"/>
      <c r="AW199" s="770"/>
      <c r="AX199" s="770"/>
      <c r="AY199" s="770"/>
      <c r="AZ199" s="770"/>
      <c r="BA199" s="770"/>
      <c r="BB199" s="770"/>
      <c r="BC199" s="770"/>
      <c r="BD199" s="770"/>
      <c r="BE199" s="770"/>
      <c r="BF199" s="770"/>
      <c r="BG199" s="770"/>
      <c r="BH199" s="770"/>
      <c r="BI199" s="770"/>
      <c r="BJ199" s="770"/>
      <c r="BK199" s="770"/>
      <c r="BL199" s="770"/>
      <c r="BM199" s="770"/>
      <c r="BN199" s="770"/>
      <c r="BO199" s="770"/>
      <c r="BP199" s="770"/>
      <c r="BQ199" s="770"/>
      <c r="BR199" s="770"/>
      <c r="BS199" s="770"/>
      <c r="BT199" s="770"/>
      <c r="BU199" s="770"/>
      <c r="BV199" s="770"/>
      <c r="BW199" s="770"/>
      <c r="BX199" s="770"/>
      <c r="BY199" s="770"/>
      <c r="BZ199" s="770"/>
      <c r="CA199" s="770"/>
      <c r="CB199" s="770"/>
    </row>
    <row r="200" spans="1:80">
      <c r="A200" s="770"/>
      <c r="B200" s="770"/>
      <c r="C200" s="770"/>
      <c r="D200" s="770"/>
      <c r="E200" s="770"/>
      <c r="F200" s="770"/>
      <c r="G200" s="770"/>
      <c r="H200" s="770"/>
      <c r="I200" s="770"/>
      <c r="J200" s="770"/>
      <c r="K200" s="770"/>
      <c r="L200" s="876"/>
      <c r="M200" s="770"/>
      <c r="N200" s="770"/>
      <c r="O200" s="770"/>
      <c r="P200" s="770"/>
      <c r="Q200" s="770"/>
      <c r="R200" s="770"/>
      <c r="S200" s="770"/>
      <c r="T200" s="770"/>
      <c r="U200" s="770"/>
      <c r="V200" s="770"/>
      <c r="W200" s="770"/>
      <c r="X200" s="770"/>
      <c r="Y200" s="770"/>
      <c r="Z200" s="770"/>
      <c r="AA200" s="770"/>
      <c r="AB200" s="770"/>
      <c r="AC200" s="770"/>
      <c r="AD200" s="770"/>
      <c r="AE200" s="770"/>
      <c r="AF200" s="770"/>
      <c r="AG200" s="770"/>
      <c r="AH200" s="770"/>
      <c r="AI200" s="770"/>
      <c r="AJ200" s="770"/>
      <c r="AK200" s="770"/>
      <c r="AL200" s="770"/>
      <c r="AM200" s="770"/>
      <c r="AN200" s="770"/>
      <c r="AO200" s="770"/>
      <c r="AP200" s="770"/>
      <c r="AQ200" s="770"/>
      <c r="AR200" s="770"/>
      <c r="AS200" s="770"/>
      <c r="AT200" s="770"/>
      <c r="AU200" s="770"/>
      <c r="AV200" s="770"/>
      <c r="AW200" s="770"/>
      <c r="AX200" s="770"/>
      <c r="AY200" s="770"/>
      <c r="AZ200" s="770"/>
      <c r="BA200" s="770"/>
      <c r="BB200" s="770"/>
      <c r="BC200" s="770"/>
      <c r="BD200" s="770"/>
      <c r="BE200" s="770"/>
      <c r="BF200" s="770"/>
      <c r="BG200" s="770"/>
      <c r="BH200" s="770"/>
      <c r="BI200" s="770"/>
      <c r="BJ200" s="770"/>
      <c r="BK200" s="770"/>
      <c r="BL200" s="770"/>
      <c r="BM200" s="770"/>
      <c r="BN200" s="770"/>
      <c r="BO200" s="770"/>
      <c r="BP200" s="770"/>
      <c r="BQ200" s="770"/>
      <c r="BR200" s="770"/>
      <c r="BS200" s="770"/>
      <c r="BT200" s="770"/>
      <c r="BU200" s="770"/>
      <c r="BV200" s="770"/>
      <c r="BW200" s="770"/>
      <c r="BX200" s="770"/>
      <c r="BY200" s="770"/>
      <c r="BZ200" s="770"/>
      <c r="CA200" s="770"/>
      <c r="CB200" s="770"/>
    </row>
    <row r="201" spans="1:80">
      <c r="A201" s="770"/>
      <c r="B201" s="770"/>
      <c r="C201" s="770"/>
      <c r="D201" s="770"/>
      <c r="E201" s="770"/>
      <c r="F201" s="770"/>
      <c r="G201" s="770"/>
      <c r="H201" s="770"/>
      <c r="I201" s="770"/>
      <c r="J201" s="770"/>
      <c r="K201" s="770"/>
      <c r="L201" s="876"/>
      <c r="M201" s="770"/>
      <c r="N201" s="770"/>
      <c r="O201" s="770"/>
      <c r="P201" s="770"/>
      <c r="Q201" s="770"/>
      <c r="R201" s="770"/>
      <c r="S201" s="770"/>
      <c r="T201" s="770"/>
      <c r="U201" s="770"/>
      <c r="V201" s="770"/>
      <c r="W201" s="770"/>
      <c r="X201" s="770"/>
      <c r="Y201" s="770"/>
      <c r="Z201" s="770"/>
      <c r="AA201" s="770"/>
      <c r="AB201" s="770"/>
      <c r="AC201" s="770"/>
      <c r="AD201" s="770"/>
      <c r="AE201" s="770"/>
      <c r="AF201" s="770"/>
      <c r="AG201" s="770"/>
      <c r="AH201" s="770"/>
      <c r="AI201" s="770"/>
      <c r="AJ201" s="770"/>
      <c r="AK201" s="770"/>
      <c r="AL201" s="770"/>
      <c r="AM201" s="770"/>
      <c r="AN201" s="770"/>
      <c r="AO201" s="770"/>
      <c r="AP201" s="770"/>
      <c r="AQ201" s="770"/>
      <c r="AR201" s="770"/>
      <c r="AS201" s="770"/>
      <c r="AT201" s="770"/>
      <c r="AU201" s="770"/>
      <c r="AV201" s="770"/>
      <c r="AW201" s="770"/>
      <c r="AX201" s="770"/>
      <c r="AY201" s="770"/>
      <c r="AZ201" s="770"/>
      <c r="BA201" s="770"/>
      <c r="BB201" s="770"/>
      <c r="BC201" s="770"/>
      <c r="BD201" s="770"/>
      <c r="BE201" s="770"/>
      <c r="BF201" s="770"/>
      <c r="BG201" s="770"/>
      <c r="BH201" s="770"/>
      <c r="BI201" s="770"/>
      <c r="BJ201" s="770"/>
      <c r="BK201" s="770"/>
      <c r="BL201" s="770"/>
      <c r="BM201" s="770"/>
      <c r="BN201" s="770"/>
      <c r="BO201" s="770"/>
      <c r="BP201" s="770"/>
      <c r="BQ201" s="770"/>
      <c r="BR201" s="770"/>
      <c r="BS201" s="770"/>
      <c r="BT201" s="770"/>
      <c r="BU201" s="770"/>
      <c r="BV201" s="770"/>
      <c r="BW201" s="770"/>
      <c r="BX201" s="770"/>
      <c r="BY201" s="770"/>
      <c r="BZ201" s="770"/>
      <c r="CA201" s="770"/>
      <c r="CB201" s="770"/>
    </row>
    <row r="202" spans="1:80">
      <c r="A202" s="770"/>
      <c r="B202" s="770"/>
      <c r="C202" s="770"/>
      <c r="D202" s="770"/>
      <c r="E202" s="770"/>
      <c r="F202" s="770"/>
      <c r="G202" s="770"/>
      <c r="H202" s="770"/>
      <c r="I202" s="770"/>
      <c r="J202" s="770"/>
      <c r="K202" s="770"/>
      <c r="L202" s="876"/>
      <c r="M202" s="770"/>
      <c r="N202" s="770"/>
      <c r="O202" s="770"/>
      <c r="P202" s="770"/>
      <c r="Q202" s="770"/>
      <c r="R202" s="770"/>
      <c r="S202" s="770"/>
      <c r="T202" s="770"/>
      <c r="U202" s="770"/>
      <c r="V202" s="770"/>
      <c r="W202" s="770"/>
      <c r="X202" s="770"/>
      <c r="Y202" s="770"/>
      <c r="Z202" s="770"/>
      <c r="AA202" s="770"/>
      <c r="AB202" s="770"/>
      <c r="AC202" s="770"/>
      <c r="AD202" s="770"/>
      <c r="AE202" s="770"/>
      <c r="AF202" s="770"/>
      <c r="AG202" s="770"/>
      <c r="AH202" s="770"/>
      <c r="AI202" s="770"/>
      <c r="AJ202" s="770"/>
      <c r="AK202" s="770"/>
      <c r="AL202" s="770"/>
      <c r="AM202" s="770"/>
      <c r="AN202" s="770"/>
      <c r="AO202" s="770"/>
      <c r="AP202" s="770"/>
      <c r="AQ202" s="770"/>
      <c r="AR202" s="770"/>
      <c r="AS202" s="770"/>
      <c r="AT202" s="770"/>
      <c r="AU202" s="770"/>
      <c r="AV202" s="770"/>
      <c r="AW202" s="770"/>
      <c r="AX202" s="770"/>
      <c r="AY202" s="770"/>
      <c r="AZ202" s="770"/>
      <c r="BA202" s="770"/>
      <c r="BB202" s="770"/>
      <c r="BC202" s="770"/>
      <c r="BD202" s="770"/>
      <c r="BE202" s="770"/>
      <c r="BF202" s="770"/>
      <c r="BG202" s="770"/>
      <c r="BH202" s="770"/>
      <c r="BI202" s="770"/>
      <c r="BJ202" s="770"/>
      <c r="BK202" s="770"/>
      <c r="BL202" s="770"/>
      <c r="BM202" s="770"/>
      <c r="BN202" s="770"/>
      <c r="BO202" s="770"/>
      <c r="BP202" s="770"/>
      <c r="BQ202" s="770"/>
      <c r="BR202" s="770"/>
      <c r="BS202" s="770"/>
      <c r="BT202" s="770"/>
      <c r="BU202" s="770"/>
      <c r="BV202" s="770"/>
      <c r="BW202" s="770"/>
      <c r="BX202" s="770"/>
      <c r="BY202" s="770"/>
      <c r="BZ202" s="770"/>
      <c r="CA202" s="770"/>
      <c r="CB202" s="770"/>
    </row>
    <row r="203" spans="1:80">
      <c r="A203" s="770"/>
      <c r="B203" s="770"/>
      <c r="C203" s="770"/>
      <c r="D203" s="770"/>
      <c r="E203" s="770"/>
      <c r="F203" s="770"/>
      <c r="G203" s="770"/>
      <c r="H203" s="770"/>
      <c r="I203" s="770"/>
      <c r="J203" s="770"/>
      <c r="K203" s="770"/>
      <c r="L203" s="876"/>
      <c r="M203" s="770"/>
      <c r="N203" s="770"/>
      <c r="O203" s="770"/>
      <c r="P203" s="770"/>
      <c r="Q203" s="770"/>
      <c r="R203" s="770"/>
      <c r="S203" s="770"/>
      <c r="T203" s="770"/>
      <c r="U203" s="770"/>
      <c r="V203" s="770"/>
      <c r="W203" s="770"/>
      <c r="X203" s="770"/>
      <c r="Y203" s="770"/>
      <c r="Z203" s="770"/>
      <c r="AA203" s="770"/>
      <c r="AB203" s="770"/>
      <c r="AC203" s="770"/>
      <c r="AD203" s="770"/>
      <c r="AE203" s="770"/>
      <c r="AF203" s="770"/>
      <c r="AG203" s="770"/>
      <c r="AH203" s="770"/>
      <c r="AI203" s="770"/>
      <c r="AJ203" s="770"/>
      <c r="AK203" s="770"/>
      <c r="AL203" s="770"/>
      <c r="AM203" s="770"/>
      <c r="AN203" s="770"/>
      <c r="AO203" s="770"/>
      <c r="AP203" s="770"/>
      <c r="AQ203" s="770"/>
      <c r="AR203" s="770"/>
      <c r="AS203" s="770"/>
      <c r="AT203" s="770"/>
      <c r="AU203" s="770"/>
      <c r="AV203" s="770"/>
      <c r="AW203" s="770"/>
      <c r="AX203" s="770"/>
      <c r="AY203" s="770"/>
      <c r="AZ203" s="770"/>
      <c r="BA203" s="770"/>
      <c r="BB203" s="770"/>
      <c r="BC203" s="770"/>
      <c r="BD203" s="770"/>
      <c r="BE203" s="770"/>
      <c r="BF203" s="770"/>
      <c r="BG203" s="770"/>
      <c r="BH203" s="770"/>
      <c r="BI203" s="770"/>
      <c r="BJ203" s="770"/>
      <c r="BK203" s="770"/>
      <c r="BL203" s="770"/>
      <c r="BM203" s="770"/>
      <c r="BN203" s="770"/>
      <c r="BO203" s="770"/>
      <c r="BP203" s="770"/>
      <c r="BQ203" s="770"/>
      <c r="BR203" s="770"/>
      <c r="BS203" s="770"/>
      <c r="BT203" s="770"/>
      <c r="BU203" s="770"/>
      <c r="BV203" s="770"/>
      <c r="BW203" s="770"/>
      <c r="BX203" s="770"/>
      <c r="BY203" s="770"/>
      <c r="BZ203" s="770"/>
      <c r="CA203" s="770"/>
      <c r="CB203" s="770"/>
    </row>
    <row r="204" spans="1:80">
      <c r="A204" s="770"/>
      <c r="B204" s="770"/>
      <c r="C204" s="770"/>
      <c r="D204" s="770"/>
      <c r="E204" s="770"/>
      <c r="F204" s="770"/>
      <c r="G204" s="770"/>
      <c r="H204" s="770"/>
      <c r="I204" s="770"/>
      <c r="J204" s="770"/>
      <c r="K204" s="770"/>
      <c r="L204" s="876"/>
      <c r="M204" s="770"/>
      <c r="N204" s="770"/>
      <c r="O204" s="770"/>
      <c r="P204" s="770"/>
      <c r="Q204" s="770"/>
      <c r="R204" s="770"/>
      <c r="S204" s="770"/>
      <c r="T204" s="770"/>
      <c r="U204" s="770"/>
      <c r="V204" s="770"/>
      <c r="W204" s="770"/>
      <c r="X204" s="770"/>
      <c r="Y204" s="770"/>
      <c r="Z204" s="770"/>
      <c r="AA204" s="770"/>
      <c r="AB204" s="770"/>
      <c r="AC204" s="770"/>
      <c r="AD204" s="770"/>
      <c r="AE204" s="770"/>
      <c r="AF204" s="770"/>
      <c r="AG204" s="770"/>
      <c r="AH204" s="770"/>
      <c r="AI204" s="770"/>
      <c r="AJ204" s="770"/>
      <c r="AK204" s="770"/>
      <c r="AL204" s="770"/>
      <c r="AM204" s="770"/>
      <c r="AN204" s="770"/>
      <c r="AO204" s="770"/>
      <c r="AP204" s="770"/>
      <c r="AQ204" s="770"/>
      <c r="AR204" s="770"/>
      <c r="AS204" s="770"/>
      <c r="AT204" s="770"/>
      <c r="AU204" s="770"/>
      <c r="AV204" s="770"/>
      <c r="AW204" s="770"/>
      <c r="AX204" s="770"/>
      <c r="AY204" s="770"/>
      <c r="AZ204" s="770"/>
      <c r="BA204" s="770"/>
      <c r="BB204" s="770"/>
      <c r="BC204" s="770"/>
      <c r="BD204" s="770"/>
      <c r="BE204" s="770"/>
      <c r="BF204" s="770"/>
      <c r="BG204" s="770"/>
      <c r="BH204" s="770"/>
      <c r="BI204" s="770"/>
      <c r="BJ204" s="770"/>
      <c r="BK204" s="770"/>
      <c r="BL204" s="770"/>
      <c r="BM204" s="770"/>
      <c r="BN204" s="770"/>
      <c r="BO204" s="770"/>
      <c r="BP204" s="770"/>
      <c r="BQ204" s="770"/>
      <c r="BR204" s="770"/>
      <c r="BS204" s="770"/>
      <c r="BT204" s="770"/>
      <c r="BU204" s="770"/>
      <c r="BV204" s="770"/>
      <c r="BW204" s="770"/>
      <c r="BX204" s="770"/>
      <c r="BY204" s="770"/>
      <c r="BZ204" s="770"/>
      <c r="CA204" s="770"/>
      <c r="CB204" s="770"/>
    </row>
    <row r="205" spans="1:80">
      <c r="A205" s="770"/>
      <c r="B205" s="770"/>
      <c r="C205" s="770"/>
      <c r="D205" s="770"/>
      <c r="E205" s="770"/>
      <c r="F205" s="770"/>
      <c r="G205" s="770"/>
      <c r="H205" s="770"/>
      <c r="I205" s="770"/>
      <c r="J205" s="770"/>
      <c r="K205" s="770"/>
      <c r="L205" s="876"/>
      <c r="M205" s="770"/>
      <c r="N205" s="770"/>
      <c r="O205" s="770"/>
      <c r="P205" s="770"/>
      <c r="Q205" s="770"/>
      <c r="R205" s="770"/>
      <c r="S205" s="770"/>
      <c r="T205" s="770"/>
      <c r="U205" s="770"/>
      <c r="V205" s="770"/>
      <c r="W205" s="770"/>
      <c r="X205" s="770"/>
      <c r="Y205" s="770"/>
      <c r="Z205" s="770"/>
      <c r="AA205" s="770"/>
      <c r="AB205" s="770"/>
      <c r="AC205" s="770"/>
      <c r="AD205" s="770"/>
      <c r="AE205" s="770"/>
      <c r="AF205" s="770"/>
      <c r="AG205" s="770"/>
      <c r="AH205" s="770"/>
      <c r="AI205" s="770"/>
      <c r="AJ205" s="770"/>
      <c r="AK205" s="770"/>
      <c r="AL205" s="770"/>
      <c r="AM205" s="770"/>
      <c r="AN205" s="770"/>
      <c r="AO205" s="770"/>
      <c r="AP205" s="770"/>
      <c r="AQ205" s="770"/>
      <c r="AR205" s="770"/>
      <c r="AS205" s="770"/>
      <c r="AT205" s="770"/>
      <c r="AU205" s="770"/>
      <c r="AV205" s="770"/>
      <c r="AW205" s="770"/>
      <c r="AX205" s="770"/>
      <c r="AY205" s="770"/>
      <c r="AZ205" s="770"/>
      <c r="BA205" s="770"/>
      <c r="BB205" s="770"/>
      <c r="BC205" s="770"/>
      <c r="BD205" s="770"/>
      <c r="BE205" s="770"/>
      <c r="BF205" s="770"/>
      <c r="BG205" s="770"/>
      <c r="BH205" s="770"/>
      <c r="BI205" s="770"/>
      <c r="BJ205" s="770"/>
      <c r="BK205" s="770"/>
      <c r="BL205" s="770"/>
      <c r="BM205" s="770"/>
      <c r="BN205" s="770"/>
      <c r="BO205" s="770"/>
      <c r="BP205" s="770"/>
      <c r="BQ205" s="770"/>
      <c r="BR205" s="770"/>
      <c r="BS205" s="770"/>
      <c r="BT205" s="770"/>
      <c r="BU205" s="770"/>
      <c r="BV205" s="770"/>
      <c r="BW205" s="770"/>
      <c r="BX205" s="770"/>
      <c r="BY205" s="770"/>
      <c r="BZ205" s="770"/>
      <c r="CA205" s="770"/>
      <c r="CB205" s="770"/>
    </row>
    <row r="206" spans="1:80">
      <c r="A206" s="770"/>
      <c r="B206" s="770"/>
      <c r="C206" s="770"/>
      <c r="D206" s="770"/>
      <c r="E206" s="770"/>
      <c r="F206" s="770"/>
      <c r="G206" s="770"/>
      <c r="H206" s="770"/>
      <c r="I206" s="770"/>
      <c r="J206" s="770"/>
      <c r="K206" s="770"/>
      <c r="L206" s="876"/>
      <c r="M206" s="770"/>
      <c r="N206" s="770"/>
      <c r="O206" s="770"/>
      <c r="P206" s="770"/>
      <c r="Q206" s="770"/>
      <c r="R206" s="770"/>
      <c r="S206" s="770"/>
      <c r="T206" s="770"/>
      <c r="U206" s="770"/>
      <c r="V206" s="770"/>
      <c r="W206" s="770"/>
      <c r="X206" s="770"/>
      <c r="Y206" s="770"/>
      <c r="Z206" s="770"/>
      <c r="AA206" s="770"/>
      <c r="AB206" s="770"/>
      <c r="AC206" s="770"/>
      <c r="AD206" s="770"/>
      <c r="AE206" s="770"/>
      <c r="AF206" s="770"/>
      <c r="AG206" s="770"/>
      <c r="AH206" s="770"/>
      <c r="AI206" s="770"/>
      <c r="AJ206" s="770"/>
      <c r="AK206" s="770"/>
      <c r="AL206" s="770"/>
      <c r="AM206" s="770"/>
      <c r="AN206" s="770"/>
      <c r="AO206" s="770"/>
      <c r="AP206" s="770"/>
      <c r="AQ206" s="770"/>
      <c r="AR206" s="770"/>
      <c r="AS206" s="770"/>
      <c r="AT206" s="770"/>
      <c r="AU206" s="770"/>
      <c r="AV206" s="770"/>
      <c r="AW206" s="770"/>
      <c r="AX206" s="770"/>
      <c r="AY206" s="770"/>
      <c r="AZ206" s="770"/>
      <c r="BA206" s="770"/>
      <c r="BB206" s="770"/>
      <c r="BC206" s="770"/>
      <c r="BD206" s="770"/>
      <c r="BE206" s="770"/>
      <c r="BF206" s="770"/>
      <c r="BG206" s="770"/>
      <c r="BH206" s="770"/>
      <c r="BI206" s="770"/>
      <c r="BJ206" s="770"/>
      <c r="BK206" s="770"/>
      <c r="BL206" s="770"/>
      <c r="BM206" s="770"/>
      <c r="BN206" s="770"/>
      <c r="BO206" s="770"/>
      <c r="BP206" s="770"/>
      <c r="BQ206" s="770"/>
      <c r="BR206" s="770"/>
      <c r="BS206" s="770"/>
      <c r="BT206" s="770"/>
      <c r="BU206" s="770"/>
      <c r="BV206" s="770"/>
      <c r="BW206" s="770"/>
      <c r="BX206" s="770"/>
      <c r="BY206" s="770"/>
      <c r="BZ206" s="770"/>
      <c r="CA206" s="770"/>
      <c r="CB206" s="770"/>
    </row>
    <row r="207" spans="1:80">
      <c r="A207" s="770"/>
      <c r="B207" s="770"/>
      <c r="C207" s="770"/>
      <c r="D207" s="770"/>
      <c r="E207" s="770"/>
      <c r="F207" s="770"/>
      <c r="G207" s="770"/>
      <c r="H207" s="770"/>
      <c r="I207" s="770"/>
      <c r="J207" s="770"/>
      <c r="K207" s="770"/>
      <c r="L207" s="876"/>
      <c r="M207" s="770"/>
      <c r="N207" s="770"/>
      <c r="O207" s="770"/>
      <c r="P207" s="770"/>
      <c r="Q207" s="770"/>
      <c r="R207" s="770"/>
      <c r="S207" s="770"/>
      <c r="T207" s="770"/>
      <c r="U207" s="770"/>
      <c r="V207" s="770"/>
      <c r="W207" s="770"/>
      <c r="X207" s="770"/>
      <c r="Y207" s="770"/>
      <c r="Z207" s="770"/>
      <c r="AA207" s="770"/>
      <c r="AB207" s="770"/>
      <c r="AC207" s="770"/>
      <c r="AD207" s="770"/>
      <c r="AE207" s="770"/>
      <c r="AF207" s="770"/>
      <c r="AG207" s="770"/>
      <c r="AH207" s="770"/>
      <c r="AI207" s="770"/>
      <c r="AJ207" s="770"/>
      <c r="AK207" s="770"/>
      <c r="AL207" s="770"/>
      <c r="AM207" s="770"/>
      <c r="AN207" s="770"/>
      <c r="AO207" s="770"/>
      <c r="AP207" s="770"/>
      <c r="AQ207" s="770"/>
      <c r="AR207" s="770"/>
      <c r="AS207" s="770"/>
      <c r="AT207" s="770"/>
      <c r="AU207" s="770"/>
      <c r="AV207" s="770"/>
      <c r="AW207" s="770"/>
      <c r="AX207" s="770"/>
      <c r="AY207" s="770"/>
      <c r="AZ207" s="770"/>
      <c r="BA207" s="770"/>
      <c r="BB207" s="770"/>
      <c r="BC207" s="770"/>
      <c r="BD207" s="770"/>
      <c r="BE207" s="770"/>
      <c r="BF207" s="770"/>
      <c r="BG207" s="770"/>
      <c r="BH207" s="770"/>
      <c r="BI207" s="770"/>
      <c r="BJ207" s="770"/>
      <c r="BK207" s="770"/>
      <c r="BL207" s="770"/>
      <c r="BM207" s="770"/>
      <c r="BN207" s="770"/>
      <c r="BO207" s="770"/>
      <c r="BP207" s="770"/>
      <c r="BQ207" s="770"/>
      <c r="BR207" s="770"/>
      <c r="BS207" s="770"/>
      <c r="BT207" s="770"/>
      <c r="BU207" s="770"/>
      <c r="BV207" s="770"/>
      <c r="BW207" s="770"/>
      <c r="BX207" s="770"/>
      <c r="BY207" s="770"/>
      <c r="BZ207" s="770"/>
      <c r="CA207" s="770"/>
      <c r="CB207" s="770"/>
    </row>
    <row r="208" spans="1:80">
      <c r="A208" s="770"/>
      <c r="B208" s="770"/>
      <c r="C208" s="770"/>
      <c r="D208" s="770"/>
      <c r="E208" s="770"/>
      <c r="F208" s="770"/>
      <c r="G208" s="770"/>
      <c r="H208" s="770"/>
      <c r="I208" s="770"/>
      <c r="J208" s="770"/>
      <c r="K208" s="770"/>
      <c r="L208" s="876"/>
      <c r="M208" s="770"/>
      <c r="N208" s="770"/>
      <c r="O208" s="770"/>
      <c r="P208" s="770"/>
      <c r="Q208" s="770"/>
      <c r="R208" s="770"/>
      <c r="S208" s="770"/>
      <c r="T208" s="770"/>
      <c r="U208" s="770"/>
      <c r="V208" s="770"/>
      <c r="W208" s="770"/>
      <c r="X208" s="770"/>
      <c r="Y208" s="770"/>
      <c r="Z208" s="770"/>
      <c r="AA208" s="770"/>
      <c r="AB208" s="770"/>
      <c r="AC208" s="770"/>
      <c r="AD208" s="770"/>
      <c r="AE208" s="770"/>
      <c r="AF208" s="770"/>
      <c r="AG208" s="770"/>
      <c r="AH208" s="770"/>
      <c r="AI208" s="770"/>
      <c r="AJ208" s="770"/>
      <c r="AK208" s="770"/>
      <c r="AL208" s="770"/>
      <c r="AM208" s="770"/>
      <c r="AN208" s="770"/>
      <c r="AO208" s="770"/>
      <c r="AP208" s="770"/>
      <c r="AQ208" s="770"/>
      <c r="AR208" s="770"/>
      <c r="AS208" s="770"/>
      <c r="AT208" s="770"/>
      <c r="AU208" s="770"/>
      <c r="AV208" s="770"/>
      <c r="AW208" s="770"/>
      <c r="AX208" s="770"/>
      <c r="AY208" s="770"/>
      <c r="AZ208" s="770"/>
      <c r="BA208" s="770"/>
      <c r="BB208" s="770"/>
      <c r="BC208" s="770"/>
      <c r="BD208" s="770"/>
      <c r="BE208" s="770"/>
      <c r="BF208" s="770"/>
      <c r="BG208" s="770"/>
      <c r="BH208" s="770"/>
      <c r="BI208" s="770"/>
      <c r="BJ208" s="770"/>
      <c r="BK208" s="770"/>
      <c r="BL208" s="770"/>
      <c r="BM208" s="770"/>
      <c r="BN208" s="770"/>
      <c r="BO208" s="770"/>
      <c r="BP208" s="770"/>
      <c r="BQ208" s="770"/>
      <c r="BR208" s="770"/>
      <c r="BS208" s="770"/>
      <c r="BT208" s="770"/>
      <c r="BU208" s="770"/>
      <c r="BV208" s="770"/>
      <c r="BW208" s="770"/>
      <c r="BX208" s="770"/>
      <c r="BY208" s="770"/>
      <c r="BZ208" s="770"/>
      <c r="CA208" s="770"/>
      <c r="CB208" s="770"/>
    </row>
    <row r="209" spans="1:80">
      <c r="A209" s="770"/>
      <c r="B209" s="770"/>
      <c r="C209" s="770"/>
      <c r="D209" s="770"/>
      <c r="E209" s="770"/>
      <c r="F209" s="770"/>
      <c r="G209" s="770"/>
      <c r="H209" s="770"/>
      <c r="I209" s="770"/>
      <c r="J209" s="770"/>
      <c r="K209" s="770"/>
      <c r="L209" s="876"/>
      <c r="M209" s="770"/>
      <c r="N209" s="770"/>
      <c r="O209" s="770"/>
      <c r="P209" s="770"/>
      <c r="Q209" s="770"/>
      <c r="R209" s="770"/>
      <c r="S209" s="770"/>
      <c r="T209" s="770"/>
      <c r="U209" s="770"/>
      <c r="V209" s="770"/>
      <c r="W209" s="770"/>
      <c r="X209" s="770"/>
      <c r="Y209" s="770"/>
      <c r="Z209" s="770"/>
      <c r="AA209" s="770"/>
      <c r="AB209" s="770"/>
      <c r="AC209" s="770"/>
      <c r="AD209" s="770"/>
      <c r="AE209" s="770"/>
      <c r="AF209" s="770"/>
      <c r="AG209" s="770"/>
      <c r="AH209" s="770"/>
      <c r="AI209" s="770"/>
      <c r="AJ209" s="770"/>
      <c r="AK209" s="770"/>
      <c r="AL209" s="770"/>
      <c r="AM209" s="770"/>
      <c r="AN209" s="770"/>
      <c r="AO209" s="770"/>
      <c r="AP209" s="770"/>
      <c r="AQ209" s="770"/>
      <c r="AR209" s="770"/>
      <c r="AS209" s="770"/>
      <c r="AT209" s="770"/>
      <c r="AU209" s="770"/>
      <c r="AV209" s="770"/>
      <c r="AW209" s="770"/>
      <c r="AX209" s="770"/>
      <c r="AY209" s="770"/>
      <c r="AZ209" s="770"/>
      <c r="BA209" s="770"/>
      <c r="BB209" s="770"/>
      <c r="BC209" s="770"/>
      <c r="BD209" s="770"/>
      <c r="BE209" s="770"/>
      <c r="BF209" s="770"/>
      <c r="BG209" s="770"/>
      <c r="BH209" s="770"/>
      <c r="BI209" s="770"/>
      <c r="BJ209" s="770"/>
      <c r="BK209" s="770"/>
      <c r="BL209" s="770"/>
      <c r="BM209" s="770"/>
      <c r="BN209" s="770"/>
      <c r="BO209" s="770"/>
      <c r="BP209" s="770"/>
      <c r="BQ209" s="770"/>
      <c r="BR209" s="770"/>
      <c r="BS209" s="770"/>
      <c r="BT209" s="770"/>
      <c r="BU209" s="770"/>
      <c r="BV209" s="770"/>
      <c r="BW209" s="770"/>
      <c r="BX209" s="770"/>
      <c r="BY209" s="770"/>
      <c r="BZ209" s="770"/>
      <c r="CA209" s="770"/>
      <c r="CB209" s="770"/>
    </row>
    <row r="210" spans="1:80">
      <c r="A210" s="770"/>
      <c r="B210" s="770"/>
      <c r="C210" s="770"/>
      <c r="D210" s="770"/>
      <c r="E210" s="770"/>
      <c r="F210" s="770"/>
      <c r="G210" s="770"/>
      <c r="H210" s="770"/>
      <c r="I210" s="770"/>
      <c r="J210" s="770"/>
      <c r="K210" s="770"/>
      <c r="L210" s="876"/>
      <c r="M210" s="770"/>
      <c r="N210" s="770"/>
      <c r="O210" s="770"/>
      <c r="P210" s="770"/>
      <c r="Q210" s="770"/>
      <c r="R210" s="770"/>
      <c r="S210" s="770"/>
      <c r="T210" s="770"/>
      <c r="U210" s="770"/>
      <c r="V210" s="770"/>
      <c r="W210" s="770"/>
      <c r="X210" s="770"/>
      <c r="Y210" s="770"/>
      <c r="Z210" s="770"/>
      <c r="AA210" s="770"/>
      <c r="AB210" s="770"/>
      <c r="AC210" s="770"/>
      <c r="AD210" s="770"/>
      <c r="AE210" s="770"/>
      <c r="AF210" s="770"/>
      <c r="AG210" s="770"/>
      <c r="AH210" s="770"/>
      <c r="AI210" s="770"/>
      <c r="AJ210" s="770"/>
      <c r="AK210" s="770"/>
      <c r="AL210" s="770"/>
      <c r="AM210" s="770"/>
      <c r="AN210" s="770"/>
      <c r="AO210" s="770"/>
      <c r="AP210" s="770"/>
      <c r="AQ210" s="770"/>
      <c r="AR210" s="770"/>
      <c r="AS210" s="770"/>
      <c r="AT210" s="770"/>
      <c r="AU210" s="770"/>
      <c r="AV210" s="770"/>
      <c r="AW210" s="770"/>
      <c r="AX210" s="770"/>
      <c r="AY210" s="770"/>
      <c r="AZ210" s="770"/>
      <c r="BA210" s="770"/>
      <c r="BB210" s="770"/>
      <c r="BC210" s="770"/>
      <c r="BD210" s="770"/>
      <c r="BE210" s="770"/>
      <c r="BF210" s="770"/>
      <c r="BG210" s="770"/>
      <c r="BH210" s="770"/>
      <c r="BI210" s="770"/>
      <c r="BJ210" s="770"/>
      <c r="BK210" s="770"/>
      <c r="BL210" s="770"/>
      <c r="BM210" s="770"/>
      <c r="BN210" s="770"/>
      <c r="BO210" s="770"/>
      <c r="BP210" s="770"/>
      <c r="BQ210" s="770"/>
      <c r="BR210" s="770"/>
      <c r="BS210" s="770"/>
      <c r="BT210" s="770"/>
      <c r="BU210" s="770"/>
      <c r="BV210" s="770"/>
      <c r="BW210" s="770"/>
      <c r="BX210" s="770"/>
      <c r="BY210" s="770"/>
      <c r="BZ210" s="770"/>
      <c r="CA210" s="770"/>
      <c r="CB210" s="770"/>
    </row>
    <row r="211" spans="1:80">
      <c r="A211" s="770"/>
      <c r="B211" s="770"/>
      <c r="C211" s="770"/>
      <c r="D211" s="770"/>
      <c r="E211" s="770"/>
      <c r="F211" s="770"/>
      <c r="G211" s="770"/>
      <c r="H211" s="770"/>
      <c r="I211" s="770"/>
      <c r="J211" s="770"/>
      <c r="K211" s="770"/>
      <c r="L211" s="876"/>
      <c r="M211" s="770"/>
      <c r="N211" s="770"/>
      <c r="O211" s="770"/>
      <c r="P211" s="770"/>
      <c r="Q211" s="770"/>
      <c r="R211" s="770"/>
      <c r="S211" s="770"/>
      <c r="T211" s="770"/>
      <c r="U211" s="770"/>
      <c r="V211" s="770"/>
      <c r="W211" s="770"/>
      <c r="X211" s="770"/>
      <c r="Y211" s="770"/>
      <c r="Z211" s="770"/>
      <c r="AA211" s="770"/>
      <c r="AB211" s="770"/>
      <c r="AC211" s="770"/>
      <c r="AD211" s="770"/>
      <c r="AE211" s="770"/>
      <c r="AF211" s="770"/>
      <c r="AG211" s="770"/>
      <c r="AH211" s="770"/>
      <c r="AI211" s="770"/>
      <c r="AJ211" s="770"/>
      <c r="AK211" s="770"/>
      <c r="AL211" s="770"/>
      <c r="AM211" s="770"/>
      <c r="AN211" s="770"/>
      <c r="AO211" s="770"/>
      <c r="AP211" s="770"/>
      <c r="AQ211" s="770"/>
      <c r="AR211" s="770"/>
      <c r="AS211" s="770"/>
      <c r="AT211" s="770"/>
      <c r="AU211" s="770"/>
      <c r="AV211" s="770"/>
      <c r="AW211" s="770"/>
      <c r="AX211" s="770"/>
      <c r="AY211" s="770"/>
      <c r="AZ211" s="770"/>
      <c r="BA211" s="770"/>
      <c r="BB211" s="770"/>
      <c r="BC211" s="770"/>
      <c r="BD211" s="770"/>
      <c r="BE211" s="770"/>
      <c r="BF211" s="770"/>
      <c r="BG211" s="770"/>
      <c r="BH211" s="770"/>
      <c r="BI211" s="770"/>
      <c r="BJ211" s="770"/>
      <c r="BK211" s="770"/>
      <c r="BL211" s="770"/>
      <c r="BM211" s="770"/>
      <c r="BN211" s="770"/>
      <c r="BO211" s="770"/>
      <c r="BP211" s="770"/>
      <c r="BQ211" s="770"/>
      <c r="BR211" s="770"/>
      <c r="BS211" s="770"/>
      <c r="BT211" s="770"/>
      <c r="BU211" s="770"/>
      <c r="BV211" s="770"/>
      <c r="BW211" s="770"/>
      <c r="BX211" s="770"/>
      <c r="BY211" s="770"/>
      <c r="BZ211" s="770"/>
      <c r="CA211" s="770"/>
      <c r="CB211" s="770"/>
    </row>
    <row r="212" spans="1:80">
      <c r="A212" s="770"/>
      <c r="B212" s="770"/>
      <c r="C212" s="770"/>
      <c r="D212" s="770"/>
      <c r="E212" s="770"/>
      <c r="F212" s="770"/>
      <c r="G212" s="770"/>
      <c r="H212" s="770"/>
      <c r="I212" s="770"/>
      <c r="J212" s="770"/>
      <c r="K212" s="770"/>
      <c r="L212" s="876"/>
      <c r="M212" s="770"/>
      <c r="N212" s="770"/>
      <c r="O212" s="770"/>
      <c r="P212" s="770"/>
      <c r="Q212" s="770"/>
      <c r="R212" s="770"/>
      <c r="S212" s="770"/>
      <c r="T212" s="770"/>
      <c r="U212" s="770"/>
      <c r="V212" s="770"/>
      <c r="W212" s="770"/>
      <c r="X212" s="770"/>
      <c r="Y212" s="770"/>
      <c r="Z212" s="770"/>
      <c r="AA212" s="770"/>
      <c r="AB212" s="770"/>
      <c r="AC212" s="770"/>
      <c r="AD212" s="770"/>
      <c r="AE212" s="770"/>
      <c r="AF212" s="770"/>
      <c r="AG212" s="770"/>
      <c r="AH212" s="770"/>
      <c r="AI212" s="770"/>
      <c r="AJ212" s="770"/>
      <c r="AK212" s="770"/>
      <c r="AL212" s="770"/>
      <c r="AM212" s="770"/>
      <c r="AN212" s="770"/>
      <c r="AO212" s="770"/>
      <c r="AP212" s="770"/>
      <c r="AQ212" s="770"/>
      <c r="AR212" s="770"/>
      <c r="AS212" s="770"/>
      <c r="AT212" s="770"/>
      <c r="AU212" s="770"/>
      <c r="AV212" s="770"/>
      <c r="AW212" s="770"/>
      <c r="AX212" s="770"/>
      <c r="AY212" s="770"/>
      <c r="AZ212" s="770"/>
      <c r="BA212" s="770"/>
      <c r="BB212" s="770"/>
      <c r="BC212" s="770"/>
      <c r="BD212" s="770"/>
      <c r="BE212" s="770"/>
      <c r="BF212" s="770"/>
      <c r="BG212" s="770"/>
      <c r="BH212" s="770"/>
      <c r="BI212" s="770"/>
      <c r="BJ212" s="770"/>
      <c r="BK212" s="770"/>
      <c r="BL212" s="770"/>
      <c r="BM212" s="770"/>
      <c r="BN212" s="770"/>
      <c r="BO212" s="770"/>
      <c r="BP212" s="770"/>
      <c r="BQ212" s="770"/>
      <c r="BR212" s="770"/>
      <c r="BS212" s="770"/>
      <c r="BT212" s="770"/>
      <c r="BU212" s="770"/>
      <c r="BV212" s="770"/>
      <c r="BW212" s="770"/>
      <c r="BX212" s="770"/>
      <c r="BY212" s="770"/>
      <c r="BZ212" s="770"/>
      <c r="CA212" s="770"/>
      <c r="CB212" s="770"/>
    </row>
    <row r="213" spans="1:80">
      <c r="A213" s="770"/>
      <c r="B213" s="770"/>
      <c r="C213" s="770"/>
      <c r="D213" s="770"/>
      <c r="E213" s="770"/>
      <c r="F213" s="770"/>
      <c r="G213" s="770"/>
      <c r="H213" s="770"/>
      <c r="I213" s="770"/>
      <c r="J213" s="770"/>
      <c r="K213" s="770"/>
      <c r="L213" s="876"/>
      <c r="M213" s="770"/>
      <c r="N213" s="770"/>
      <c r="O213" s="770"/>
      <c r="P213" s="770"/>
      <c r="Q213" s="770"/>
      <c r="R213" s="770"/>
      <c r="S213" s="770"/>
      <c r="T213" s="770"/>
      <c r="U213" s="770"/>
      <c r="V213" s="770"/>
      <c r="W213" s="770"/>
      <c r="X213" s="770"/>
      <c r="Y213" s="770"/>
      <c r="Z213" s="770"/>
      <c r="AA213" s="770"/>
      <c r="AB213" s="770"/>
      <c r="AC213" s="770"/>
      <c r="AD213" s="770"/>
      <c r="AE213" s="770"/>
      <c r="AF213" s="770"/>
      <c r="AG213" s="770"/>
      <c r="AH213" s="770"/>
      <c r="AI213" s="770"/>
      <c r="AJ213" s="770"/>
      <c r="AK213" s="770"/>
      <c r="AL213" s="770"/>
      <c r="AM213" s="770"/>
      <c r="AN213" s="770"/>
      <c r="AO213" s="770"/>
      <c r="AP213" s="770"/>
      <c r="AQ213" s="770"/>
      <c r="AR213" s="770"/>
      <c r="AS213" s="770"/>
      <c r="AT213" s="770"/>
      <c r="AU213" s="770"/>
      <c r="AV213" s="770"/>
      <c r="AW213" s="770"/>
      <c r="AX213" s="770"/>
      <c r="AY213" s="770"/>
      <c r="AZ213" s="770"/>
      <c r="BA213" s="770"/>
      <c r="BB213" s="770"/>
      <c r="BC213" s="770"/>
      <c r="BD213" s="770"/>
      <c r="BE213" s="770"/>
      <c r="BF213" s="770"/>
      <c r="BG213" s="770"/>
      <c r="BH213" s="770"/>
      <c r="BI213" s="770"/>
      <c r="BJ213" s="770"/>
      <c r="BK213" s="770"/>
      <c r="BL213" s="770"/>
      <c r="BM213" s="770"/>
      <c r="BN213" s="770"/>
      <c r="BO213" s="770"/>
      <c r="BP213" s="770"/>
      <c r="BQ213" s="770"/>
      <c r="BR213" s="770"/>
      <c r="BS213" s="770"/>
      <c r="BT213" s="770"/>
      <c r="BU213" s="770"/>
      <c r="BV213" s="770"/>
      <c r="BW213" s="770"/>
      <c r="BX213" s="770"/>
      <c r="BY213" s="770"/>
      <c r="BZ213" s="770"/>
      <c r="CA213" s="770"/>
      <c r="CB213" s="770"/>
    </row>
    <row r="214" spans="1:80">
      <c r="A214" s="770"/>
      <c r="B214" s="770"/>
      <c r="C214" s="770"/>
      <c r="D214" s="770"/>
      <c r="E214" s="770"/>
      <c r="F214" s="770"/>
      <c r="G214" s="770"/>
      <c r="H214" s="770"/>
      <c r="I214" s="770"/>
      <c r="J214" s="770"/>
      <c r="K214" s="770"/>
      <c r="L214" s="876"/>
      <c r="M214" s="770"/>
      <c r="N214" s="770"/>
      <c r="O214" s="770"/>
      <c r="P214" s="770"/>
      <c r="Q214" s="770"/>
      <c r="R214" s="770"/>
      <c r="S214" s="770"/>
      <c r="T214" s="770"/>
      <c r="U214" s="770"/>
      <c r="V214" s="770"/>
      <c r="W214" s="770"/>
      <c r="X214" s="770"/>
      <c r="Y214" s="770"/>
      <c r="Z214" s="770"/>
      <c r="AA214" s="770"/>
      <c r="AB214" s="770"/>
      <c r="AC214" s="770"/>
      <c r="AD214" s="770"/>
      <c r="AE214" s="770"/>
      <c r="AF214" s="770"/>
      <c r="AG214" s="770"/>
      <c r="AH214" s="770"/>
      <c r="AI214" s="770"/>
      <c r="AJ214" s="770"/>
      <c r="AK214" s="770"/>
      <c r="AL214" s="770"/>
      <c r="AM214" s="770"/>
      <c r="AN214" s="770"/>
      <c r="AO214" s="770"/>
      <c r="AP214" s="770"/>
      <c r="AQ214" s="770"/>
      <c r="AR214" s="770"/>
      <c r="AS214" s="770"/>
      <c r="AT214" s="770"/>
      <c r="AU214" s="770"/>
      <c r="AV214" s="770"/>
      <c r="AW214" s="770"/>
      <c r="AX214" s="770"/>
      <c r="AY214" s="770"/>
      <c r="AZ214" s="770"/>
      <c r="BA214" s="770"/>
      <c r="BB214" s="770"/>
      <c r="BC214" s="770"/>
      <c r="BD214" s="770"/>
      <c r="BE214" s="770"/>
      <c r="BF214" s="770"/>
      <c r="BG214" s="770"/>
      <c r="BH214" s="770"/>
      <c r="BI214" s="770"/>
      <c r="BJ214" s="770"/>
      <c r="BK214" s="770"/>
      <c r="BL214" s="770"/>
      <c r="BM214" s="770"/>
      <c r="BN214" s="770"/>
      <c r="BO214" s="770"/>
      <c r="BP214" s="770"/>
      <c r="BQ214" s="770"/>
      <c r="BR214" s="770"/>
      <c r="BS214" s="770"/>
      <c r="BT214" s="770"/>
      <c r="BU214" s="770"/>
      <c r="BV214" s="770"/>
      <c r="BW214" s="770"/>
      <c r="BX214" s="770"/>
      <c r="BY214" s="770"/>
      <c r="BZ214" s="770"/>
      <c r="CA214" s="770"/>
      <c r="CB214" s="770"/>
    </row>
    <row r="215" spans="1:80">
      <c r="A215" s="770"/>
      <c r="B215" s="770"/>
      <c r="C215" s="770"/>
      <c r="D215" s="770"/>
      <c r="E215" s="770"/>
      <c r="F215" s="770"/>
      <c r="G215" s="770"/>
      <c r="H215" s="770"/>
      <c r="I215" s="770"/>
      <c r="J215" s="770"/>
      <c r="K215" s="770"/>
      <c r="L215" s="876"/>
      <c r="M215" s="770"/>
      <c r="N215" s="770"/>
      <c r="O215" s="770"/>
      <c r="P215" s="770"/>
      <c r="Q215" s="770"/>
      <c r="R215" s="770"/>
      <c r="S215" s="770"/>
      <c r="T215" s="770"/>
      <c r="U215" s="770"/>
      <c r="V215" s="770"/>
      <c r="W215" s="770"/>
      <c r="X215" s="770"/>
      <c r="Y215" s="770"/>
      <c r="Z215" s="770"/>
      <c r="AA215" s="770"/>
      <c r="AB215" s="770"/>
      <c r="AC215" s="770"/>
      <c r="AD215" s="770"/>
      <c r="AE215" s="770"/>
      <c r="AF215" s="770"/>
      <c r="AG215" s="770"/>
      <c r="AH215" s="770"/>
      <c r="AI215" s="770"/>
      <c r="AJ215" s="770"/>
      <c r="AK215" s="770"/>
      <c r="AL215" s="770"/>
      <c r="AM215" s="770"/>
      <c r="AN215" s="770"/>
      <c r="AO215" s="770"/>
      <c r="AP215" s="770"/>
      <c r="AQ215" s="770"/>
      <c r="AR215" s="770"/>
      <c r="AS215" s="770"/>
      <c r="AT215" s="770"/>
      <c r="AU215" s="770"/>
      <c r="AV215" s="770"/>
      <c r="AW215" s="770"/>
      <c r="AX215" s="770"/>
      <c r="AY215" s="770"/>
      <c r="AZ215" s="770"/>
      <c r="BA215" s="770"/>
      <c r="BB215" s="770"/>
      <c r="BC215" s="770"/>
      <c r="BD215" s="770"/>
      <c r="BE215" s="770"/>
      <c r="BF215" s="770"/>
      <c r="BG215" s="770"/>
      <c r="BH215" s="770"/>
      <c r="BI215" s="770"/>
      <c r="BJ215" s="770"/>
      <c r="BK215" s="770"/>
      <c r="BL215" s="770"/>
      <c r="BM215" s="770"/>
      <c r="BN215" s="770"/>
      <c r="BO215" s="770"/>
      <c r="BP215" s="770"/>
      <c r="BQ215" s="770"/>
      <c r="BR215" s="770"/>
      <c r="BS215" s="770"/>
      <c r="BT215" s="770"/>
      <c r="BU215" s="770"/>
      <c r="BV215" s="770"/>
      <c r="BW215" s="770"/>
      <c r="BX215" s="770"/>
      <c r="BY215" s="770"/>
      <c r="BZ215" s="770"/>
      <c r="CA215" s="770"/>
      <c r="CB215" s="770"/>
    </row>
    <row r="216" spans="1:80">
      <c r="A216" s="770"/>
      <c r="B216" s="770"/>
      <c r="C216" s="770"/>
      <c r="D216" s="770"/>
      <c r="E216" s="770"/>
      <c r="F216" s="770"/>
      <c r="G216" s="770"/>
      <c r="H216" s="770"/>
      <c r="I216" s="770"/>
      <c r="J216" s="770"/>
      <c r="K216" s="770"/>
      <c r="L216" s="876"/>
      <c r="M216" s="770"/>
      <c r="N216" s="770"/>
      <c r="O216" s="770"/>
      <c r="P216" s="770"/>
      <c r="Q216" s="770"/>
      <c r="R216" s="770"/>
      <c r="S216" s="770"/>
      <c r="T216" s="770"/>
      <c r="U216" s="770"/>
      <c r="V216" s="770"/>
      <c r="W216" s="770"/>
      <c r="X216" s="770"/>
      <c r="Y216" s="770"/>
      <c r="Z216" s="770"/>
      <c r="AA216" s="770"/>
      <c r="AB216" s="770"/>
      <c r="AC216" s="770"/>
      <c r="AD216" s="770"/>
      <c r="AE216" s="770"/>
      <c r="AF216" s="770"/>
      <c r="AG216" s="770"/>
      <c r="AH216" s="770"/>
      <c r="AI216" s="770"/>
      <c r="AJ216" s="770"/>
      <c r="AK216" s="770"/>
      <c r="AL216" s="770"/>
      <c r="AM216" s="770"/>
      <c r="AN216" s="770"/>
      <c r="AO216" s="770"/>
      <c r="AP216" s="770"/>
      <c r="AQ216" s="770"/>
      <c r="AR216" s="770"/>
      <c r="AS216" s="770"/>
      <c r="AT216" s="770"/>
      <c r="AU216" s="770"/>
      <c r="AV216" s="770"/>
      <c r="AW216" s="770"/>
      <c r="AX216" s="770"/>
      <c r="AY216" s="770"/>
      <c r="AZ216" s="770"/>
      <c r="BA216" s="770"/>
      <c r="BB216" s="770"/>
      <c r="BC216" s="770"/>
      <c r="BD216" s="770"/>
      <c r="BE216" s="770"/>
      <c r="BF216" s="770"/>
      <c r="BG216" s="770"/>
      <c r="BH216" s="770"/>
      <c r="BI216" s="770"/>
      <c r="BJ216" s="770"/>
      <c r="BK216" s="770"/>
      <c r="BL216" s="770"/>
      <c r="BM216" s="770"/>
      <c r="BN216" s="770"/>
      <c r="BO216" s="770"/>
      <c r="BP216" s="770"/>
      <c r="BQ216" s="770"/>
      <c r="BR216" s="770"/>
      <c r="BS216" s="770"/>
      <c r="BT216" s="770"/>
      <c r="BU216" s="770"/>
      <c r="BV216" s="770"/>
      <c r="BW216" s="770"/>
      <c r="BX216" s="770"/>
      <c r="BY216" s="770"/>
      <c r="BZ216" s="770"/>
      <c r="CA216" s="770"/>
      <c r="CB216" s="770"/>
    </row>
    <row r="217" spans="1:80">
      <c r="A217" s="770"/>
      <c r="B217" s="770"/>
      <c r="C217" s="770"/>
      <c r="D217" s="770"/>
      <c r="E217" s="770"/>
      <c r="F217" s="770"/>
      <c r="G217" s="770"/>
      <c r="H217" s="770"/>
      <c r="I217" s="770"/>
      <c r="J217" s="770"/>
      <c r="K217" s="770"/>
      <c r="L217" s="876"/>
      <c r="M217" s="770"/>
      <c r="N217" s="770"/>
      <c r="O217" s="770"/>
      <c r="P217" s="770"/>
      <c r="Q217" s="770"/>
      <c r="R217" s="770"/>
      <c r="S217" s="770"/>
      <c r="T217" s="770"/>
      <c r="U217" s="770"/>
      <c r="V217" s="770"/>
      <c r="W217" s="770"/>
      <c r="X217" s="770"/>
      <c r="Y217" s="770"/>
      <c r="Z217" s="770"/>
      <c r="AA217" s="770"/>
      <c r="AB217" s="770"/>
      <c r="AC217" s="770"/>
      <c r="AD217" s="770"/>
      <c r="AE217" s="770"/>
      <c r="AF217" s="770"/>
      <c r="AG217" s="770"/>
      <c r="AH217" s="770"/>
      <c r="AI217" s="770"/>
      <c r="AJ217" s="770"/>
      <c r="AK217" s="770"/>
      <c r="AL217" s="770"/>
      <c r="AM217" s="770"/>
      <c r="AN217" s="770"/>
      <c r="AO217" s="770"/>
      <c r="AP217" s="770"/>
      <c r="AQ217" s="770"/>
      <c r="AR217" s="770"/>
      <c r="AS217" s="770"/>
      <c r="AT217" s="770"/>
      <c r="AU217" s="770"/>
      <c r="AV217" s="770"/>
      <c r="AW217" s="770"/>
      <c r="AX217" s="770"/>
      <c r="AY217" s="770"/>
      <c r="AZ217" s="770"/>
      <c r="BA217" s="770"/>
      <c r="BB217" s="770"/>
      <c r="BC217" s="770"/>
      <c r="BD217" s="770"/>
      <c r="BE217" s="770"/>
      <c r="BF217" s="770"/>
      <c r="BG217" s="770"/>
      <c r="BH217" s="770"/>
      <c r="BI217" s="770"/>
      <c r="BJ217" s="770"/>
      <c r="BK217" s="770"/>
      <c r="BL217" s="770"/>
      <c r="BM217" s="770"/>
      <c r="BN217" s="770"/>
      <c r="BO217" s="770"/>
      <c r="BP217" s="770"/>
      <c r="BQ217" s="770"/>
      <c r="BR217" s="770"/>
      <c r="BS217" s="770"/>
      <c r="BT217" s="770"/>
      <c r="BU217" s="770"/>
      <c r="BV217" s="770"/>
      <c r="BW217" s="770"/>
      <c r="BX217" s="770"/>
      <c r="BY217" s="770"/>
      <c r="BZ217" s="770"/>
      <c r="CA217" s="770"/>
      <c r="CB217" s="770"/>
    </row>
    <row r="218" spans="1:80">
      <c r="A218" s="770"/>
      <c r="B218" s="770"/>
      <c r="C218" s="770"/>
      <c r="D218" s="770"/>
      <c r="E218" s="770"/>
      <c r="F218" s="770"/>
      <c r="G218" s="770"/>
      <c r="H218" s="770"/>
      <c r="I218" s="770"/>
      <c r="J218" s="770"/>
      <c r="K218" s="770"/>
      <c r="L218" s="876"/>
      <c r="M218" s="770"/>
      <c r="N218" s="770"/>
      <c r="O218" s="770"/>
      <c r="P218" s="770"/>
      <c r="Q218" s="770"/>
      <c r="R218" s="770"/>
      <c r="S218" s="770"/>
      <c r="T218" s="770"/>
      <c r="U218" s="770"/>
      <c r="V218" s="770"/>
      <c r="W218" s="770"/>
      <c r="X218" s="770"/>
      <c r="Y218" s="770"/>
      <c r="Z218" s="770"/>
      <c r="AA218" s="770"/>
      <c r="AB218" s="770"/>
      <c r="AC218" s="770"/>
      <c r="AD218" s="770"/>
      <c r="AE218" s="770"/>
      <c r="AF218" s="770"/>
      <c r="AG218" s="770"/>
      <c r="AH218" s="770"/>
      <c r="AI218" s="770"/>
      <c r="AJ218" s="770"/>
      <c r="AK218" s="770"/>
      <c r="AL218" s="770"/>
      <c r="AM218" s="770"/>
      <c r="AN218" s="770"/>
      <c r="AO218" s="770"/>
      <c r="AP218" s="770"/>
      <c r="AQ218" s="770"/>
      <c r="AR218" s="770"/>
      <c r="AS218" s="770"/>
      <c r="AT218" s="770"/>
      <c r="AU218" s="770"/>
      <c r="AV218" s="770"/>
      <c r="AW218" s="770"/>
      <c r="AX218" s="770"/>
      <c r="AY218" s="770"/>
      <c r="AZ218" s="770"/>
      <c r="BA218" s="770"/>
      <c r="BB218" s="770"/>
      <c r="BC218" s="770"/>
      <c r="BD218" s="770"/>
      <c r="BE218" s="770"/>
      <c r="BF218" s="770"/>
      <c r="BG218" s="770"/>
      <c r="BH218" s="770"/>
      <c r="BI218" s="770"/>
      <c r="BJ218" s="770"/>
      <c r="BK218" s="770"/>
      <c r="BL218" s="770"/>
      <c r="BM218" s="770"/>
      <c r="BN218" s="770"/>
      <c r="BO218" s="770"/>
      <c r="BP218" s="770"/>
      <c r="BQ218" s="770"/>
      <c r="BR218" s="770"/>
      <c r="BS218" s="770"/>
      <c r="BT218" s="770"/>
      <c r="BU218" s="770"/>
      <c r="BV218" s="770"/>
      <c r="BW218" s="770"/>
      <c r="BX218" s="770"/>
      <c r="BY218" s="770"/>
      <c r="BZ218" s="770"/>
      <c r="CA218" s="770"/>
      <c r="CB218" s="770"/>
    </row>
    <row r="219" spans="1:80">
      <c r="A219" s="770"/>
      <c r="B219" s="770"/>
      <c r="C219" s="770"/>
      <c r="D219" s="770"/>
      <c r="E219" s="770"/>
      <c r="F219" s="770"/>
      <c r="G219" s="770"/>
      <c r="H219" s="770"/>
      <c r="I219" s="770"/>
      <c r="J219" s="770"/>
      <c r="K219" s="770"/>
      <c r="L219" s="876"/>
      <c r="M219" s="770"/>
      <c r="N219" s="770"/>
      <c r="O219" s="770"/>
      <c r="P219" s="770"/>
      <c r="Q219" s="770"/>
      <c r="R219" s="770"/>
      <c r="S219" s="770"/>
      <c r="T219" s="770"/>
      <c r="U219" s="770"/>
      <c r="V219" s="770"/>
      <c r="W219" s="770"/>
      <c r="X219" s="770"/>
      <c r="Y219" s="770"/>
      <c r="Z219" s="770"/>
      <c r="AA219" s="770"/>
      <c r="AB219" s="770"/>
      <c r="AC219" s="770"/>
      <c r="AD219" s="770"/>
      <c r="AE219" s="770"/>
      <c r="AF219" s="770"/>
      <c r="AG219" s="770"/>
      <c r="AH219" s="770"/>
      <c r="AI219" s="770"/>
      <c r="AJ219" s="770"/>
      <c r="AK219" s="770"/>
      <c r="AL219" s="770"/>
      <c r="AM219" s="770"/>
      <c r="AN219" s="770"/>
      <c r="AO219" s="770"/>
      <c r="AP219" s="770"/>
      <c r="AQ219" s="770"/>
      <c r="AR219" s="770"/>
      <c r="AS219" s="770"/>
      <c r="AT219" s="770"/>
      <c r="AU219" s="770"/>
      <c r="AV219" s="770"/>
      <c r="AW219" s="770"/>
      <c r="AX219" s="770"/>
      <c r="AY219" s="770"/>
      <c r="AZ219" s="770"/>
      <c r="BA219" s="770"/>
      <c r="BB219" s="770"/>
      <c r="BC219" s="770"/>
      <c r="BD219" s="770"/>
      <c r="BE219" s="770"/>
      <c r="BF219" s="770"/>
      <c r="BG219" s="770"/>
      <c r="BH219" s="770"/>
      <c r="BI219" s="770"/>
      <c r="BJ219" s="770"/>
      <c r="BK219" s="770"/>
      <c r="BL219" s="770"/>
      <c r="BM219" s="770"/>
      <c r="BN219" s="770"/>
      <c r="BO219" s="770"/>
      <c r="BP219" s="770"/>
      <c r="BQ219" s="770"/>
      <c r="BR219" s="770"/>
      <c r="BS219" s="770"/>
      <c r="BT219" s="770"/>
      <c r="BU219" s="770"/>
      <c r="BV219" s="770"/>
      <c r="BW219" s="770"/>
      <c r="BX219" s="770"/>
      <c r="BY219" s="770"/>
      <c r="BZ219" s="770"/>
      <c r="CA219" s="770"/>
      <c r="CB219" s="770"/>
    </row>
    <row r="220" spans="1:80">
      <c r="A220" s="770"/>
      <c r="B220" s="770"/>
      <c r="C220" s="770"/>
      <c r="D220" s="770"/>
      <c r="E220" s="770"/>
      <c r="F220" s="770"/>
      <c r="G220" s="770"/>
      <c r="H220" s="770"/>
      <c r="I220" s="770"/>
      <c r="J220" s="770"/>
      <c r="K220" s="770"/>
      <c r="L220" s="876"/>
      <c r="M220" s="770"/>
      <c r="N220" s="770"/>
      <c r="O220" s="770"/>
      <c r="P220" s="770"/>
      <c r="Q220" s="770"/>
      <c r="R220" s="770"/>
      <c r="S220" s="770"/>
      <c r="T220" s="770"/>
      <c r="U220" s="770"/>
      <c r="V220" s="770"/>
      <c r="W220" s="770"/>
      <c r="X220" s="770"/>
      <c r="Y220" s="770"/>
      <c r="Z220" s="770"/>
      <c r="AA220" s="770"/>
      <c r="AB220" s="770"/>
      <c r="AC220" s="770"/>
      <c r="AD220" s="770"/>
      <c r="AE220" s="770"/>
      <c r="AF220" s="770"/>
      <c r="AG220" s="770"/>
      <c r="AH220" s="770"/>
      <c r="AI220" s="770"/>
      <c r="AJ220" s="770"/>
      <c r="AK220" s="770"/>
      <c r="AL220" s="770"/>
      <c r="AM220" s="770"/>
      <c r="AN220" s="770"/>
      <c r="AO220" s="770"/>
      <c r="AP220" s="770"/>
      <c r="AQ220" s="770"/>
      <c r="AR220" s="770"/>
      <c r="AS220" s="770"/>
      <c r="AT220" s="770"/>
      <c r="AU220" s="770"/>
      <c r="AV220" s="770"/>
      <c r="AW220" s="770"/>
      <c r="AX220" s="770"/>
      <c r="AY220" s="770"/>
      <c r="AZ220" s="770"/>
      <c r="BA220" s="770"/>
      <c r="BB220" s="770"/>
      <c r="BC220" s="770"/>
      <c r="BD220" s="770"/>
      <c r="BE220" s="770"/>
      <c r="BF220" s="770"/>
      <c r="BG220" s="770"/>
      <c r="BH220" s="770"/>
      <c r="BI220" s="770"/>
      <c r="BJ220" s="770"/>
      <c r="BK220" s="770"/>
      <c r="BL220" s="770"/>
      <c r="BM220" s="770"/>
      <c r="BN220" s="770"/>
      <c r="BO220" s="770"/>
      <c r="BP220" s="770"/>
      <c r="BQ220" s="770"/>
      <c r="BR220" s="770"/>
      <c r="BS220" s="770"/>
      <c r="BT220" s="770"/>
      <c r="BU220" s="770"/>
      <c r="BV220" s="770"/>
      <c r="BW220" s="770"/>
      <c r="BX220" s="770"/>
      <c r="BY220" s="770"/>
      <c r="BZ220" s="770"/>
      <c r="CA220" s="770"/>
      <c r="CB220" s="770"/>
    </row>
    <row r="221" spans="1:80">
      <c r="A221" s="770"/>
      <c r="B221" s="770"/>
      <c r="C221" s="770"/>
      <c r="D221" s="770"/>
      <c r="E221" s="770"/>
      <c r="F221" s="770"/>
      <c r="G221" s="770"/>
      <c r="H221" s="770"/>
      <c r="I221" s="770"/>
      <c r="J221" s="770"/>
      <c r="K221" s="770"/>
      <c r="L221" s="876"/>
      <c r="M221" s="770"/>
      <c r="N221" s="770"/>
      <c r="O221" s="770"/>
      <c r="P221" s="770"/>
      <c r="Q221" s="770"/>
      <c r="R221" s="770"/>
      <c r="S221" s="770"/>
      <c r="T221" s="770"/>
      <c r="U221" s="770"/>
      <c r="V221" s="770"/>
      <c r="W221" s="770"/>
      <c r="X221" s="770"/>
      <c r="Y221" s="770"/>
      <c r="Z221" s="770"/>
      <c r="AA221" s="770"/>
      <c r="AB221" s="770"/>
      <c r="AC221" s="770"/>
      <c r="AD221" s="770"/>
      <c r="AE221" s="770"/>
      <c r="AF221" s="770"/>
      <c r="AG221" s="770"/>
      <c r="AH221" s="770"/>
      <c r="AI221" s="770"/>
      <c r="AJ221" s="770"/>
      <c r="AK221" s="770"/>
      <c r="AL221" s="770"/>
      <c r="AM221" s="770"/>
      <c r="AN221" s="770"/>
      <c r="AO221" s="770"/>
      <c r="AP221" s="770"/>
      <c r="AQ221" s="770"/>
      <c r="AR221" s="770"/>
      <c r="AS221" s="770"/>
      <c r="AT221" s="770"/>
      <c r="AU221" s="770"/>
      <c r="AV221" s="770"/>
      <c r="AW221" s="770"/>
      <c r="AX221" s="770"/>
      <c r="AY221" s="770"/>
      <c r="AZ221" s="770"/>
      <c r="BA221" s="770"/>
      <c r="BB221" s="770"/>
      <c r="BC221" s="770"/>
      <c r="BD221" s="770"/>
      <c r="BE221" s="770"/>
      <c r="BF221" s="770"/>
      <c r="BG221" s="770"/>
      <c r="BH221" s="770"/>
      <c r="BI221" s="770"/>
      <c r="BJ221" s="770"/>
      <c r="BK221" s="770"/>
      <c r="BL221" s="770"/>
      <c r="BM221" s="770"/>
      <c r="BN221" s="770"/>
      <c r="BO221" s="770"/>
      <c r="BP221" s="770"/>
      <c r="BQ221" s="770"/>
      <c r="BR221" s="770"/>
      <c r="BS221" s="770"/>
      <c r="BT221" s="770"/>
      <c r="BU221" s="770"/>
      <c r="BV221" s="770"/>
      <c r="BW221" s="770"/>
      <c r="BX221" s="770"/>
      <c r="BY221" s="770"/>
      <c r="BZ221" s="770"/>
      <c r="CA221" s="770"/>
      <c r="CB221" s="770"/>
    </row>
    <row r="222" spans="1:80">
      <c r="A222" s="770"/>
      <c r="B222" s="770"/>
      <c r="C222" s="770"/>
      <c r="D222" s="770"/>
      <c r="E222" s="770"/>
      <c r="F222" s="770"/>
      <c r="G222" s="770"/>
      <c r="H222" s="770"/>
      <c r="I222" s="770"/>
      <c r="J222" s="770"/>
      <c r="K222" s="770"/>
      <c r="L222" s="876"/>
      <c r="M222" s="770"/>
      <c r="N222" s="770"/>
      <c r="O222" s="770"/>
      <c r="P222" s="770"/>
      <c r="Q222" s="770"/>
      <c r="R222" s="770"/>
      <c r="S222" s="770"/>
      <c r="T222" s="770"/>
      <c r="U222" s="770"/>
      <c r="V222" s="770"/>
      <c r="W222" s="770"/>
      <c r="X222" s="770"/>
      <c r="Y222" s="770"/>
      <c r="Z222" s="770"/>
      <c r="AA222" s="770"/>
      <c r="AB222" s="770"/>
      <c r="AC222" s="770"/>
      <c r="AD222" s="770"/>
      <c r="AE222" s="770"/>
      <c r="AF222" s="770"/>
      <c r="AG222" s="770"/>
      <c r="AH222" s="770"/>
      <c r="AI222" s="770"/>
      <c r="AJ222" s="770"/>
      <c r="AK222" s="770"/>
      <c r="AL222" s="770"/>
      <c r="AM222" s="770"/>
      <c r="AN222" s="770"/>
      <c r="AO222" s="770"/>
      <c r="AP222" s="770"/>
      <c r="AQ222" s="770"/>
      <c r="AR222" s="770"/>
      <c r="AS222" s="770"/>
      <c r="AT222" s="770"/>
      <c r="AU222" s="770"/>
      <c r="AV222" s="770"/>
      <c r="AW222" s="770"/>
      <c r="AX222" s="770"/>
      <c r="AY222" s="770"/>
      <c r="AZ222" s="770"/>
      <c r="BA222" s="770"/>
      <c r="BB222" s="770"/>
      <c r="BC222" s="770"/>
      <c r="BD222" s="770"/>
      <c r="BE222" s="770"/>
      <c r="BF222" s="770"/>
      <c r="BG222" s="770"/>
      <c r="BH222" s="770"/>
      <c r="BI222" s="770"/>
      <c r="BJ222" s="770"/>
      <c r="BK222" s="770"/>
      <c r="BL222" s="770"/>
      <c r="BM222" s="770"/>
      <c r="BN222" s="770"/>
      <c r="BO222" s="770"/>
      <c r="BP222" s="770"/>
      <c r="BQ222" s="770"/>
      <c r="BR222" s="770"/>
      <c r="BS222" s="770"/>
      <c r="BT222" s="770"/>
      <c r="BU222" s="770"/>
      <c r="BV222" s="770"/>
      <c r="BW222" s="770"/>
      <c r="BX222" s="770"/>
      <c r="BY222" s="770"/>
      <c r="BZ222" s="770"/>
      <c r="CA222" s="770"/>
      <c r="CB222" s="770"/>
    </row>
    <row r="223" spans="1:80">
      <c r="A223" s="770"/>
      <c r="B223" s="770"/>
      <c r="C223" s="770"/>
      <c r="D223" s="770"/>
      <c r="E223" s="770"/>
      <c r="F223" s="770"/>
      <c r="G223" s="770"/>
      <c r="H223" s="770"/>
      <c r="I223" s="770"/>
      <c r="J223" s="770"/>
      <c r="K223" s="770"/>
      <c r="L223" s="876"/>
      <c r="M223" s="770"/>
      <c r="N223" s="770"/>
      <c r="O223" s="770"/>
      <c r="P223" s="770"/>
      <c r="Q223" s="770"/>
      <c r="R223" s="770"/>
      <c r="S223" s="770"/>
      <c r="T223" s="770"/>
      <c r="U223" s="770"/>
      <c r="V223" s="770"/>
      <c r="W223" s="770"/>
      <c r="X223" s="770"/>
      <c r="Y223" s="770"/>
      <c r="Z223" s="770"/>
      <c r="AA223" s="770"/>
      <c r="AB223" s="770"/>
      <c r="AC223" s="770"/>
      <c r="AD223" s="770"/>
      <c r="AE223" s="770"/>
      <c r="AF223" s="770"/>
      <c r="AG223" s="770"/>
      <c r="AH223" s="770"/>
      <c r="AI223" s="770"/>
      <c r="AJ223" s="770"/>
      <c r="AK223" s="770"/>
      <c r="AL223" s="770"/>
      <c r="AM223" s="770"/>
      <c r="AN223" s="770"/>
      <c r="AO223" s="770"/>
      <c r="AP223" s="770"/>
      <c r="AQ223" s="770"/>
      <c r="AR223" s="770"/>
      <c r="AS223" s="770"/>
      <c r="AT223" s="770"/>
      <c r="AU223" s="770"/>
      <c r="AV223" s="770"/>
      <c r="AW223" s="770"/>
      <c r="AX223" s="770"/>
      <c r="AY223" s="770"/>
      <c r="AZ223" s="770"/>
      <c r="BA223" s="770"/>
      <c r="BB223" s="770"/>
      <c r="BC223" s="770"/>
      <c r="BD223" s="770"/>
      <c r="BE223" s="770"/>
      <c r="BF223" s="770"/>
      <c r="BG223" s="770"/>
      <c r="BH223" s="770"/>
      <c r="BI223" s="770"/>
      <c r="BJ223" s="770"/>
      <c r="BK223" s="770"/>
      <c r="BL223" s="770"/>
      <c r="BM223" s="770"/>
      <c r="BN223" s="770"/>
      <c r="BO223" s="770"/>
      <c r="BP223" s="770"/>
      <c r="BQ223" s="770"/>
      <c r="BR223" s="770"/>
      <c r="BS223" s="770"/>
      <c r="BT223" s="770"/>
      <c r="BU223" s="770"/>
      <c r="BV223" s="770"/>
      <c r="BW223" s="770"/>
      <c r="BX223" s="770"/>
      <c r="BY223" s="770"/>
      <c r="BZ223" s="770"/>
      <c r="CA223" s="770"/>
      <c r="CB223" s="770"/>
    </row>
    <row r="224" spans="1:80">
      <c r="A224" s="879"/>
    </row>
    <row r="225" spans="1:1">
      <c r="A225" s="879"/>
    </row>
    <row r="226" spans="1:1">
      <c r="A226" s="879"/>
    </row>
    <row r="227" spans="1:1">
      <c r="A227" s="879"/>
    </row>
    <row r="228" spans="1:1">
      <c r="A228" s="879"/>
    </row>
    <row r="229" spans="1:1">
      <c r="A229" s="879"/>
    </row>
    <row r="230" spans="1:1">
      <c r="A230" s="879"/>
    </row>
    <row r="231" spans="1:1">
      <c r="A231" s="879"/>
    </row>
    <row r="232" spans="1:1">
      <c r="A232" s="879"/>
    </row>
    <row r="233" spans="1:1">
      <c r="A233" s="879"/>
    </row>
    <row r="234" spans="1:1">
      <c r="A234" s="879"/>
    </row>
    <row r="235" spans="1:1">
      <c r="A235" s="879"/>
    </row>
    <row r="236" spans="1:1">
      <c r="A236" s="879"/>
    </row>
    <row r="237" spans="1:1">
      <c r="A237" s="879"/>
    </row>
    <row r="238" spans="1:1">
      <c r="A238" s="879"/>
    </row>
    <row r="239" spans="1:1">
      <c r="A239" s="879"/>
    </row>
    <row r="240" spans="1:1">
      <c r="A240" s="879"/>
    </row>
    <row r="241" spans="1:1">
      <c r="A241" s="879"/>
    </row>
    <row r="242" spans="1:1">
      <c r="A242" s="879"/>
    </row>
    <row r="243" spans="1:1">
      <c r="A243" s="879"/>
    </row>
    <row r="244" spans="1:1">
      <c r="A244" s="879"/>
    </row>
    <row r="245" spans="1:1">
      <c r="A245" s="879"/>
    </row>
    <row r="246" spans="1:1">
      <c r="A246" s="879"/>
    </row>
    <row r="247" spans="1:1">
      <c r="A247" s="879"/>
    </row>
    <row r="248" spans="1:1">
      <c r="A248" s="879"/>
    </row>
    <row r="249" spans="1:1">
      <c r="A249" s="879"/>
    </row>
    <row r="250" spans="1:1">
      <c r="A250" s="879"/>
    </row>
    <row r="251" spans="1:1">
      <c r="A251" s="879"/>
    </row>
    <row r="252" spans="1:1">
      <c r="A252" s="879"/>
    </row>
    <row r="253" spans="1:1">
      <c r="A253" s="879"/>
    </row>
    <row r="254" spans="1:1">
      <c r="A254" s="879"/>
    </row>
    <row r="255" spans="1:1">
      <c r="A255" s="879"/>
    </row>
    <row r="256" spans="1:1">
      <c r="A256" s="879"/>
    </row>
    <row r="257" spans="1:1">
      <c r="A257" s="879"/>
    </row>
    <row r="258" spans="1:1">
      <c r="A258" s="879"/>
    </row>
    <row r="259" spans="1:1">
      <c r="A259" s="879"/>
    </row>
    <row r="260" spans="1:1">
      <c r="A260" s="879"/>
    </row>
    <row r="261" spans="1:1">
      <c r="A261" s="879"/>
    </row>
    <row r="262" spans="1:1">
      <c r="A262" s="879"/>
    </row>
    <row r="263" spans="1:1">
      <c r="A263" s="879"/>
    </row>
    <row r="264" spans="1:1">
      <c r="A264" s="879"/>
    </row>
    <row r="265" spans="1:1">
      <c r="A265" s="879"/>
    </row>
    <row r="266" spans="1:1">
      <c r="A266" s="879"/>
    </row>
    <row r="267" spans="1:1">
      <c r="A267" s="879"/>
    </row>
    <row r="268" spans="1:1">
      <c r="A268" s="879"/>
    </row>
    <row r="269" spans="1:1">
      <c r="A269" s="879"/>
    </row>
    <row r="270" spans="1:1">
      <c r="A270" s="879"/>
    </row>
    <row r="271" spans="1:1">
      <c r="A271" s="879"/>
    </row>
    <row r="272" spans="1:1">
      <c r="A272" s="879"/>
    </row>
    <row r="273" spans="1:1">
      <c r="A273" s="879"/>
    </row>
    <row r="274" spans="1:1">
      <c r="A274" s="879"/>
    </row>
    <row r="275" spans="1:1">
      <c r="A275" s="879"/>
    </row>
    <row r="276" spans="1:1">
      <c r="A276" s="879"/>
    </row>
    <row r="277" spans="1:1">
      <c r="A277" s="879"/>
    </row>
    <row r="278" spans="1:1">
      <c r="A278" s="879"/>
    </row>
    <row r="279" spans="1:1">
      <c r="A279" s="879"/>
    </row>
    <row r="280" spans="1:1">
      <c r="A280" s="879"/>
    </row>
    <row r="281" spans="1:1">
      <c r="A281" s="879"/>
    </row>
    <row r="282" spans="1:1">
      <c r="A282" s="879"/>
    </row>
    <row r="283" spans="1:1">
      <c r="A283" s="879"/>
    </row>
    <row r="284" spans="1:1">
      <c r="A284" s="879"/>
    </row>
    <row r="285" spans="1:1">
      <c r="A285" s="879"/>
    </row>
    <row r="286" spans="1:1">
      <c r="A286" s="879"/>
    </row>
    <row r="287" spans="1:1">
      <c r="A287" s="879"/>
    </row>
    <row r="288" spans="1:1">
      <c r="A288" s="879"/>
    </row>
    <row r="289" spans="1:1">
      <c r="A289" s="879"/>
    </row>
    <row r="290" spans="1:1">
      <c r="A290" s="879"/>
    </row>
    <row r="291" spans="1:1">
      <c r="A291" s="879"/>
    </row>
    <row r="292" spans="1:1">
      <c r="A292" s="879"/>
    </row>
    <row r="293" spans="1:1">
      <c r="A293" s="879"/>
    </row>
    <row r="294" spans="1:1">
      <c r="A294" s="879"/>
    </row>
    <row r="295" spans="1:1">
      <c r="A295" s="879"/>
    </row>
    <row r="296" spans="1:1">
      <c r="A296" s="879"/>
    </row>
    <row r="297" spans="1:1">
      <c r="A297" s="879"/>
    </row>
    <row r="298" spans="1:1">
      <c r="A298" s="879"/>
    </row>
    <row r="299" spans="1:1">
      <c r="A299" s="879"/>
    </row>
    <row r="300" spans="1:1">
      <c r="A300" s="879"/>
    </row>
    <row r="301" spans="1:1">
      <c r="A301" s="879"/>
    </row>
    <row r="302" spans="1:1">
      <c r="A302" s="879"/>
    </row>
    <row r="303" spans="1:1">
      <c r="A303" s="879"/>
    </row>
    <row r="304" spans="1:1">
      <c r="A304" s="879"/>
    </row>
    <row r="305" spans="1:1">
      <c r="A305" s="879"/>
    </row>
    <row r="306" spans="1:1">
      <c r="A306" s="879"/>
    </row>
    <row r="307" spans="1:1">
      <c r="A307" s="879"/>
    </row>
    <row r="308" spans="1:1">
      <c r="A308" s="879"/>
    </row>
    <row r="309" spans="1:1">
      <c r="A309" s="879"/>
    </row>
    <row r="310" spans="1:1">
      <c r="A310" s="879"/>
    </row>
    <row r="311" spans="1:1">
      <c r="A311" s="879"/>
    </row>
    <row r="312" spans="1:1">
      <c r="A312" s="879"/>
    </row>
    <row r="313" spans="1:1">
      <c r="A313" s="879"/>
    </row>
  </sheetData>
  <sheetProtection sheet="1" objects="1" scenarios="1"/>
  <protectedRanges>
    <protectedRange sqref="N60:Q60" name="Range1"/>
    <protectedRange sqref="S60 R61" name="Range1_1"/>
  </protectedRanges>
  <mergeCells count="63">
    <mergeCell ref="S60:U60"/>
    <mergeCell ref="J51:K51"/>
    <mergeCell ref="D53:G53"/>
    <mergeCell ref="D40:I40"/>
    <mergeCell ref="D42:I42"/>
    <mergeCell ref="B2:L2"/>
    <mergeCell ref="J21:K21"/>
    <mergeCell ref="B5:L5"/>
    <mergeCell ref="M12:O12"/>
    <mergeCell ref="H8:I8"/>
    <mergeCell ref="J10:K10"/>
    <mergeCell ref="F8:G8"/>
    <mergeCell ref="B6:C6"/>
    <mergeCell ref="B4:E4"/>
    <mergeCell ref="I6:L6"/>
    <mergeCell ref="G4:H4"/>
    <mergeCell ref="D45:I45"/>
    <mergeCell ref="J23:K23"/>
    <mergeCell ref="D7:G7"/>
    <mergeCell ref="D55:G55"/>
    <mergeCell ref="I78:L78"/>
    <mergeCell ref="N52:O52"/>
    <mergeCell ref="D11:I11"/>
    <mergeCell ref="J8:K8"/>
    <mergeCell ref="C15:I15"/>
    <mergeCell ref="G38:I38"/>
    <mergeCell ref="C24:D24"/>
    <mergeCell ref="C26:I26"/>
    <mergeCell ref="D18:I18"/>
    <mergeCell ref="D13:I13"/>
    <mergeCell ref="B78:G78"/>
    <mergeCell ref="J22:K22"/>
    <mergeCell ref="J24:K24"/>
    <mergeCell ref="C34:I34"/>
    <mergeCell ref="D41:I41"/>
    <mergeCell ref="J9:K9"/>
    <mergeCell ref="B74:L75"/>
    <mergeCell ref="B77:L77"/>
    <mergeCell ref="J20:K20"/>
    <mergeCell ref="D6:G6"/>
    <mergeCell ref="K4:L4"/>
    <mergeCell ref="C9:I9"/>
    <mergeCell ref="D38:E38"/>
    <mergeCell ref="L67:L69"/>
    <mergeCell ref="D17:I17"/>
    <mergeCell ref="I7:L7"/>
    <mergeCell ref="C10:I10"/>
    <mergeCell ref="D44:I44"/>
    <mergeCell ref="D43:I43"/>
    <mergeCell ref="B73:L73"/>
    <mergeCell ref="B7:C7"/>
    <mergeCell ref="J66:K66"/>
    <mergeCell ref="J67:K69"/>
    <mergeCell ref="C16:I16"/>
    <mergeCell ref="C51:H51"/>
    <mergeCell ref="C36:I36"/>
    <mergeCell ref="C46:H46"/>
    <mergeCell ref="D52:G52"/>
    <mergeCell ref="C50:I50"/>
    <mergeCell ref="C59:I59"/>
    <mergeCell ref="C66:H66"/>
    <mergeCell ref="C35:I35"/>
    <mergeCell ref="C63:H63"/>
  </mergeCells>
  <printOptions horizontalCentered="1" verticalCentered="1"/>
  <pageMargins left="0.2" right="0.1" top="0.16" bottom="0.24" header="0.1" footer="0.1"/>
  <pageSetup paperSize="9" scale="90"/>
  <headerFooter alignWithMargins="0"/>
  <drawing r:id="rId1"/>
  <legacyDrawing r:id="rId2"/>
</worksheet>
</file>

<file path=xl/worksheets/sheet5.xml><?xml version="1.0" encoding="utf-8"?>
<worksheet xmlns="http://schemas.openxmlformats.org/spreadsheetml/2006/main" xmlns:r="http://schemas.openxmlformats.org/officeDocument/2006/relationships">
  <sheetPr>
    <tabColor rgb="FF1F4A7E"/>
  </sheetPr>
  <dimension ref="A1:AZ157"/>
  <sheetViews>
    <sheetView showGridLines="0" showRowColHeaders="0" workbookViewId="0">
      <selection activeCell="Q8" sqref="Q8"/>
    </sheetView>
  </sheetViews>
  <sheetFormatPr defaultColWidth="10.140625" defaultRowHeight="15"/>
  <cols>
    <col min="1" max="1" width="4.85546875" style="1080" customWidth="1"/>
    <col min="2" max="2" width="4.7109375" style="1080" customWidth="1"/>
    <col min="3" max="3" width="6.5703125" style="1080" customWidth="1"/>
    <col min="4" max="4" width="15" style="1080" customWidth="1"/>
    <col min="5" max="5" width="16.85546875" style="1080" customWidth="1"/>
    <col min="6" max="6" width="13.42578125" style="1080" customWidth="1"/>
    <col min="7" max="7" width="3.140625" style="1080" customWidth="1"/>
    <col min="8" max="8" width="12.5703125" style="1080" customWidth="1"/>
    <col min="9" max="9" width="3.5703125" style="1080" customWidth="1"/>
    <col min="10" max="10" width="11.42578125" style="1080" customWidth="1"/>
    <col min="11" max="11" width="3.5703125" style="1080" customWidth="1"/>
    <col min="12" max="12" width="15.140625" style="1080" customWidth="1"/>
    <col min="13" max="16384" width="10.140625" style="1080"/>
  </cols>
  <sheetData>
    <row r="1" spans="1:52">
      <c r="A1" s="1081"/>
      <c r="B1" s="1081"/>
      <c r="C1" s="1081"/>
      <c r="D1" s="1081"/>
      <c r="E1" s="1081"/>
      <c r="F1" s="1081"/>
      <c r="G1" s="1081"/>
      <c r="H1" s="1081"/>
      <c r="I1" s="1081"/>
      <c r="J1" s="1081"/>
      <c r="K1" s="1081"/>
      <c r="L1" s="1081"/>
      <c r="M1" s="1081"/>
      <c r="N1" s="1081"/>
      <c r="O1" s="1081"/>
      <c r="P1" s="1081"/>
      <c r="Q1" s="1081"/>
      <c r="R1" s="1081"/>
      <c r="S1" s="1081"/>
      <c r="T1" s="1081"/>
      <c r="U1" s="1081"/>
      <c r="V1" s="1081"/>
      <c r="W1" s="1081"/>
      <c r="X1" s="1081"/>
      <c r="Y1" s="1081"/>
      <c r="Z1" s="1081"/>
      <c r="AA1" s="1081"/>
      <c r="AB1" s="1081"/>
      <c r="AC1" s="1081"/>
      <c r="AD1" s="1081"/>
      <c r="AE1" s="1082"/>
      <c r="AF1" s="1082"/>
      <c r="AG1" s="1082"/>
      <c r="AH1" s="1082"/>
      <c r="AI1" s="1082"/>
      <c r="AJ1" s="1082"/>
      <c r="AK1" s="1082"/>
      <c r="AL1" s="1082"/>
      <c r="AM1" s="1082"/>
      <c r="AN1" s="1082"/>
      <c r="AO1" s="1082"/>
      <c r="AP1" s="1082"/>
      <c r="AQ1" s="1082"/>
      <c r="AR1" s="1082"/>
      <c r="AS1" s="1082"/>
      <c r="AT1" s="1082"/>
      <c r="AU1" s="1082"/>
      <c r="AV1" s="1082"/>
      <c r="AW1" s="1082"/>
      <c r="AX1" s="1082"/>
      <c r="AY1" s="1082"/>
      <c r="AZ1" s="1082"/>
    </row>
    <row r="2" spans="1:52" ht="21.75" customHeight="1">
      <c r="A2" s="1081"/>
      <c r="B2" s="2161" t="str">
        <f>IF(DATA!AH49=1,"FORM No. 16 - New Regime","FORM No. 16 - Old Regime")</f>
        <v>FORM No. 16 - Old Regime</v>
      </c>
      <c r="C2" s="2162"/>
      <c r="D2" s="2162"/>
      <c r="E2" s="2162"/>
      <c r="F2" s="2162"/>
      <c r="G2" s="2162"/>
      <c r="H2" s="2162"/>
      <c r="I2" s="2162"/>
      <c r="J2" s="2162"/>
      <c r="K2" s="2162"/>
      <c r="L2" s="2163"/>
      <c r="M2" s="1083"/>
      <c r="N2" s="1083"/>
      <c r="O2" s="1083"/>
      <c r="P2" s="1083"/>
      <c r="Q2" s="1083"/>
      <c r="R2" s="1083"/>
      <c r="S2" s="1083"/>
      <c r="T2" s="1083"/>
      <c r="U2" s="1083"/>
      <c r="V2" s="1083"/>
      <c r="W2" s="1083"/>
      <c r="X2" s="1083"/>
      <c r="Y2" s="1081"/>
      <c r="Z2" s="1081"/>
      <c r="AA2" s="1081"/>
      <c r="AB2" s="1081"/>
      <c r="AC2" s="1081"/>
      <c r="AD2" s="1081"/>
      <c r="AE2" s="1082"/>
      <c r="AF2" s="1082"/>
      <c r="AG2" s="1082"/>
      <c r="AH2" s="1082"/>
      <c r="AI2" s="1082"/>
      <c r="AJ2" s="1082"/>
      <c r="AK2" s="1082"/>
      <c r="AL2" s="1082"/>
      <c r="AM2" s="1082"/>
      <c r="AN2" s="1082"/>
      <c r="AO2" s="1082"/>
      <c r="AP2" s="1082"/>
      <c r="AQ2" s="1082"/>
      <c r="AR2" s="1082"/>
      <c r="AS2" s="1082"/>
      <c r="AT2" s="1082"/>
      <c r="AU2" s="1082"/>
      <c r="AV2" s="1082"/>
      <c r="AW2" s="1082"/>
      <c r="AX2" s="1082"/>
      <c r="AY2" s="1082"/>
      <c r="AZ2" s="1082"/>
    </row>
    <row r="3" spans="1:52" ht="15" customHeight="1">
      <c r="A3" s="1081"/>
      <c r="B3" s="2168" t="s">
        <v>857</v>
      </c>
      <c r="C3" s="2169"/>
      <c r="D3" s="2169"/>
      <c r="E3" s="2169"/>
      <c r="F3" s="2169"/>
      <c r="G3" s="2169"/>
      <c r="H3" s="2169"/>
      <c r="I3" s="2169"/>
      <c r="J3" s="2169"/>
      <c r="K3" s="2169"/>
      <c r="L3" s="2170"/>
      <c r="M3" s="1083"/>
      <c r="N3" s="1083"/>
      <c r="O3" s="1083"/>
      <c r="P3" s="1083"/>
      <c r="Q3" s="1083"/>
      <c r="R3" s="1083"/>
      <c r="S3" s="1083"/>
      <c r="T3" s="1083"/>
      <c r="U3" s="1083"/>
      <c r="V3" s="1083"/>
      <c r="W3" s="1083"/>
      <c r="X3" s="1083"/>
      <c r="Y3" s="1081"/>
      <c r="Z3" s="1081"/>
      <c r="AA3" s="1081"/>
      <c r="AB3" s="1081"/>
      <c r="AC3" s="1081"/>
      <c r="AD3" s="1081"/>
      <c r="AE3" s="1082"/>
      <c r="AF3" s="1082"/>
      <c r="AG3" s="1082"/>
      <c r="AH3" s="1082"/>
      <c r="AI3" s="1082"/>
      <c r="AJ3" s="1082"/>
      <c r="AK3" s="1082"/>
      <c r="AL3" s="1082"/>
      <c r="AM3" s="1082"/>
      <c r="AN3" s="1082"/>
      <c r="AO3" s="1082"/>
      <c r="AP3" s="1082"/>
      <c r="AQ3" s="1082"/>
      <c r="AR3" s="1082"/>
      <c r="AS3" s="1082"/>
      <c r="AT3" s="1082"/>
      <c r="AU3" s="1082"/>
      <c r="AV3" s="1082"/>
      <c r="AW3" s="1082"/>
      <c r="AX3" s="1082"/>
      <c r="AY3" s="1082"/>
      <c r="AZ3" s="1082"/>
    </row>
    <row r="4" spans="1:52">
      <c r="A4" s="1081"/>
      <c r="B4" s="2165" t="s">
        <v>286</v>
      </c>
      <c r="C4" s="2166"/>
      <c r="D4" s="2166"/>
      <c r="E4" s="2166"/>
      <c r="F4" s="2166"/>
      <c r="G4" s="2166"/>
      <c r="H4" s="2166"/>
      <c r="I4" s="2166"/>
      <c r="J4" s="2166"/>
      <c r="K4" s="2166"/>
      <c r="L4" s="2167"/>
      <c r="M4" s="1083"/>
      <c r="N4" s="1083"/>
      <c r="O4" s="1083"/>
      <c r="P4" s="1083"/>
      <c r="Q4" s="1083"/>
      <c r="R4" s="1083"/>
      <c r="S4" s="1083"/>
      <c r="T4" s="1083"/>
      <c r="U4" s="1083"/>
      <c r="V4" s="1083"/>
      <c r="W4" s="1083"/>
      <c r="X4" s="1083"/>
      <c r="Y4" s="1081"/>
      <c r="Z4" s="1081"/>
      <c r="AA4" s="1081"/>
      <c r="AB4" s="1081"/>
      <c r="AC4" s="1081"/>
      <c r="AD4" s="1081"/>
      <c r="AE4" s="1082"/>
      <c r="AF4" s="1082"/>
      <c r="AG4" s="1082"/>
      <c r="AH4" s="1082"/>
      <c r="AI4" s="1082"/>
      <c r="AJ4" s="1082"/>
      <c r="AK4" s="1082"/>
      <c r="AL4" s="1082"/>
      <c r="AM4" s="1082"/>
      <c r="AN4" s="1082"/>
      <c r="AO4" s="1082"/>
      <c r="AP4" s="1082"/>
      <c r="AQ4" s="1082"/>
      <c r="AR4" s="1082"/>
      <c r="AS4" s="1082"/>
      <c r="AT4" s="1082"/>
      <c r="AU4" s="1082"/>
      <c r="AV4" s="1082"/>
      <c r="AW4" s="1082"/>
      <c r="AX4" s="1082"/>
      <c r="AY4" s="1082"/>
      <c r="AZ4" s="1082"/>
    </row>
    <row r="5" spans="1:52">
      <c r="A5" s="1081"/>
      <c r="B5" s="2182" t="s">
        <v>287</v>
      </c>
      <c r="C5" s="2182"/>
      <c r="D5" s="2182"/>
      <c r="E5" s="2182"/>
      <c r="F5" s="2182"/>
      <c r="G5" s="2183" t="s">
        <v>288</v>
      </c>
      <c r="H5" s="2183"/>
      <c r="I5" s="2183"/>
      <c r="J5" s="2183"/>
      <c r="K5" s="2183"/>
      <c r="L5" s="2183"/>
      <c r="M5" s="1083"/>
      <c r="N5" s="1083"/>
      <c r="O5" s="1083"/>
      <c r="P5" s="1083"/>
      <c r="Q5" s="1083"/>
      <c r="R5" s="1083"/>
      <c r="S5" s="1083"/>
      <c r="T5" s="1083"/>
      <c r="U5" s="1083"/>
      <c r="V5" s="1083"/>
      <c r="W5" s="1083"/>
      <c r="X5" s="1083"/>
      <c r="Y5" s="1081"/>
      <c r="Z5" s="1081"/>
      <c r="AA5" s="1081"/>
      <c r="AB5" s="1081"/>
      <c r="AC5" s="1081"/>
      <c r="AD5" s="1081"/>
      <c r="AE5" s="1082"/>
      <c r="AF5" s="1082"/>
      <c r="AG5" s="1082"/>
      <c r="AH5" s="1082"/>
      <c r="AI5" s="1082"/>
      <c r="AJ5" s="1082"/>
      <c r="AK5" s="1082"/>
      <c r="AL5" s="1082"/>
      <c r="AM5" s="1082"/>
      <c r="AN5" s="1082"/>
      <c r="AO5" s="1082"/>
      <c r="AP5" s="1082"/>
      <c r="AQ5" s="1082"/>
      <c r="AR5" s="1082"/>
      <c r="AS5" s="1082"/>
      <c r="AT5" s="1082"/>
      <c r="AU5" s="1082"/>
      <c r="AV5" s="1082"/>
      <c r="AW5" s="1082"/>
      <c r="AX5" s="1082"/>
      <c r="AY5" s="1082"/>
      <c r="AZ5" s="1082"/>
    </row>
    <row r="6" spans="1:52" s="1084" customFormat="1" ht="15" customHeight="1">
      <c r="A6" s="1085"/>
      <c r="B6" s="2149" t="str">
        <f>CONCATENATE("Sri./Smt. "," ",DATA!E19)</f>
        <v>Sri./Smt.  N.C.Subbarayudu</v>
      </c>
      <c r="C6" s="2149"/>
      <c r="D6" s="2149"/>
      <c r="E6" s="2149"/>
      <c r="F6" s="2149"/>
      <c r="G6" s="2148" t="str">
        <f>CONCATENATE(DATA!BN172,"  ",DATA!E10)</f>
        <v>Sri.  A.Nagesh</v>
      </c>
      <c r="H6" s="2148"/>
      <c r="I6" s="2148"/>
      <c r="J6" s="2148"/>
      <c r="K6" s="2148"/>
      <c r="L6" s="2148"/>
      <c r="M6" s="1086"/>
      <c r="N6" s="1086"/>
      <c r="O6" s="1086"/>
      <c r="P6" s="1086"/>
      <c r="Q6" s="1086"/>
      <c r="R6" s="1086"/>
      <c r="S6" s="1086"/>
      <c r="T6" s="1086"/>
      <c r="U6" s="1086"/>
      <c r="V6" s="1086"/>
      <c r="W6" s="1086"/>
      <c r="X6" s="1086"/>
      <c r="Y6" s="1085"/>
      <c r="Z6" s="1085"/>
      <c r="AA6" s="1085"/>
      <c r="AB6" s="1085"/>
      <c r="AC6" s="1085"/>
      <c r="AD6" s="1085"/>
      <c r="AE6" s="1087"/>
      <c r="AF6" s="1087"/>
      <c r="AG6" s="1087"/>
      <c r="AH6" s="1087"/>
      <c r="AI6" s="1087"/>
      <c r="AJ6" s="1087"/>
      <c r="AK6" s="1087"/>
      <c r="AL6" s="1087"/>
      <c r="AM6" s="1087"/>
      <c r="AN6" s="1087"/>
      <c r="AO6" s="1087"/>
      <c r="AP6" s="1087"/>
      <c r="AQ6" s="1087"/>
      <c r="AR6" s="1087"/>
      <c r="AS6" s="1087"/>
      <c r="AT6" s="1087"/>
      <c r="AU6" s="1087"/>
      <c r="AV6" s="1087"/>
      <c r="AW6" s="1087"/>
      <c r="AX6" s="1087"/>
      <c r="AY6" s="1087"/>
      <c r="AZ6" s="1087"/>
    </row>
    <row r="7" spans="1:52" s="1084" customFormat="1" ht="15" customHeight="1">
      <c r="A7" s="1085"/>
      <c r="B7" s="2149" t="str">
        <f>DATA!E20</f>
        <v>Executive Engineer,TGP Division No.1</v>
      </c>
      <c r="C7" s="2149"/>
      <c r="D7" s="2149"/>
      <c r="E7" s="2149"/>
      <c r="F7" s="2149"/>
      <c r="G7" s="2148" t="str">
        <f>DATA!CD169</f>
        <v>Deputy Executive Engineer</v>
      </c>
      <c r="H7" s="2148"/>
      <c r="I7" s="2148"/>
      <c r="J7" s="2148"/>
      <c r="K7" s="2148"/>
      <c r="L7" s="2148"/>
      <c r="M7" s="1086"/>
      <c r="N7" s="1086"/>
      <c r="O7" s="1086"/>
      <c r="P7" s="1086"/>
      <c r="Q7" s="1086"/>
      <c r="R7" s="1086"/>
      <c r="S7" s="1086"/>
      <c r="T7" s="1086"/>
      <c r="U7" s="1086"/>
      <c r="V7" s="1086"/>
      <c r="W7" s="1086"/>
      <c r="X7" s="1086"/>
      <c r="Y7" s="1085"/>
      <c r="Z7" s="1085"/>
      <c r="AA7" s="1085"/>
      <c r="AB7" s="1085"/>
      <c r="AC7" s="1085"/>
      <c r="AD7" s="1085"/>
      <c r="AE7" s="1087"/>
      <c r="AF7" s="1087"/>
      <c r="AG7" s="1087"/>
      <c r="AH7" s="1087"/>
      <c r="AI7" s="1087"/>
      <c r="AJ7" s="1087"/>
      <c r="AK7" s="1087"/>
      <c r="AL7" s="1087"/>
      <c r="AM7" s="1087"/>
      <c r="AN7" s="1087"/>
      <c r="AO7" s="1087"/>
      <c r="AP7" s="1087"/>
      <c r="AQ7" s="1087"/>
      <c r="AR7" s="1087"/>
      <c r="AS7" s="1087"/>
      <c r="AT7" s="1087"/>
      <c r="AU7" s="1087"/>
      <c r="AV7" s="1087"/>
      <c r="AW7" s="1087"/>
      <c r="AX7" s="1087"/>
      <c r="AY7" s="1087"/>
      <c r="AZ7" s="1087"/>
    </row>
    <row r="8" spans="1:52" s="1084" customFormat="1" ht="15" customHeight="1">
      <c r="A8" s="1085"/>
      <c r="B8" s="2149" t="str">
        <f>DATA!E21</f>
        <v>Velgode</v>
      </c>
      <c r="C8" s="2149"/>
      <c r="D8" s="2149"/>
      <c r="E8" s="2149"/>
      <c r="F8" s="2149"/>
      <c r="G8" s="2148" t="str">
        <f>CONCATENATE(DATA!E13,",  ",DATA!E14)</f>
        <v>Executive Engineer,TGP Division No.1,  Velgode</v>
      </c>
      <c r="H8" s="2148"/>
      <c r="I8" s="2148"/>
      <c r="J8" s="2148"/>
      <c r="K8" s="2148"/>
      <c r="L8" s="2148"/>
      <c r="M8" s="1086"/>
      <c r="N8" s="1086"/>
      <c r="O8" s="1086"/>
      <c r="P8" s="1086"/>
      <c r="Q8" s="1086"/>
      <c r="R8" s="1086"/>
      <c r="S8" s="1086"/>
      <c r="T8" s="1086"/>
      <c r="U8" s="1086"/>
      <c r="V8" s="1086"/>
      <c r="W8" s="1086"/>
      <c r="X8" s="1086"/>
      <c r="Y8" s="1085"/>
      <c r="Z8" s="1085"/>
      <c r="AA8" s="1085"/>
      <c r="AB8" s="1085"/>
      <c r="AC8" s="1085"/>
      <c r="AD8" s="1085"/>
      <c r="AE8" s="1087"/>
      <c r="AF8" s="1087"/>
      <c r="AG8" s="1087"/>
      <c r="AH8" s="1087"/>
      <c r="AI8" s="1087"/>
      <c r="AJ8" s="1087"/>
      <c r="AK8" s="1087"/>
      <c r="AL8" s="1087"/>
      <c r="AM8" s="1087"/>
      <c r="AN8" s="1087"/>
      <c r="AO8" s="1087"/>
      <c r="AP8" s="1087"/>
      <c r="AQ8" s="1087"/>
      <c r="AR8" s="1087"/>
      <c r="AS8" s="1087"/>
      <c r="AT8" s="1087"/>
      <c r="AU8" s="1087"/>
      <c r="AV8" s="1087"/>
      <c r="AW8" s="1087"/>
      <c r="AX8" s="1087"/>
      <c r="AY8" s="1087"/>
      <c r="AZ8" s="1087"/>
    </row>
    <row r="9" spans="1:52" s="1088" customFormat="1" ht="17.45" customHeight="1">
      <c r="A9" s="1089"/>
      <c r="B9" s="2154" t="str">
        <f>CONCATENATE(DATA!E22,"  (","  Mandal",")")</f>
        <v>Velgode  (  Mandal)</v>
      </c>
      <c r="C9" s="2154"/>
      <c r="D9" s="2154"/>
      <c r="E9" s="2154"/>
      <c r="F9" s="2154"/>
      <c r="G9" s="2195" t="str">
        <f>CONCATENATE(DATA!E15," (","Mandal",")")</f>
        <v>Velgode (Mandal)</v>
      </c>
      <c r="H9" s="2195"/>
      <c r="I9" s="2195"/>
      <c r="J9" s="2195"/>
      <c r="K9" s="2195"/>
      <c r="L9" s="2195"/>
      <c r="M9" s="1090"/>
      <c r="N9" s="1090"/>
      <c r="O9" s="1090"/>
      <c r="P9" s="1090"/>
      <c r="Q9" s="1090"/>
      <c r="R9" s="1090"/>
      <c r="S9" s="1090"/>
      <c r="T9" s="1090"/>
      <c r="U9" s="1090"/>
      <c r="V9" s="1090"/>
      <c r="W9" s="1090"/>
      <c r="X9" s="1090"/>
      <c r="Y9" s="1089"/>
      <c r="Z9" s="1089"/>
      <c r="AA9" s="1089"/>
      <c r="AB9" s="1089"/>
      <c r="AC9" s="1089"/>
      <c r="AD9" s="1089"/>
      <c r="AE9" s="1091"/>
      <c r="AF9" s="1091"/>
      <c r="AG9" s="1091"/>
      <c r="AH9" s="1091"/>
      <c r="AI9" s="1091"/>
      <c r="AJ9" s="1091"/>
      <c r="AK9" s="1091"/>
      <c r="AL9" s="1091"/>
      <c r="AM9" s="1091"/>
      <c r="AN9" s="1091"/>
      <c r="AO9" s="1091"/>
      <c r="AP9" s="1091"/>
      <c r="AQ9" s="1091"/>
      <c r="AR9" s="1091"/>
      <c r="AS9" s="1091"/>
      <c r="AT9" s="1091"/>
      <c r="AU9" s="1091"/>
      <c r="AV9" s="1091"/>
      <c r="AW9" s="1091"/>
      <c r="AX9" s="1091"/>
      <c r="AY9" s="1091"/>
      <c r="AZ9" s="1091"/>
    </row>
    <row r="10" spans="1:52">
      <c r="A10" s="1081"/>
      <c r="B10" s="2184" t="s">
        <v>289</v>
      </c>
      <c r="C10" s="2184"/>
      <c r="D10" s="2185"/>
      <c r="E10" s="2155" t="s">
        <v>290</v>
      </c>
      <c r="F10" s="2156"/>
      <c r="G10" s="2188" t="s">
        <v>291</v>
      </c>
      <c r="H10" s="2189"/>
      <c r="I10" s="2189"/>
      <c r="J10" s="2189"/>
      <c r="K10" s="2198" t="s">
        <v>401</v>
      </c>
      <c r="L10" s="2199"/>
      <c r="M10" s="1083"/>
      <c r="N10" s="1083"/>
      <c r="O10" s="1083"/>
      <c r="P10" s="1083"/>
      <c r="Q10" s="1083"/>
      <c r="R10" s="1083"/>
      <c r="S10" s="1083"/>
      <c r="T10" s="1083"/>
      <c r="U10" s="1083"/>
      <c r="V10" s="1083"/>
      <c r="W10" s="1083"/>
      <c r="X10" s="1083"/>
      <c r="Y10" s="1081"/>
      <c r="Z10" s="1081"/>
      <c r="AA10" s="1081"/>
      <c r="AB10" s="1081"/>
      <c r="AC10" s="1081"/>
      <c r="AD10" s="1081"/>
      <c r="AE10" s="1082"/>
      <c r="AF10" s="1082"/>
      <c r="AG10" s="1082"/>
      <c r="AH10" s="1082"/>
      <c r="AI10" s="1082"/>
      <c r="AJ10" s="1082"/>
      <c r="AK10" s="1082"/>
      <c r="AL10" s="1082"/>
      <c r="AM10" s="1082"/>
      <c r="AN10" s="1082"/>
      <c r="AO10" s="1082"/>
      <c r="AP10" s="1082"/>
      <c r="AQ10" s="1082"/>
      <c r="AR10" s="1082"/>
      <c r="AS10" s="1082"/>
      <c r="AT10" s="1082"/>
      <c r="AU10" s="1082"/>
      <c r="AV10" s="1082"/>
      <c r="AW10" s="1082"/>
      <c r="AX10" s="1082"/>
      <c r="AY10" s="1082"/>
      <c r="AZ10" s="1082"/>
    </row>
    <row r="11" spans="1:52">
      <c r="A11" s="1081"/>
      <c r="B11" s="2157" t="str">
        <f>IF(DATA!D23="","",DATA!D23)</f>
        <v/>
      </c>
      <c r="C11" s="2157"/>
      <c r="D11" s="2158"/>
      <c r="E11" s="2178" t="str">
        <f>IF(DATA!F23="","",DATA!F23)</f>
        <v/>
      </c>
      <c r="F11" s="2179"/>
      <c r="G11" s="2196" t="str">
        <f>IF(DATA!E12="","",DATA!E12)</f>
        <v/>
      </c>
      <c r="H11" s="2197"/>
      <c r="I11" s="2197"/>
      <c r="J11" s="2197"/>
      <c r="K11" s="2130" t="str">
        <f>IF(DATA!E18="","",DATA!E18)</f>
        <v/>
      </c>
      <c r="L11" s="2131"/>
      <c r="M11" s="1083"/>
      <c r="N11" s="1083"/>
      <c r="O11" s="1083"/>
      <c r="P11" s="1083"/>
      <c r="Q11" s="1083"/>
      <c r="R11" s="1083"/>
      <c r="S11" s="1083"/>
      <c r="T11" s="1083"/>
      <c r="U11" s="1083"/>
      <c r="V11" s="1083"/>
      <c r="W11" s="1083"/>
      <c r="X11" s="1083"/>
      <c r="Y11" s="1081"/>
      <c r="Z11" s="1081"/>
      <c r="AA11" s="1081"/>
      <c r="AB11" s="1081"/>
      <c r="AC11" s="1081"/>
      <c r="AD11" s="1081"/>
      <c r="AE11" s="1082"/>
      <c r="AF11" s="1082"/>
      <c r="AG11" s="1082"/>
      <c r="AH11" s="1082"/>
      <c r="AI11" s="1082"/>
      <c r="AJ11" s="1082"/>
      <c r="AK11" s="1082"/>
      <c r="AL11" s="1082"/>
      <c r="AM11" s="1082"/>
      <c r="AN11" s="1082"/>
      <c r="AO11" s="1082"/>
      <c r="AP11" s="1082"/>
      <c r="AQ11" s="1082"/>
      <c r="AR11" s="1082"/>
      <c r="AS11" s="1082"/>
      <c r="AT11" s="1082"/>
      <c r="AU11" s="1082"/>
      <c r="AV11" s="1082"/>
      <c r="AW11" s="1082"/>
      <c r="AX11" s="1082"/>
      <c r="AY11" s="1082"/>
      <c r="AZ11" s="1082"/>
    </row>
    <row r="12" spans="1:52">
      <c r="A12" s="1081"/>
      <c r="B12" s="2177" t="s">
        <v>292</v>
      </c>
      <c r="C12" s="2177"/>
      <c r="D12" s="2177"/>
      <c r="E12" s="2177"/>
      <c r="F12" s="2177"/>
      <c r="G12" s="2177"/>
      <c r="H12" s="2177"/>
      <c r="I12" s="2177"/>
      <c r="J12" s="2177"/>
      <c r="K12" s="2177"/>
      <c r="L12" s="2177"/>
      <c r="M12" s="1083"/>
      <c r="N12" s="1083"/>
      <c r="O12" s="1083"/>
      <c r="P12" s="1083"/>
      <c r="Q12" s="1083"/>
      <c r="R12" s="1083"/>
      <c r="S12" s="1083"/>
      <c r="T12" s="1083"/>
      <c r="U12" s="1083"/>
      <c r="V12" s="1083"/>
      <c r="W12" s="1083"/>
      <c r="X12" s="1083"/>
      <c r="Y12" s="1081"/>
      <c r="Z12" s="1081"/>
      <c r="AA12" s="1081"/>
      <c r="AB12" s="1081"/>
      <c r="AC12" s="1081"/>
      <c r="AD12" s="1081"/>
      <c r="AE12" s="1082"/>
      <c r="AF12" s="1082"/>
      <c r="AG12" s="1082"/>
      <c r="AH12" s="1082"/>
      <c r="AI12" s="1082"/>
      <c r="AJ12" s="1082"/>
      <c r="AK12" s="1082"/>
      <c r="AL12" s="1082"/>
      <c r="AM12" s="1082"/>
      <c r="AN12" s="1082"/>
      <c r="AO12" s="1082"/>
      <c r="AP12" s="1082"/>
      <c r="AQ12" s="1082"/>
      <c r="AR12" s="1082"/>
      <c r="AS12" s="1082"/>
      <c r="AT12" s="1082"/>
      <c r="AU12" s="1082"/>
      <c r="AV12" s="1082"/>
      <c r="AW12" s="1082"/>
      <c r="AX12" s="1082"/>
      <c r="AY12" s="1082"/>
      <c r="AZ12" s="1082"/>
    </row>
    <row r="13" spans="1:52" ht="15" customHeight="1">
      <c r="A13" s="1081"/>
      <c r="B13" s="2132" t="s">
        <v>293</v>
      </c>
      <c r="C13" s="2132"/>
      <c r="D13" s="2132"/>
      <c r="E13" s="1092" t="s">
        <v>294</v>
      </c>
      <c r="F13" s="1093" t="s">
        <v>295</v>
      </c>
      <c r="G13" s="2194" t="s">
        <v>296</v>
      </c>
      <c r="H13" s="2194"/>
      <c r="I13" s="2194"/>
      <c r="J13" s="2194"/>
      <c r="K13" s="2153" t="s">
        <v>297</v>
      </c>
      <c r="L13" s="2153"/>
      <c r="M13" s="1083"/>
      <c r="N13" s="1083"/>
      <c r="O13" s="1083"/>
      <c r="P13" s="1083"/>
      <c r="Q13" s="1083"/>
      <c r="R13" s="1083"/>
      <c r="S13" s="1083"/>
      <c r="T13" s="1083"/>
      <c r="U13" s="1083"/>
      <c r="V13" s="1083"/>
      <c r="W13" s="1083"/>
      <c r="X13" s="1083"/>
      <c r="Y13" s="1081"/>
      <c r="Z13" s="1081"/>
      <c r="AA13" s="1081"/>
      <c r="AB13" s="1081"/>
      <c r="AC13" s="1081"/>
      <c r="AD13" s="1081"/>
      <c r="AE13" s="1082"/>
      <c r="AF13" s="1082"/>
      <c r="AG13" s="1082"/>
      <c r="AH13" s="1082"/>
      <c r="AI13" s="1082"/>
      <c r="AJ13" s="1082"/>
      <c r="AK13" s="1082"/>
      <c r="AL13" s="1082"/>
      <c r="AM13" s="1082"/>
      <c r="AN13" s="1082"/>
      <c r="AO13" s="1082"/>
      <c r="AP13" s="1082"/>
      <c r="AQ13" s="1082"/>
      <c r="AR13" s="1082"/>
      <c r="AS13" s="1082"/>
      <c r="AT13" s="1082"/>
      <c r="AU13" s="1082"/>
      <c r="AV13" s="1082"/>
      <c r="AW13" s="1082"/>
      <c r="AX13" s="1082"/>
      <c r="AY13" s="1082"/>
      <c r="AZ13" s="1082"/>
    </row>
    <row r="14" spans="1:52">
      <c r="A14" s="1081"/>
      <c r="B14" s="2181" t="s">
        <v>965</v>
      </c>
      <c r="C14" s="2181"/>
      <c r="D14" s="2181"/>
      <c r="E14" s="1094"/>
      <c r="F14" s="1095">
        <f>IF('Annexure -I I'!X65="","",'Annexure -I I'!X65)</f>
        <v>24000</v>
      </c>
      <c r="G14" s="2180" t="s">
        <v>298</v>
      </c>
      <c r="H14" s="2180"/>
      <c r="I14" s="2193" t="s">
        <v>16</v>
      </c>
      <c r="J14" s="2193"/>
      <c r="K14" s="2192" t="s">
        <v>299</v>
      </c>
      <c r="L14" s="2192"/>
      <c r="M14" s="1083"/>
      <c r="N14" s="1083"/>
      <c r="O14" s="1083"/>
      <c r="P14" s="1083"/>
      <c r="Q14" s="1083"/>
      <c r="R14" s="1083"/>
      <c r="S14" s="1083"/>
      <c r="T14" s="1083"/>
      <c r="U14" s="1083"/>
      <c r="V14" s="1083"/>
      <c r="W14" s="1083"/>
      <c r="X14" s="1083"/>
      <c r="Y14" s="1081"/>
      <c r="Z14" s="1081"/>
      <c r="AA14" s="1081"/>
      <c r="AB14" s="1081"/>
      <c r="AC14" s="1081"/>
      <c r="AD14" s="1081"/>
      <c r="AE14" s="1082"/>
      <c r="AF14" s="1082"/>
      <c r="AG14" s="1082"/>
      <c r="AH14" s="1082"/>
      <c r="AI14" s="1082"/>
      <c r="AJ14" s="1082"/>
      <c r="AK14" s="1082"/>
      <c r="AL14" s="1082"/>
      <c r="AM14" s="1082"/>
      <c r="AN14" s="1082"/>
      <c r="AO14" s="1082"/>
      <c r="AP14" s="1082"/>
      <c r="AQ14" s="1082"/>
      <c r="AR14" s="1082"/>
      <c r="AS14" s="1082"/>
      <c r="AT14" s="1082"/>
      <c r="AU14" s="1082"/>
      <c r="AV14" s="1082"/>
      <c r="AW14" s="1082"/>
      <c r="AX14" s="1082"/>
      <c r="AY14" s="1082"/>
      <c r="AZ14" s="1082"/>
    </row>
    <row r="15" spans="1:52">
      <c r="A15" s="1081"/>
      <c r="B15" s="2138" t="s">
        <v>966</v>
      </c>
      <c r="C15" s="2138"/>
      <c r="D15" s="2138"/>
      <c r="E15" s="1096"/>
      <c r="F15" s="1095">
        <f>IF('Annexure -I I'!X66="","",'Annexure -I I'!X66)</f>
        <v>24000</v>
      </c>
      <c r="G15" s="2159">
        <v>44256</v>
      </c>
      <c r="H15" s="2159"/>
      <c r="I15" s="2191">
        <v>44620</v>
      </c>
      <c r="J15" s="2191"/>
      <c r="K15" s="2190" t="s">
        <v>976</v>
      </c>
      <c r="L15" s="2190"/>
      <c r="M15" s="1083"/>
      <c r="N15" s="1083"/>
      <c r="O15" s="1083"/>
      <c r="P15" s="1083"/>
      <c r="Q15" s="1083"/>
      <c r="R15" s="1083"/>
      <c r="S15" s="1083"/>
      <c r="T15" s="1083"/>
      <c r="U15" s="1083"/>
      <c r="V15" s="1083"/>
      <c r="W15" s="1083"/>
      <c r="X15" s="1083"/>
      <c r="Y15" s="1081"/>
      <c r="Z15" s="1081"/>
      <c r="AA15" s="1081"/>
      <c r="AB15" s="1081"/>
      <c r="AC15" s="1081"/>
      <c r="AD15" s="1081"/>
      <c r="AE15" s="1082"/>
      <c r="AF15" s="1082"/>
      <c r="AG15" s="1082"/>
      <c r="AH15" s="1082"/>
      <c r="AI15" s="1082"/>
      <c r="AJ15" s="1082"/>
      <c r="AK15" s="1082"/>
      <c r="AL15" s="1082"/>
      <c r="AM15" s="1082"/>
      <c r="AN15" s="1082"/>
      <c r="AO15" s="1082"/>
      <c r="AP15" s="1082"/>
      <c r="AQ15" s="1082"/>
      <c r="AR15" s="1082"/>
      <c r="AS15" s="1082"/>
      <c r="AT15" s="1082"/>
      <c r="AU15" s="1082"/>
      <c r="AV15" s="1082"/>
      <c r="AW15" s="1082"/>
      <c r="AX15" s="1082"/>
      <c r="AY15" s="1082"/>
      <c r="AZ15" s="1082"/>
    </row>
    <row r="16" spans="1:52">
      <c r="A16" s="1081"/>
      <c r="B16" s="2138" t="s">
        <v>967</v>
      </c>
      <c r="C16" s="2138"/>
      <c r="D16" s="2138"/>
      <c r="E16" s="1096"/>
      <c r="F16" s="1097">
        <f>IF('Annexure -I I'!X67="","",'Annexure -I I'!X67)</f>
        <v>24000</v>
      </c>
      <c r="G16" s="2159"/>
      <c r="H16" s="2159"/>
      <c r="I16" s="2191"/>
      <c r="J16" s="2191"/>
      <c r="K16" s="2190"/>
      <c r="L16" s="2190"/>
      <c r="M16" s="1083"/>
      <c r="N16" s="1083"/>
      <c r="O16" s="1083"/>
      <c r="P16" s="1083"/>
      <c r="Q16" s="1083"/>
      <c r="R16" s="1083"/>
      <c r="S16" s="1083"/>
      <c r="T16" s="1083"/>
      <c r="U16" s="1083"/>
      <c r="V16" s="1083"/>
      <c r="W16" s="1083"/>
      <c r="X16" s="1083"/>
      <c r="Y16" s="1081"/>
      <c r="Z16" s="1081"/>
      <c r="AA16" s="1081"/>
      <c r="AB16" s="1081"/>
      <c r="AC16" s="1081"/>
      <c r="AD16" s="1081"/>
      <c r="AE16" s="1082"/>
      <c r="AF16" s="1082"/>
      <c r="AG16" s="1082"/>
      <c r="AH16" s="1082"/>
      <c r="AI16" s="1082"/>
      <c r="AJ16" s="1082"/>
      <c r="AK16" s="1082"/>
      <c r="AL16" s="1082"/>
      <c r="AM16" s="1082"/>
      <c r="AN16" s="1082"/>
      <c r="AO16" s="1082"/>
      <c r="AP16" s="1082"/>
      <c r="AQ16" s="1082"/>
      <c r="AR16" s="1082"/>
      <c r="AS16" s="1082"/>
      <c r="AT16" s="1082"/>
      <c r="AU16" s="1082"/>
      <c r="AV16" s="1082"/>
      <c r="AW16" s="1082"/>
      <c r="AX16" s="1082"/>
      <c r="AY16" s="1082"/>
      <c r="AZ16" s="1082"/>
    </row>
    <row r="17" spans="1:52">
      <c r="A17" s="1081"/>
      <c r="B17" s="2176" t="s">
        <v>968</v>
      </c>
      <c r="C17" s="2176"/>
      <c r="D17" s="2176"/>
      <c r="E17" s="1098"/>
      <c r="F17" s="1099">
        <f>IF('Annexure -I I'!X68="","",'Annexure -I I'!X68)</f>
        <v>20000</v>
      </c>
      <c r="G17" s="2159"/>
      <c r="H17" s="2159"/>
      <c r="I17" s="2191"/>
      <c r="J17" s="2191"/>
      <c r="K17" s="2190"/>
      <c r="L17" s="2190"/>
      <c r="M17" s="1083"/>
      <c r="N17" s="1083"/>
      <c r="O17" s="1083"/>
      <c r="P17" s="1083"/>
      <c r="Q17" s="1083"/>
      <c r="R17" s="1083"/>
      <c r="S17" s="1083"/>
      <c r="T17" s="1083"/>
      <c r="U17" s="1083"/>
      <c r="V17" s="1083"/>
      <c r="W17" s="1083"/>
      <c r="X17" s="1083"/>
      <c r="Y17" s="1081"/>
      <c r="Z17" s="1081"/>
      <c r="AA17" s="1081"/>
      <c r="AB17" s="1081"/>
      <c r="AC17" s="1081"/>
      <c r="AD17" s="1081"/>
      <c r="AE17" s="1082"/>
      <c r="AF17" s="1082"/>
      <c r="AG17" s="1082"/>
      <c r="AH17" s="1082"/>
      <c r="AI17" s="1082"/>
      <c r="AJ17" s="1082"/>
      <c r="AK17" s="1082"/>
      <c r="AL17" s="1082"/>
      <c r="AM17" s="1082"/>
      <c r="AN17" s="1082"/>
      <c r="AO17" s="1082"/>
      <c r="AP17" s="1082"/>
      <c r="AQ17" s="1082"/>
      <c r="AR17" s="1082"/>
      <c r="AS17" s="1082"/>
      <c r="AT17" s="1082"/>
      <c r="AU17" s="1082"/>
      <c r="AV17" s="1082"/>
      <c r="AW17" s="1082"/>
      <c r="AX17" s="1082"/>
      <c r="AY17" s="1082"/>
      <c r="AZ17" s="1082"/>
    </row>
    <row r="18" spans="1:52" ht="15.75">
      <c r="A18" s="1081"/>
      <c r="B18" s="2160" t="s">
        <v>300</v>
      </c>
      <c r="C18" s="2160"/>
      <c r="D18" s="2160"/>
      <c r="E18" s="2160"/>
      <c r="F18" s="2160"/>
      <c r="G18" s="2160"/>
      <c r="H18" s="2160"/>
      <c r="I18" s="2160"/>
      <c r="J18" s="2160"/>
      <c r="K18" s="2160"/>
      <c r="L18" s="2160"/>
      <c r="M18" s="1083"/>
      <c r="N18" s="1083"/>
      <c r="O18" s="1083"/>
      <c r="P18" s="1083"/>
      <c r="Q18" s="1083"/>
      <c r="R18" s="1083"/>
      <c r="S18" s="1083"/>
      <c r="T18" s="1083"/>
      <c r="U18" s="1083"/>
      <c r="V18" s="1083"/>
      <c r="W18" s="1083"/>
      <c r="X18" s="1083"/>
      <c r="Y18" s="1081"/>
      <c r="Z18" s="1081"/>
      <c r="AA18" s="1081"/>
      <c r="AB18" s="1081"/>
      <c r="AC18" s="1081"/>
      <c r="AD18" s="1081"/>
      <c r="AE18" s="1082"/>
      <c r="AF18" s="1082"/>
      <c r="AG18" s="1082"/>
      <c r="AH18" s="1082"/>
      <c r="AI18" s="1082"/>
      <c r="AJ18" s="1082"/>
      <c r="AK18" s="1082"/>
      <c r="AL18" s="1082"/>
      <c r="AM18" s="1082"/>
      <c r="AN18" s="1082"/>
      <c r="AO18" s="1082"/>
      <c r="AP18" s="1082"/>
      <c r="AQ18" s="1082"/>
      <c r="AR18" s="1082"/>
      <c r="AS18" s="1082"/>
      <c r="AT18" s="1082"/>
      <c r="AU18" s="1082"/>
      <c r="AV18" s="1082"/>
      <c r="AW18" s="1082"/>
      <c r="AX18" s="1082"/>
      <c r="AY18" s="1082"/>
      <c r="AZ18" s="1082"/>
    </row>
    <row r="19" spans="1:52">
      <c r="A19" s="1081"/>
      <c r="B19" s="1100">
        <v>1</v>
      </c>
      <c r="C19" s="2164" t="s">
        <v>301</v>
      </c>
      <c r="D19" s="2164"/>
      <c r="E19" s="1101"/>
      <c r="F19" s="1101"/>
      <c r="G19" s="1102"/>
      <c r="H19" s="1103"/>
      <c r="I19" s="1104"/>
      <c r="J19" s="1105"/>
      <c r="K19" s="1104"/>
      <c r="L19" s="1106"/>
      <c r="M19" s="1083"/>
      <c r="N19" s="1083"/>
      <c r="O19" s="1083"/>
      <c r="P19" s="1083"/>
      <c r="Q19" s="1083"/>
      <c r="R19" s="1083"/>
      <c r="S19" s="1083"/>
      <c r="T19" s="1083"/>
      <c r="U19" s="1083"/>
      <c r="V19" s="1083"/>
      <c r="W19" s="1083"/>
      <c r="X19" s="1083"/>
      <c r="Y19" s="1081"/>
      <c r="Z19" s="1081"/>
      <c r="AA19" s="1081"/>
      <c r="AB19" s="1081"/>
      <c r="AC19" s="1081"/>
      <c r="AD19" s="1081"/>
      <c r="AE19" s="1082"/>
      <c r="AF19" s="1082"/>
      <c r="AG19" s="1082"/>
      <c r="AH19" s="1082"/>
      <c r="AI19" s="1082"/>
      <c r="AJ19" s="1082"/>
      <c r="AK19" s="1082"/>
      <c r="AL19" s="1082"/>
      <c r="AM19" s="1082"/>
      <c r="AN19" s="1082"/>
      <c r="AO19" s="1082"/>
      <c r="AP19" s="1082"/>
      <c r="AQ19" s="1082"/>
      <c r="AR19" s="1082"/>
      <c r="AS19" s="1082"/>
      <c r="AT19" s="1082"/>
      <c r="AU19" s="1082"/>
      <c r="AV19" s="1082"/>
      <c r="AW19" s="1082"/>
      <c r="AX19" s="1082"/>
      <c r="AY19" s="1082"/>
      <c r="AZ19" s="1082"/>
    </row>
    <row r="20" spans="1:52" ht="14.1" customHeight="1">
      <c r="A20" s="1081"/>
      <c r="B20" s="1107"/>
      <c r="C20" s="1108" t="s">
        <v>265</v>
      </c>
      <c r="D20" s="2140" t="s">
        <v>302</v>
      </c>
      <c r="E20" s="2140"/>
      <c r="F20" s="2140"/>
      <c r="G20" s="1109" t="s">
        <v>264</v>
      </c>
      <c r="H20" s="1110">
        <f>Bill!X25</f>
        <v>1303978</v>
      </c>
      <c r="I20" s="1104"/>
      <c r="J20" s="1105"/>
      <c r="K20" s="1104"/>
      <c r="L20" s="1106"/>
      <c r="M20" s="1111"/>
      <c r="N20" s="1111"/>
      <c r="O20" s="1111"/>
      <c r="P20" s="1111"/>
      <c r="Q20" s="1111"/>
      <c r="R20" s="1111"/>
      <c r="S20" s="1111"/>
      <c r="T20" s="1111"/>
      <c r="U20" s="1111"/>
      <c r="V20" s="1111"/>
      <c r="W20" s="1111"/>
      <c r="X20" s="1111"/>
      <c r="Y20" s="1081"/>
      <c r="Z20" s="1081"/>
      <c r="AA20" s="1081"/>
      <c r="AB20" s="1081"/>
      <c r="AC20" s="1081"/>
      <c r="AD20" s="1081"/>
      <c r="AE20" s="1082"/>
      <c r="AF20" s="1082"/>
      <c r="AG20" s="1082"/>
      <c r="AH20" s="1082"/>
      <c r="AI20" s="1082"/>
      <c r="AJ20" s="1082"/>
      <c r="AK20" s="1082"/>
      <c r="AL20" s="1082"/>
      <c r="AM20" s="1082"/>
      <c r="AN20" s="1082"/>
      <c r="AO20" s="1082"/>
      <c r="AP20" s="1082"/>
      <c r="AQ20" s="1082"/>
      <c r="AR20" s="1082"/>
      <c r="AS20" s="1082"/>
      <c r="AT20" s="1082"/>
      <c r="AU20" s="1082"/>
      <c r="AV20" s="1082"/>
      <c r="AW20" s="1082"/>
      <c r="AX20" s="1082"/>
      <c r="AY20" s="1082"/>
      <c r="AZ20" s="1082"/>
    </row>
    <row r="21" spans="1:52" ht="14.1" customHeight="1">
      <c r="A21" s="1081"/>
      <c r="B21" s="1107"/>
      <c r="C21" s="1108" t="s">
        <v>267</v>
      </c>
      <c r="D21" s="2139" t="s">
        <v>303</v>
      </c>
      <c r="E21" s="2139"/>
      <c r="F21" s="2139"/>
      <c r="G21" s="1109" t="s">
        <v>264</v>
      </c>
      <c r="H21" s="1112">
        <v>0</v>
      </c>
      <c r="I21" s="1113"/>
      <c r="J21" s="1105"/>
      <c r="K21" s="1104"/>
      <c r="L21" s="1106"/>
      <c r="M21" s="1111"/>
      <c r="N21" s="1111"/>
      <c r="O21" s="1111"/>
      <c r="P21" s="1111"/>
      <c r="Q21" s="1111"/>
      <c r="R21" s="1111"/>
      <c r="S21" s="1111"/>
      <c r="T21" s="1111"/>
      <c r="U21" s="1111"/>
      <c r="V21" s="1111"/>
      <c r="W21" s="1111"/>
      <c r="X21" s="1111"/>
      <c r="Y21" s="1081"/>
      <c r="Z21" s="1081"/>
      <c r="AA21" s="1081"/>
      <c r="AB21" s="1081"/>
      <c r="AC21" s="1081"/>
      <c r="AD21" s="1081"/>
      <c r="AE21" s="1082"/>
      <c r="AF21" s="1082"/>
      <c r="AG21" s="1082"/>
      <c r="AH21" s="1082"/>
      <c r="AI21" s="1082"/>
      <c r="AJ21" s="1082"/>
      <c r="AK21" s="1082"/>
      <c r="AL21" s="1082"/>
      <c r="AM21" s="1082"/>
      <c r="AN21" s="1082"/>
      <c r="AO21" s="1082"/>
      <c r="AP21" s="1082"/>
      <c r="AQ21" s="1082"/>
      <c r="AR21" s="1082"/>
      <c r="AS21" s="1082"/>
      <c r="AT21" s="1082"/>
      <c r="AU21" s="1082"/>
      <c r="AV21" s="1082"/>
      <c r="AW21" s="1082"/>
      <c r="AX21" s="1082"/>
      <c r="AY21" s="1082"/>
      <c r="AZ21" s="1082"/>
    </row>
    <row r="22" spans="1:52" ht="14.1" customHeight="1">
      <c r="A22" s="1081"/>
      <c r="B22" s="1107"/>
      <c r="C22" s="1108"/>
      <c r="D22" s="2139" t="s">
        <v>304</v>
      </c>
      <c r="E22" s="2139"/>
      <c r="F22" s="2139"/>
      <c r="G22" s="1114"/>
      <c r="H22" s="1115"/>
      <c r="I22" s="1104"/>
      <c r="J22" s="1105"/>
      <c r="K22" s="1104"/>
      <c r="L22" s="1106"/>
      <c r="M22" s="1111"/>
      <c r="N22" s="1111"/>
      <c r="O22" s="1111"/>
      <c r="P22" s="1111"/>
      <c r="Q22" s="1111"/>
      <c r="R22" s="1111"/>
      <c r="S22" s="1111"/>
      <c r="T22" s="1111"/>
      <c r="U22" s="1111"/>
      <c r="V22" s="1111"/>
      <c r="W22" s="1111"/>
      <c r="X22" s="1111"/>
      <c r="Y22" s="1081"/>
      <c r="Z22" s="1081"/>
      <c r="AA22" s="1081"/>
      <c r="AB22" s="1081"/>
      <c r="AC22" s="1081"/>
      <c r="AD22" s="1081"/>
      <c r="AE22" s="1082"/>
      <c r="AF22" s="1082"/>
      <c r="AG22" s="1082"/>
      <c r="AH22" s="1082"/>
      <c r="AI22" s="1082"/>
      <c r="AJ22" s="1082"/>
      <c r="AK22" s="1082"/>
      <c r="AL22" s="1082"/>
      <c r="AM22" s="1082"/>
      <c r="AN22" s="1082"/>
      <c r="AO22" s="1082"/>
      <c r="AP22" s="1082"/>
      <c r="AQ22" s="1082"/>
      <c r="AR22" s="1082"/>
      <c r="AS22" s="1082"/>
      <c r="AT22" s="1082"/>
      <c r="AU22" s="1082"/>
      <c r="AV22" s="1082"/>
      <c r="AW22" s="1082"/>
      <c r="AX22" s="1082"/>
      <c r="AY22" s="1082"/>
      <c r="AZ22" s="1082"/>
    </row>
    <row r="23" spans="1:52" ht="14.1" customHeight="1">
      <c r="A23" s="1081"/>
      <c r="B23" s="1107"/>
      <c r="C23" s="1108" t="s">
        <v>268</v>
      </c>
      <c r="D23" s="2139" t="s">
        <v>305</v>
      </c>
      <c r="E23" s="2139"/>
      <c r="F23" s="2139"/>
      <c r="G23" s="1102" t="s">
        <v>264</v>
      </c>
      <c r="H23" s="1116">
        <v>0</v>
      </c>
      <c r="I23" s="1104"/>
      <c r="J23" s="1105"/>
      <c r="K23" s="1104"/>
      <c r="L23" s="1106"/>
      <c r="M23" s="1111"/>
      <c r="N23" s="1111"/>
      <c r="O23" s="1111"/>
      <c r="P23" s="1111"/>
      <c r="Q23" s="1111"/>
      <c r="R23" s="1111"/>
      <c r="S23" s="1111"/>
      <c r="T23" s="1111"/>
      <c r="U23" s="1111"/>
      <c r="V23" s="1111"/>
      <c r="W23" s="1111"/>
      <c r="X23" s="1111"/>
      <c r="Y23" s="1081"/>
      <c r="Z23" s="1081"/>
      <c r="AA23" s="1081"/>
      <c r="AB23" s="1081"/>
      <c r="AC23" s="1081"/>
      <c r="AD23" s="1081"/>
      <c r="AE23" s="1082"/>
      <c r="AF23" s="1082"/>
      <c r="AG23" s="1082"/>
      <c r="AH23" s="1082"/>
      <c r="AI23" s="1082"/>
      <c r="AJ23" s="1082"/>
      <c r="AK23" s="1082"/>
      <c r="AL23" s="1082"/>
      <c r="AM23" s="1082"/>
      <c r="AN23" s="1082"/>
      <c r="AO23" s="1082"/>
      <c r="AP23" s="1082"/>
      <c r="AQ23" s="1082"/>
      <c r="AR23" s="1082"/>
      <c r="AS23" s="1082"/>
      <c r="AT23" s="1082"/>
      <c r="AU23" s="1082"/>
      <c r="AV23" s="1082"/>
      <c r="AW23" s="1082"/>
      <c r="AX23" s="1082"/>
      <c r="AY23" s="1082"/>
      <c r="AZ23" s="1082"/>
    </row>
    <row r="24" spans="1:52" ht="14.1" customHeight="1">
      <c r="A24" s="1081"/>
      <c r="B24" s="1107"/>
      <c r="C24" s="1108"/>
      <c r="D24" s="2139" t="s">
        <v>306</v>
      </c>
      <c r="E24" s="2139"/>
      <c r="F24" s="2139"/>
      <c r="G24" s="1117"/>
      <c r="H24" s="1118"/>
      <c r="I24" s="1104"/>
      <c r="J24" s="1105"/>
      <c r="K24" s="1104"/>
      <c r="L24" s="1106"/>
      <c r="M24" s="1111"/>
      <c r="N24" s="1111"/>
      <c r="O24" s="1111"/>
      <c r="P24" s="1111"/>
      <c r="Q24" s="1111"/>
      <c r="R24" s="1111"/>
      <c r="S24" s="1111"/>
      <c r="T24" s="1111"/>
      <c r="U24" s="1111"/>
      <c r="V24" s="1111"/>
      <c r="W24" s="1111"/>
      <c r="X24" s="1111"/>
      <c r="Y24" s="1081"/>
      <c r="Z24" s="1081"/>
      <c r="AA24" s="1081"/>
      <c r="AB24" s="1081"/>
      <c r="AC24" s="1081"/>
      <c r="AD24" s="1081"/>
      <c r="AE24" s="1082"/>
      <c r="AF24" s="1082"/>
      <c r="AG24" s="1082"/>
      <c r="AH24" s="1082"/>
      <c r="AI24" s="1082"/>
      <c r="AJ24" s="1082"/>
      <c r="AK24" s="1082"/>
      <c r="AL24" s="1082"/>
      <c r="AM24" s="1082"/>
      <c r="AN24" s="1082"/>
      <c r="AO24" s="1082"/>
      <c r="AP24" s="1082"/>
      <c r="AQ24" s="1082"/>
      <c r="AR24" s="1082"/>
      <c r="AS24" s="1082"/>
      <c r="AT24" s="1082"/>
      <c r="AU24" s="1082"/>
      <c r="AV24" s="1082"/>
      <c r="AW24" s="1082"/>
      <c r="AX24" s="1082"/>
      <c r="AY24" s="1082"/>
      <c r="AZ24" s="1082"/>
    </row>
    <row r="25" spans="1:52">
      <c r="A25" s="1081"/>
      <c r="B25" s="1100"/>
      <c r="C25" s="1119" t="s">
        <v>278</v>
      </c>
      <c r="D25" s="1120" t="s">
        <v>10</v>
      </c>
      <c r="E25" s="1121"/>
      <c r="F25" s="1121"/>
      <c r="G25" s="1122" t="s">
        <v>264</v>
      </c>
      <c r="H25" s="1123">
        <f>H19+H20+H21+H23</f>
        <v>1303978</v>
      </c>
      <c r="I25" s="1104"/>
      <c r="J25" s="1105"/>
      <c r="K25" s="1104" t="s">
        <v>264</v>
      </c>
      <c r="L25" s="1124">
        <f>H25</f>
        <v>1303978</v>
      </c>
      <c r="M25" s="1083"/>
      <c r="N25" s="1083"/>
      <c r="O25" s="1083"/>
      <c r="P25" s="1083"/>
      <c r="Q25" s="1083"/>
      <c r="R25" s="1083"/>
      <c r="S25" s="1083"/>
      <c r="T25" s="1083"/>
      <c r="U25" s="1083"/>
      <c r="V25" s="1083"/>
      <c r="W25" s="1083"/>
      <c r="X25" s="1083"/>
      <c r="Y25" s="1081"/>
      <c r="Z25" s="1081"/>
      <c r="AA25" s="1081"/>
      <c r="AB25" s="1081"/>
      <c r="AC25" s="1081"/>
      <c r="AD25" s="1081"/>
      <c r="AE25" s="1082"/>
      <c r="AF25" s="1082"/>
      <c r="AG25" s="1082"/>
      <c r="AH25" s="1082"/>
      <c r="AI25" s="1082"/>
      <c r="AJ25" s="1082"/>
      <c r="AK25" s="1082"/>
      <c r="AL25" s="1082"/>
      <c r="AM25" s="1082"/>
      <c r="AN25" s="1082"/>
      <c r="AO25" s="1082"/>
      <c r="AP25" s="1082"/>
      <c r="AQ25" s="1082"/>
      <c r="AR25" s="1082"/>
      <c r="AS25" s="1082"/>
      <c r="AT25" s="1082"/>
      <c r="AU25" s="1082"/>
      <c r="AV25" s="1082"/>
      <c r="AW25" s="1082"/>
      <c r="AX25" s="1082"/>
      <c r="AY25" s="1082"/>
      <c r="AZ25" s="1082"/>
    </row>
    <row r="26" spans="1:52">
      <c r="A26" s="1081"/>
      <c r="B26" s="1100">
        <v>2</v>
      </c>
      <c r="C26" s="2136" t="s">
        <v>803</v>
      </c>
      <c r="D26" s="2136"/>
      <c r="E26" s="2136"/>
      <c r="F26" s="2137"/>
      <c r="G26" s="1101"/>
      <c r="H26" s="1125"/>
      <c r="I26" s="1126"/>
      <c r="J26" s="1105"/>
      <c r="K26" s="1127" t="s">
        <v>264</v>
      </c>
      <c r="L26" s="1128">
        <f>L25</f>
        <v>1303978</v>
      </c>
      <c r="M26" s="1083"/>
      <c r="N26" s="1083"/>
      <c r="O26" s="1083"/>
      <c r="P26" s="1083"/>
      <c r="Q26" s="1083"/>
      <c r="R26" s="1083"/>
      <c r="S26" s="1083"/>
      <c r="T26" s="1083"/>
      <c r="U26" s="1083"/>
      <c r="V26" s="1083"/>
      <c r="W26" s="1083"/>
      <c r="X26" s="1083"/>
      <c r="Y26" s="1081"/>
      <c r="Z26" s="1081"/>
      <c r="AA26" s="1081"/>
      <c r="AB26" s="1081"/>
      <c r="AC26" s="1081"/>
      <c r="AD26" s="1081"/>
      <c r="AE26" s="1082"/>
      <c r="AF26" s="1082"/>
      <c r="AG26" s="1082"/>
      <c r="AH26" s="1082"/>
      <c r="AI26" s="1082"/>
      <c r="AJ26" s="1082"/>
      <c r="AK26" s="1082"/>
      <c r="AL26" s="1082"/>
      <c r="AM26" s="1082"/>
      <c r="AN26" s="1082"/>
      <c r="AO26" s="1082"/>
      <c r="AP26" s="1082"/>
      <c r="AQ26" s="1082"/>
      <c r="AR26" s="1082"/>
      <c r="AS26" s="1082"/>
      <c r="AT26" s="1082"/>
      <c r="AU26" s="1082"/>
      <c r="AV26" s="1082"/>
      <c r="AW26" s="1082"/>
      <c r="AX26" s="1082"/>
      <c r="AY26" s="1082"/>
      <c r="AZ26" s="1082"/>
    </row>
    <row r="27" spans="1:52" ht="13.5" customHeight="1">
      <c r="A27" s="1081"/>
      <c r="B27" s="1100">
        <v>3</v>
      </c>
      <c r="C27" s="2136" t="s">
        <v>307</v>
      </c>
      <c r="D27" s="2136"/>
      <c r="E27" s="2136"/>
      <c r="F27" s="2137"/>
      <c r="G27" s="1101"/>
      <c r="H27" s="1125"/>
      <c r="I27" s="1126"/>
      <c r="J27" s="1105"/>
      <c r="K27" s="1104"/>
      <c r="L27" s="1106"/>
      <c r="M27" s="1083"/>
      <c r="N27" s="1083"/>
      <c r="O27" s="1083"/>
      <c r="P27" s="1083"/>
      <c r="Q27" s="1083"/>
      <c r="R27" s="1083"/>
      <c r="S27" s="1083"/>
      <c r="T27" s="1083"/>
      <c r="U27" s="1083"/>
      <c r="V27" s="1083"/>
      <c r="W27" s="1083"/>
      <c r="X27" s="1083"/>
      <c r="Y27" s="1081"/>
      <c r="Z27" s="1081"/>
      <c r="AA27" s="1081"/>
      <c r="AB27" s="1081"/>
      <c r="AC27" s="1081"/>
      <c r="AD27" s="1081"/>
      <c r="AE27" s="1082"/>
      <c r="AF27" s="1082"/>
      <c r="AG27" s="1082"/>
      <c r="AH27" s="1082"/>
      <c r="AI27" s="1082"/>
      <c r="AJ27" s="1082"/>
      <c r="AK27" s="1082"/>
      <c r="AL27" s="1082"/>
      <c r="AM27" s="1082"/>
      <c r="AN27" s="1082"/>
      <c r="AO27" s="1082"/>
      <c r="AP27" s="1082"/>
      <c r="AQ27" s="1082"/>
      <c r="AR27" s="1082"/>
      <c r="AS27" s="1082"/>
      <c r="AT27" s="1082"/>
      <c r="AU27" s="1082"/>
      <c r="AV27" s="1082"/>
      <c r="AW27" s="1082"/>
      <c r="AX27" s="1082"/>
      <c r="AY27" s="1082"/>
      <c r="AZ27" s="1082"/>
    </row>
    <row r="28" spans="1:52" ht="13.5" customHeight="1">
      <c r="A28" s="1081"/>
      <c r="B28" s="1100"/>
      <c r="C28" s="1129" t="s">
        <v>265</v>
      </c>
      <c r="D28" s="1130" t="s">
        <v>792</v>
      </c>
      <c r="E28" s="1131"/>
      <c r="F28" s="1132"/>
      <c r="G28" s="1133" t="s">
        <v>264</v>
      </c>
      <c r="H28" s="1125"/>
      <c r="I28" s="1126"/>
      <c r="J28" s="1105"/>
      <c r="K28" s="1104"/>
      <c r="L28" s="1106"/>
      <c r="M28" s="1083"/>
      <c r="N28" s="1083"/>
      <c r="O28" s="1083"/>
      <c r="P28" s="1083"/>
      <c r="Q28" s="1083"/>
      <c r="R28" s="1083"/>
      <c r="S28" s="1083"/>
      <c r="T28" s="1083"/>
      <c r="U28" s="1083"/>
      <c r="V28" s="1083"/>
      <c r="W28" s="1083"/>
      <c r="X28" s="1083"/>
      <c r="Y28" s="1081"/>
      <c r="Z28" s="1081"/>
      <c r="AA28" s="1081"/>
      <c r="AB28" s="1081"/>
      <c r="AC28" s="1081"/>
      <c r="AD28" s="1081"/>
      <c r="AE28" s="1082"/>
      <c r="AF28" s="1082"/>
      <c r="AG28" s="1082"/>
      <c r="AH28" s="1082"/>
      <c r="AI28" s="1082"/>
      <c r="AJ28" s="1082"/>
      <c r="AK28" s="1082"/>
      <c r="AL28" s="1082"/>
      <c r="AM28" s="1082"/>
      <c r="AN28" s="1082"/>
      <c r="AO28" s="1082"/>
      <c r="AP28" s="1082"/>
      <c r="AQ28" s="1082"/>
      <c r="AR28" s="1082"/>
      <c r="AS28" s="1082"/>
      <c r="AT28" s="1082"/>
      <c r="AU28" s="1082"/>
      <c r="AV28" s="1082"/>
      <c r="AW28" s="1082"/>
      <c r="AX28" s="1082"/>
      <c r="AY28" s="1082"/>
      <c r="AZ28" s="1082"/>
    </row>
    <row r="29" spans="1:52" ht="13.5" customHeight="1">
      <c r="A29" s="1081"/>
      <c r="B29" s="1100"/>
      <c r="C29" s="1129" t="s">
        <v>267</v>
      </c>
      <c r="D29" s="1130" t="s">
        <v>793</v>
      </c>
      <c r="E29" s="1131"/>
      <c r="F29" s="1132"/>
      <c r="G29" s="1133" t="s">
        <v>264</v>
      </c>
      <c r="H29" s="1125"/>
      <c r="I29" s="1126"/>
      <c r="J29" s="1105"/>
      <c r="K29" s="1104"/>
      <c r="L29" s="1106"/>
      <c r="M29" s="1083"/>
      <c r="N29" s="1083"/>
      <c r="O29" s="1083"/>
      <c r="P29" s="1083"/>
      <c r="Q29" s="1083"/>
      <c r="R29" s="1083"/>
      <c r="S29" s="1083"/>
      <c r="T29" s="1083"/>
      <c r="U29" s="1083"/>
      <c r="V29" s="1083"/>
      <c r="W29" s="1083"/>
      <c r="X29" s="1083"/>
      <c r="Y29" s="1081"/>
      <c r="Z29" s="1081"/>
      <c r="AA29" s="1081"/>
      <c r="AB29" s="1081"/>
      <c r="AC29" s="1081"/>
      <c r="AD29" s="1081"/>
      <c r="AE29" s="1082"/>
      <c r="AF29" s="1082"/>
      <c r="AG29" s="1082"/>
      <c r="AH29" s="1082"/>
      <c r="AI29" s="1082"/>
      <c r="AJ29" s="1082"/>
      <c r="AK29" s="1082"/>
      <c r="AL29" s="1082"/>
      <c r="AM29" s="1082"/>
      <c r="AN29" s="1082"/>
      <c r="AO29" s="1082"/>
      <c r="AP29" s="1082"/>
      <c r="AQ29" s="1082"/>
      <c r="AR29" s="1082"/>
      <c r="AS29" s="1082"/>
      <c r="AT29" s="1082"/>
      <c r="AU29" s="1082"/>
      <c r="AV29" s="1082"/>
      <c r="AW29" s="1082"/>
      <c r="AX29" s="1082"/>
      <c r="AY29" s="1082"/>
      <c r="AZ29" s="1082"/>
    </row>
    <row r="30" spans="1:52" ht="13.5" customHeight="1">
      <c r="A30" s="1081"/>
      <c r="B30" s="1100"/>
      <c r="C30" s="1129" t="s">
        <v>268</v>
      </c>
      <c r="D30" s="1130" t="s">
        <v>794</v>
      </c>
      <c r="E30" s="1131"/>
      <c r="F30" s="1132"/>
      <c r="G30" s="1133" t="s">
        <v>264</v>
      </c>
      <c r="H30" s="1125"/>
      <c r="I30" s="1126"/>
      <c r="J30" s="1105"/>
      <c r="K30" s="1104"/>
      <c r="L30" s="1106"/>
      <c r="M30" s="1083"/>
      <c r="N30" s="1083"/>
      <c r="O30" s="1083"/>
      <c r="P30" s="1083"/>
      <c r="Q30" s="1083"/>
      <c r="R30" s="1083"/>
      <c r="S30" s="1083"/>
      <c r="T30" s="1083"/>
      <c r="U30" s="1083"/>
      <c r="V30" s="1083"/>
      <c r="W30" s="1083"/>
      <c r="X30" s="1083"/>
      <c r="Y30" s="1081"/>
      <c r="Z30" s="1081"/>
      <c r="AA30" s="1081"/>
      <c r="AB30" s="1081"/>
      <c r="AC30" s="1081"/>
      <c r="AD30" s="1081"/>
      <c r="AE30" s="1082"/>
      <c r="AF30" s="1082"/>
      <c r="AG30" s="1082"/>
      <c r="AH30" s="1082"/>
      <c r="AI30" s="1082"/>
      <c r="AJ30" s="1082"/>
      <c r="AK30" s="1082"/>
      <c r="AL30" s="1082"/>
      <c r="AM30" s="1082"/>
      <c r="AN30" s="1082"/>
      <c r="AO30" s="1082"/>
      <c r="AP30" s="1082"/>
      <c r="AQ30" s="1082"/>
      <c r="AR30" s="1082"/>
      <c r="AS30" s="1082"/>
      <c r="AT30" s="1082"/>
      <c r="AU30" s="1082"/>
      <c r="AV30" s="1082"/>
      <c r="AW30" s="1082"/>
      <c r="AX30" s="1082"/>
      <c r="AY30" s="1082"/>
      <c r="AZ30" s="1082"/>
    </row>
    <row r="31" spans="1:52" ht="13.5" customHeight="1">
      <c r="A31" s="1081"/>
      <c r="B31" s="1100"/>
      <c r="C31" s="1129" t="s">
        <v>278</v>
      </c>
      <c r="D31" s="1133" t="s">
        <v>799</v>
      </c>
      <c r="E31" s="1131"/>
      <c r="F31" s="1132"/>
      <c r="G31" s="1133" t="s">
        <v>264</v>
      </c>
      <c r="H31" s="1125"/>
      <c r="I31" s="1126"/>
      <c r="J31" s="1105"/>
      <c r="K31" s="1104"/>
      <c r="L31" s="1106"/>
      <c r="M31" s="1083"/>
      <c r="N31" s="1083"/>
      <c r="O31" s="1083"/>
      <c r="P31" s="1083"/>
      <c r="Q31" s="1083"/>
      <c r="R31" s="1083"/>
      <c r="S31" s="1083"/>
      <c r="T31" s="1083"/>
      <c r="U31" s="1083"/>
      <c r="V31" s="1083"/>
      <c r="W31" s="1083"/>
      <c r="X31" s="1083"/>
      <c r="Y31" s="1081"/>
      <c r="Z31" s="1081"/>
      <c r="AA31" s="1081"/>
      <c r="AB31" s="1081"/>
      <c r="AC31" s="1081"/>
      <c r="AD31" s="1081"/>
      <c r="AE31" s="1082"/>
      <c r="AF31" s="1082"/>
      <c r="AG31" s="1082"/>
      <c r="AH31" s="1082"/>
      <c r="AI31" s="1082"/>
      <c r="AJ31" s="1082"/>
      <c r="AK31" s="1082"/>
      <c r="AL31" s="1082"/>
      <c r="AM31" s="1082"/>
      <c r="AN31" s="1082"/>
      <c r="AO31" s="1082"/>
      <c r="AP31" s="1082"/>
      <c r="AQ31" s="1082"/>
      <c r="AR31" s="1082"/>
      <c r="AS31" s="1082"/>
      <c r="AT31" s="1082"/>
      <c r="AU31" s="1082"/>
      <c r="AV31" s="1082"/>
      <c r="AW31" s="1082"/>
      <c r="AX31" s="1082"/>
      <c r="AY31" s="1082"/>
      <c r="AZ31" s="1082"/>
    </row>
    <row r="32" spans="1:52">
      <c r="A32" s="1081"/>
      <c r="B32" s="1100"/>
      <c r="C32" s="1129" t="s">
        <v>279</v>
      </c>
      <c r="D32" s="1130" t="s">
        <v>800</v>
      </c>
      <c r="E32" s="1133"/>
      <c r="F32" s="1134"/>
      <c r="G32" s="1135" t="s">
        <v>264</v>
      </c>
      <c r="H32" s="1136">
        <f>IF('Annexure -I I'!K17="",0,'Annexure -I I'!K17)</f>
        <v>0</v>
      </c>
      <c r="I32" s="1126"/>
      <c r="J32" s="1105"/>
      <c r="K32" s="1104"/>
      <c r="L32" s="1106"/>
      <c r="M32" s="1083"/>
      <c r="N32" s="1083"/>
      <c r="O32" s="1083"/>
      <c r="P32" s="1083"/>
      <c r="Q32" s="1083"/>
      <c r="R32" s="1083"/>
      <c r="S32" s="1083"/>
      <c r="T32" s="1083"/>
      <c r="U32" s="1083"/>
      <c r="V32" s="1083"/>
      <c r="W32" s="1083"/>
      <c r="X32" s="1083"/>
      <c r="Y32" s="1081"/>
      <c r="Z32" s="1081"/>
      <c r="AA32" s="1081"/>
      <c r="AB32" s="1081"/>
      <c r="AC32" s="1081"/>
      <c r="AD32" s="1081"/>
      <c r="AE32" s="1082"/>
      <c r="AF32" s="1082"/>
      <c r="AG32" s="1082"/>
      <c r="AH32" s="1082"/>
      <c r="AI32" s="1082"/>
      <c r="AJ32" s="1082"/>
      <c r="AK32" s="1082"/>
      <c r="AL32" s="1082"/>
      <c r="AM32" s="1082"/>
      <c r="AN32" s="1082"/>
      <c r="AO32" s="1082"/>
      <c r="AP32" s="1082"/>
      <c r="AQ32" s="1082"/>
      <c r="AR32" s="1082"/>
      <c r="AS32" s="1082"/>
      <c r="AT32" s="1082"/>
      <c r="AU32" s="1082"/>
      <c r="AV32" s="1082"/>
      <c r="AW32" s="1082"/>
      <c r="AX32" s="1082"/>
      <c r="AY32" s="1082"/>
      <c r="AZ32" s="1082"/>
    </row>
    <row r="33" spans="1:52">
      <c r="A33" s="1081"/>
      <c r="B33" s="1100"/>
      <c r="C33" s="1129" t="s">
        <v>280</v>
      </c>
      <c r="D33" s="1130" t="s">
        <v>795</v>
      </c>
      <c r="E33" s="1133"/>
      <c r="F33" s="1134"/>
      <c r="G33" s="1135" t="s">
        <v>264</v>
      </c>
      <c r="H33" s="1136">
        <f>IF(DATA!AH49=1,0,'Annexure -I I'!L13)</f>
        <v>40150</v>
      </c>
      <c r="I33" s="1126"/>
      <c r="J33" s="1105"/>
      <c r="K33" s="1104"/>
      <c r="L33" s="1106"/>
      <c r="M33" s="1083"/>
      <c r="N33" s="1083"/>
      <c r="O33" s="1083"/>
      <c r="P33" s="1083"/>
      <c r="Q33" s="1083"/>
      <c r="R33" s="1083"/>
      <c r="S33" s="1083"/>
      <c r="T33" s="1083"/>
      <c r="U33" s="1083"/>
      <c r="V33" s="1083"/>
      <c r="W33" s="1083"/>
      <c r="X33" s="1083"/>
      <c r="Y33" s="1081"/>
      <c r="Z33" s="1081"/>
      <c r="AA33" s="1081"/>
      <c r="AB33" s="1081"/>
      <c r="AC33" s="1081"/>
      <c r="AD33" s="1081"/>
      <c r="AE33" s="1082"/>
      <c r="AF33" s="1082"/>
      <c r="AG33" s="1082"/>
      <c r="AH33" s="1082"/>
      <c r="AI33" s="1082"/>
      <c r="AJ33" s="1082"/>
      <c r="AK33" s="1082"/>
      <c r="AL33" s="1082"/>
      <c r="AM33" s="1082"/>
      <c r="AN33" s="1082"/>
      <c r="AO33" s="1082"/>
      <c r="AP33" s="1082"/>
      <c r="AQ33" s="1082"/>
      <c r="AR33" s="1082"/>
      <c r="AS33" s="1082"/>
      <c r="AT33" s="1082"/>
      <c r="AU33" s="1082"/>
      <c r="AV33" s="1082"/>
      <c r="AW33" s="1082"/>
      <c r="AX33" s="1082"/>
      <c r="AY33" s="1082"/>
      <c r="AZ33" s="1082"/>
    </row>
    <row r="34" spans="1:52">
      <c r="A34" s="1081"/>
      <c r="B34" s="1100"/>
      <c r="C34" s="1137" t="s">
        <v>802</v>
      </c>
      <c r="D34" s="1130"/>
      <c r="E34" s="1133"/>
      <c r="F34" s="1134"/>
      <c r="G34" s="1135"/>
      <c r="H34" s="1136"/>
      <c r="I34" s="1126"/>
      <c r="J34" s="1105"/>
      <c r="K34" s="1104" t="s">
        <v>264</v>
      </c>
      <c r="L34" s="1138">
        <f>SUM(H28:H33)</f>
        <v>40150</v>
      </c>
      <c r="M34" s="1083"/>
      <c r="N34" s="1083"/>
      <c r="O34" s="1083"/>
      <c r="P34" s="1083"/>
      <c r="Q34" s="1083"/>
      <c r="R34" s="1083"/>
      <c r="S34" s="1083"/>
      <c r="T34" s="1083"/>
      <c r="U34" s="1083"/>
      <c r="V34" s="1083"/>
      <c r="W34" s="1083"/>
      <c r="X34" s="1083"/>
      <c r="Y34" s="1081"/>
      <c r="Z34" s="1081"/>
      <c r="AA34" s="1081"/>
      <c r="AB34" s="1081"/>
      <c r="AC34" s="1081"/>
      <c r="AD34" s="1081"/>
      <c r="AE34" s="1082"/>
      <c r="AF34" s="1082"/>
      <c r="AG34" s="1082"/>
      <c r="AH34" s="1082"/>
      <c r="AI34" s="1082"/>
      <c r="AJ34" s="1082"/>
      <c r="AK34" s="1082"/>
      <c r="AL34" s="1082"/>
      <c r="AM34" s="1082"/>
      <c r="AN34" s="1082"/>
      <c r="AO34" s="1082"/>
      <c r="AP34" s="1082"/>
      <c r="AQ34" s="1082"/>
      <c r="AR34" s="1082"/>
      <c r="AS34" s="1082"/>
      <c r="AT34" s="1082"/>
      <c r="AU34" s="1082"/>
      <c r="AV34" s="1082"/>
      <c r="AW34" s="1082"/>
      <c r="AX34" s="1082"/>
      <c r="AY34" s="1082"/>
      <c r="AZ34" s="1082"/>
    </row>
    <row r="35" spans="1:52" ht="18" customHeight="1">
      <c r="A35" s="1081"/>
      <c r="B35" s="1100">
        <v>4</v>
      </c>
      <c r="C35" s="2135" t="s">
        <v>804</v>
      </c>
      <c r="D35" s="2135"/>
      <c r="E35" s="2135"/>
      <c r="F35" s="2135"/>
      <c r="G35" s="1122"/>
      <c r="H35" s="1139"/>
      <c r="I35" s="1104"/>
      <c r="J35" s="1105"/>
      <c r="K35" s="1140" t="s">
        <v>264</v>
      </c>
      <c r="L35" s="1141">
        <f>L26-L34</f>
        <v>1263828</v>
      </c>
      <c r="M35" s="1083"/>
      <c r="N35" s="1083"/>
      <c r="O35" s="1083"/>
      <c r="P35" s="1083"/>
      <c r="Q35" s="1083"/>
      <c r="R35" s="1083"/>
      <c r="S35" s="1083"/>
      <c r="T35" s="1083"/>
      <c r="U35" s="1083"/>
      <c r="V35" s="1083"/>
      <c r="W35" s="1083"/>
      <c r="X35" s="1083"/>
      <c r="Y35" s="1081"/>
      <c r="Z35" s="1081"/>
      <c r="AA35" s="1081"/>
      <c r="AB35" s="1081"/>
      <c r="AC35" s="1081"/>
      <c r="AD35" s="1081"/>
      <c r="AE35" s="1082"/>
      <c r="AF35" s="1082"/>
      <c r="AG35" s="1082"/>
      <c r="AH35" s="1082"/>
      <c r="AI35" s="1082"/>
      <c r="AJ35" s="1082"/>
      <c r="AK35" s="1082"/>
      <c r="AL35" s="1082"/>
      <c r="AM35" s="1082"/>
      <c r="AN35" s="1082"/>
      <c r="AO35" s="1082"/>
      <c r="AP35" s="1082"/>
      <c r="AQ35" s="1082"/>
      <c r="AR35" s="1082"/>
      <c r="AS35" s="1082"/>
      <c r="AT35" s="1082"/>
      <c r="AU35" s="1082"/>
      <c r="AV35" s="1082"/>
      <c r="AW35" s="1082"/>
      <c r="AX35" s="1082"/>
      <c r="AY35" s="1082"/>
      <c r="AZ35" s="1082"/>
    </row>
    <row r="36" spans="1:52" ht="18" customHeight="1">
      <c r="A36" s="1081"/>
      <c r="B36" s="1100">
        <v>5</v>
      </c>
      <c r="C36" s="1142" t="s">
        <v>801</v>
      </c>
      <c r="D36" s="1131"/>
      <c r="E36" s="1131"/>
      <c r="F36" s="1143"/>
      <c r="G36" s="1144"/>
      <c r="H36" s="1145"/>
      <c r="I36" s="2144"/>
      <c r="J36" s="2145"/>
      <c r="K36" s="1126"/>
      <c r="L36" s="1124"/>
      <c r="M36" s="1083"/>
      <c r="N36" s="1083"/>
      <c r="O36" s="1083"/>
      <c r="P36" s="1083"/>
      <c r="Q36" s="1083"/>
      <c r="R36" s="1083"/>
      <c r="S36" s="1083"/>
      <c r="T36" s="1083"/>
      <c r="U36" s="1083"/>
      <c r="V36" s="1083"/>
      <c r="W36" s="1083"/>
      <c r="X36" s="1083"/>
      <c r="Y36" s="1081"/>
      <c r="Z36" s="1081"/>
      <c r="AA36" s="1081"/>
      <c r="AB36" s="1081"/>
      <c r="AC36" s="1081"/>
      <c r="AD36" s="1081"/>
      <c r="AE36" s="1082"/>
      <c r="AF36" s="1082"/>
      <c r="AG36" s="1082"/>
      <c r="AH36" s="1082"/>
      <c r="AI36" s="1082"/>
      <c r="AJ36" s="1082"/>
      <c r="AK36" s="1082"/>
      <c r="AL36" s="1082"/>
      <c r="AM36" s="1082"/>
      <c r="AN36" s="1082"/>
      <c r="AO36" s="1082"/>
      <c r="AP36" s="1082"/>
      <c r="AQ36" s="1082"/>
      <c r="AR36" s="1082"/>
      <c r="AS36" s="1082"/>
      <c r="AT36" s="1082"/>
      <c r="AU36" s="1082"/>
      <c r="AV36" s="1082"/>
      <c r="AW36" s="1082"/>
      <c r="AX36" s="1082"/>
      <c r="AY36" s="1082"/>
      <c r="AZ36" s="1082"/>
    </row>
    <row r="37" spans="1:52" ht="14.1" customHeight="1">
      <c r="A37" s="1081"/>
      <c r="B37" s="1107"/>
      <c r="C37" s="1146" t="s">
        <v>796</v>
      </c>
      <c r="D37" s="1130"/>
      <c r="E37" s="1130"/>
      <c r="F37" s="1147"/>
      <c r="G37" s="1144"/>
      <c r="H37" s="1148">
        <f>IF(DATA!AH49=1,0,50000)</f>
        <v>50000</v>
      </c>
      <c r="I37" s="1149"/>
      <c r="J37" s="1150"/>
      <c r="K37" s="1126"/>
      <c r="L37" s="1151"/>
      <c r="M37" s="1111"/>
      <c r="N37" s="1111"/>
      <c r="O37" s="1111"/>
      <c r="P37" s="1111"/>
      <c r="Q37" s="1111"/>
      <c r="R37" s="1111"/>
      <c r="S37" s="1111"/>
      <c r="T37" s="1111"/>
      <c r="U37" s="1111"/>
      <c r="V37" s="1111"/>
      <c r="W37" s="1111"/>
      <c r="X37" s="1111"/>
      <c r="Y37" s="1081"/>
      <c r="Z37" s="1081"/>
      <c r="AA37" s="1081"/>
      <c r="AB37" s="1081"/>
      <c r="AC37" s="1081"/>
      <c r="AD37" s="1081"/>
      <c r="AE37" s="1082"/>
      <c r="AF37" s="1082"/>
      <c r="AG37" s="1082"/>
      <c r="AH37" s="1082"/>
      <c r="AI37" s="1082"/>
      <c r="AJ37" s="1082"/>
      <c r="AK37" s="1082"/>
      <c r="AL37" s="1082"/>
      <c r="AM37" s="1082"/>
      <c r="AN37" s="1082"/>
      <c r="AO37" s="1082"/>
      <c r="AP37" s="1082"/>
      <c r="AQ37" s="1082"/>
      <c r="AR37" s="1082"/>
      <c r="AS37" s="1082"/>
      <c r="AT37" s="1082"/>
      <c r="AU37" s="1082"/>
      <c r="AV37" s="1082"/>
      <c r="AW37" s="1082"/>
      <c r="AX37" s="1082"/>
      <c r="AY37" s="1082"/>
      <c r="AZ37" s="1082"/>
    </row>
    <row r="38" spans="1:52" ht="14.1" customHeight="1">
      <c r="A38" s="1081"/>
      <c r="B38" s="1107"/>
      <c r="C38" s="1146" t="s">
        <v>797</v>
      </c>
      <c r="D38" s="1130"/>
      <c r="E38" s="1130"/>
      <c r="F38" s="1147"/>
      <c r="G38" s="1144"/>
      <c r="H38" s="1148">
        <v>0</v>
      </c>
      <c r="I38" s="1149"/>
      <c r="J38" s="1150"/>
      <c r="K38" s="1126"/>
      <c r="L38" s="1151"/>
      <c r="M38" s="1111"/>
      <c r="N38" s="1111"/>
      <c r="O38" s="1111"/>
      <c r="P38" s="1111"/>
      <c r="Q38" s="1111"/>
      <c r="R38" s="1111"/>
      <c r="S38" s="1111"/>
      <c r="T38" s="1111"/>
      <c r="U38" s="1111"/>
      <c r="V38" s="1111"/>
      <c r="W38" s="1111"/>
      <c r="X38" s="1111"/>
      <c r="Y38" s="1081"/>
      <c r="Z38" s="1081"/>
      <c r="AA38" s="1081"/>
      <c r="AB38" s="1081"/>
      <c r="AC38" s="1081"/>
      <c r="AD38" s="1081"/>
      <c r="AE38" s="1082"/>
      <c r="AF38" s="1082"/>
      <c r="AG38" s="1082"/>
      <c r="AH38" s="1082"/>
      <c r="AI38" s="1082"/>
      <c r="AJ38" s="1082"/>
      <c r="AK38" s="1082"/>
      <c r="AL38" s="1082"/>
      <c r="AM38" s="1082"/>
      <c r="AN38" s="1082"/>
      <c r="AO38" s="1082"/>
      <c r="AP38" s="1082"/>
      <c r="AQ38" s="1082"/>
      <c r="AR38" s="1082"/>
      <c r="AS38" s="1082"/>
      <c r="AT38" s="1082"/>
      <c r="AU38" s="1082"/>
      <c r="AV38" s="1082"/>
      <c r="AW38" s="1082"/>
      <c r="AX38" s="1082"/>
      <c r="AY38" s="1082"/>
      <c r="AZ38" s="1082"/>
    </row>
    <row r="39" spans="1:52" ht="14.1" customHeight="1">
      <c r="A39" s="1081"/>
      <c r="B39" s="1107"/>
      <c r="C39" s="1146" t="s">
        <v>798</v>
      </c>
      <c r="D39" s="1130"/>
      <c r="E39" s="1130"/>
      <c r="F39" s="1147"/>
      <c r="G39" s="1144"/>
      <c r="H39" s="1148">
        <f>IF(DATA!AH49=1,0,(IF('Annexure -I I'!K18="",0,'Annexure -I I'!K18)))</f>
        <v>2400</v>
      </c>
      <c r="I39" s="1149"/>
      <c r="J39" s="1150"/>
      <c r="K39" s="1126" t="s">
        <v>264</v>
      </c>
      <c r="L39" s="1124">
        <f>SUM(H37:H39)</f>
        <v>52400</v>
      </c>
      <c r="M39" s="1111"/>
      <c r="N39" s="1111"/>
      <c r="O39" s="1111"/>
      <c r="P39" s="1111"/>
      <c r="Q39" s="1111"/>
      <c r="R39" s="1111"/>
      <c r="S39" s="1111"/>
      <c r="T39" s="1111"/>
      <c r="U39" s="1111"/>
      <c r="V39" s="1111"/>
      <c r="W39" s="1111"/>
      <c r="X39" s="1111"/>
      <c r="Y39" s="1081"/>
      <c r="Z39" s="1081"/>
      <c r="AA39" s="1081"/>
      <c r="AB39" s="1081"/>
      <c r="AC39" s="1081"/>
      <c r="AD39" s="1081"/>
      <c r="AE39" s="1082"/>
      <c r="AF39" s="1082"/>
      <c r="AG39" s="1082"/>
      <c r="AH39" s="1082"/>
      <c r="AI39" s="1082"/>
      <c r="AJ39" s="1082"/>
      <c r="AK39" s="1082"/>
      <c r="AL39" s="1082"/>
      <c r="AM39" s="1082"/>
      <c r="AN39" s="1082"/>
      <c r="AO39" s="1082"/>
      <c r="AP39" s="1082"/>
      <c r="AQ39" s="1082"/>
      <c r="AR39" s="1082"/>
      <c r="AS39" s="1082"/>
      <c r="AT39" s="1082"/>
      <c r="AU39" s="1082"/>
      <c r="AV39" s="1082"/>
      <c r="AW39" s="1082"/>
      <c r="AX39" s="1082"/>
      <c r="AY39" s="1082"/>
      <c r="AZ39" s="1082"/>
    </row>
    <row r="40" spans="1:52" ht="18" customHeight="1">
      <c r="A40" s="1081"/>
      <c r="B40" s="1100">
        <v>6</v>
      </c>
      <c r="C40" s="1142" t="s">
        <v>789</v>
      </c>
      <c r="D40" s="1131"/>
      <c r="E40" s="1131"/>
      <c r="F40" s="1143"/>
      <c r="G40" s="1144"/>
      <c r="H40" s="1145" t="str">
        <f>'Annexure -I I'!I20</f>
        <v/>
      </c>
      <c r="I40" s="2144" t="str">
        <f>'Annexure -I I'!J20</f>
        <v/>
      </c>
      <c r="J40" s="2145"/>
      <c r="K40" s="1140"/>
      <c r="L40" s="1141">
        <f>L35-L39</f>
        <v>1211428</v>
      </c>
      <c r="M40" s="1083"/>
      <c r="N40" s="1083"/>
      <c r="O40" s="1083"/>
      <c r="P40" s="1083"/>
      <c r="Q40" s="1083"/>
      <c r="R40" s="1083"/>
      <c r="S40" s="1083"/>
      <c r="T40" s="1083"/>
      <c r="U40" s="1083"/>
      <c r="V40" s="1083"/>
      <c r="W40" s="1083"/>
      <c r="X40" s="1083"/>
      <c r="Y40" s="1081"/>
      <c r="Z40" s="1081"/>
      <c r="AA40" s="1081"/>
      <c r="AB40" s="1081"/>
      <c r="AC40" s="1081"/>
      <c r="AD40" s="1081"/>
      <c r="AE40" s="1082"/>
      <c r="AF40" s="1082"/>
      <c r="AG40" s="1082"/>
      <c r="AH40" s="1082"/>
      <c r="AI40" s="1082"/>
      <c r="AJ40" s="1082"/>
      <c r="AK40" s="1082"/>
      <c r="AL40" s="1082"/>
      <c r="AM40" s="1082"/>
      <c r="AN40" s="1082"/>
      <c r="AO40" s="1082"/>
      <c r="AP40" s="1082"/>
      <c r="AQ40" s="1082"/>
      <c r="AR40" s="1082"/>
      <c r="AS40" s="1082"/>
      <c r="AT40" s="1082"/>
      <c r="AU40" s="1082"/>
      <c r="AV40" s="1082"/>
      <c r="AW40" s="1082"/>
      <c r="AX40" s="1082"/>
      <c r="AY40" s="1082"/>
      <c r="AZ40" s="1082"/>
    </row>
    <row r="41" spans="1:52" ht="18" customHeight="1">
      <c r="A41" s="1081"/>
      <c r="B41" s="1100">
        <v>7</v>
      </c>
      <c r="C41" s="1152" t="s">
        <v>944</v>
      </c>
      <c r="D41" s="1121"/>
      <c r="E41" s="1121"/>
      <c r="F41" s="1121"/>
      <c r="G41" s="1121"/>
      <c r="H41" s="1153" t="str">
        <f>'Annexure -I I'!I21</f>
        <v/>
      </c>
      <c r="I41" s="2144" t="str">
        <f>'Annexure -I I'!J21</f>
        <v/>
      </c>
      <c r="J41" s="2145"/>
      <c r="K41" s="1154"/>
      <c r="L41" s="1155"/>
      <c r="M41" s="1083"/>
      <c r="N41" s="1083"/>
      <c r="O41" s="1083"/>
      <c r="P41" s="1083"/>
      <c r="Q41" s="1083"/>
      <c r="R41" s="1083"/>
      <c r="S41" s="1083"/>
      <c r="T41" s="1083"/>
      <c r="U41" s="1083"/>
      <c r="V41" s="1083"/>
      <c r="W41" s="1083"/>
      <c r="X41" s="1083"/>
      <c r="Y41" s="1081"/>
      <c r="Z41" s="1081"/>
      <c r="AA41" s="1081"/>
      <c r="AB41" s="1081"/>
      <c r="AC41" s="1081"/>
      <c r="AD41" s="1081"/>
      <c r="AE41" s="1082"/>
      <c r="AF41" s="1082"/>
      <c r="AG41" s="1082"/>
      <c r="AH41" s="1082"/>
      <c r="AI41" s="1082"/>
      <c r="AJ41" s="1082"/>
      <c r="AK41" s="1082"/>
      <c r="AL41" s="1082"/>
      <c r="AM41" s="1082"/>
      <c r="AN41" s="1082"/>
      <c r="AO41" s="1082"/>
      <c r="AP41" s="1082"/>
      <c r="AQ41" s="1082"/>
      <c r="AR41" s="1082"/>
      <c r="AS41" s="1082"/>
      <c r="AT41" s="1082"/>
      <c r="AU41" s="1082"/>
      <c r="AV41" s="1082"/>
      <c r="AW41" s="1082"/>
      <c r="AX41" s="1082"/>
      <c r="AY41" s="1082"/>
      <c r="AZ41" s="1082"/>
    </row>
    <row r="42" spans="1:52" ht="14.1" customHeight="1">
      <c r="A42" s="1081"/>
      <c r="B42" s="1100"/>
      <c r="C42" s="1146" t="str">
        <f>'Annexure -I I'!C22</f>
        <v>Income From other sources</v>
      </c>
      <c r="D42" s="1121"/>
      <c r="E42" s="1121"/>
      <c r="F42" s="1156"/>
      <c r="G42" s="1144"/>
      <c r="H42" s="1145" t="str">
        <f>'Annexure -I I'!I22</f>
        <v/>
      </c>
      <c r="I42" s="2144" t="str">
        <f>'Annexure -I I'!J22</f>
        <v/>
      </c>
      <c r="J42" s="2145"/>
      <c r="K42" s="1157" t="s">
        <v>264</v>
      </c>
      <c r="L42" s="1158">
        <f>'Annexure -I I'!L22</f>
        <v>0</v>
      </c>
      <c r="M42" s="1083"/>
      <c r="N42" s="1083"/>
      <c r="O42" s="1083"/>
      <c r="P42" s="1083"/>
      <c r="Q42" s="1083"/>
      <c r="R42" s="1083"/>
      <c r="S42" s="1083"/>
      <c r="T42" s="1083"/>
      <c r="U42" s="1083"/>
      <c r="V42" s="1083"/>
      <c r="W42" s="1083"/>
      <c r="X42" s="1083"/>
      <c r="Y42" s="1081"/>
      <c r="Z42" s="1081"/>
      <c r="AA42" s="1081"/>
      <c r="AB42" s="1081"/>
      <c r="AC42" s="1081"/>
      <c r="AD42" s="1081"/>
      <c r="AE42" s="1082"/>
      <c r="AF42" s="1082"/>
      <c r="AG42" s="1082"/>
      <c r="AH42" s="1082"/>
      <c r="AI42" s="1082"/>
      <c r="AJ42" s="1082"/>
      <c r="AK42" s="1082"/>
      <c r="AL42" s="1082"/>
      <c r="AM42" s="1082"/>
      <c r="AN42" s="1082"/>
      <c r="AO42" s="1082"/>
      <c r="AP42" s="1082"/>
      <c r="AQ42" s="1082"/>
      <c r="AR42" s="1082"/>
      <c r="AS42" s="1082"/>
      <c r="AT42" s="1082"/>
      <c r="AU42" s="1082"/>
      <c r="AV42" s="1082"/>
      <c r="AW42" s="1082"/>
      <c r="AX42" s="1082"/>
      <c r="AY42" s="1082"/>
      <c r="AZ42" s="1082"/>
    </row>
    <row r="43" spans="1:52" ht="14.1" customHeight="1">
      <c r="A43" s="1081"/>
      <c r="B43" s="1100"/>
      <c r="C43" s="1146" t="str">
        <f>'Annexure -I I'!C23</f>
        <v>Income From Capital Gains</v>
      </c>
      <c r="D43" s="1130"/>
      <c r="E43" s="1130"/>
      <c r="F43" s="1159"/>
      <c r="G43" s="1144"/>
      <c r="H43" s="1145" t="str">
        <f>'Annexure -I I'!I23</f>
        <v/>
      </c>
      <c r="I43" s="2144" t="str">
        <f>'Annexure -I I'!J23</f>
        <v/>
      </c>
      <c r="J43" s="2145"/>
      <c r="K43" s="1157" t="s">
        <v>264</v>
      </c>
      <c r="L43" s="1158">
        <f>'Annexure -I I'!L23</f>
        <v>0</v>
      </c>
      <c r="M43" s="1083"/>
      <c r="N43" s="1160">
        <f>L42+L43+L44</f>
        <v>0</v>
      </c>
      <c r="O43" s="1083"/>
      <c r="P43" s="1083"/>
      <c r="Q43" s="1083"/>
      <c r="R43" s="1083"/>
      <c r="S43" s="1083"/>
      <c r="T43" s="1083"/>
      <c r="U43" s="1083"/>
      <c r="V43" s="1083"/>
      <c r="W43" s="1083"/>
      <c r="X43" s="1083"/>
      <c r="Y43" s="1081"/>
      <c r="Z43" s="1081"/>
      <c r="AA43" s="1081"/>
      <c r="AB43" s="1081"/>
      <c r="AC43" s="1081"/>
      <c r="AD43" s="1081"/>
      <c r="AE43" s="1082"/>
      <c r="AF43" s="1082"/>
      <c r="AG43" s="1082"/>
      <c r="AH43" s="1082"/>
      <c r="AI43" s="1082"/>
      <c r="AJ43" s="1082"/>
      <c r="AK43" s="1082"/>
      <c r="AL43" s="1082"/>
      <c r="AM43" s="1082"/>
      <c r="AN43" s="1082"/>
      <c r="AO43" s="1082"/>
      <c r="AP43" s="1082"/>
      <c r="AQ43" s="1082"/>
      <c r="AR43" s="1082"/>
      <c r="AS43" s="1082"/>
      <c r="AT43" s="1082"/>
      <c r="AU43" s="1082"/>
      <c r="AV43" s="1082"/>
      <c r="AW43" s="1082"/>
      <c r="AX43" s="1082"/>
      <c r="AY43" s="1082"/>
      <c r="AZ43" s="1082"/>
    </row>
    <row r="44" spans="1:52" ht="14.1" customHeight="1">
      <c r="A44" s="1081"/>
      <c r="B44" s="1100"/>
      <c r="C44" s="1146" t="str">
        <f>CONCATENATE('Annexure -I I'!C24,"",'Annexure -I I'!E24)</f>
        <v>Incomefrom House Property U/s 24 (vi)</v>
      </c>
      <c r="D44" s="1130"/>
      <c r="E44" s="1130"/>
      <c r="F44" s="1159"/>
      <c r="G44" s="1144"/>
      <c r="H44" s="1145" t="str">
        <f>'Annexure -I I'!I24</f>
        <v/>
      </c>
      <c r="I44" s="2144" t="str">
        <f>'Annexure -I I'!J24</f>
        <v/>
      </c>
      <c r="J44" s="2145"/>
      <c r="K44" s="1161" t="s">
        <v>264</v>
      </c>
      <c r="L44" s="1162">
        <f>'Annexure -I I'!L24</f>
        <v>0</v>
      </c>
      <c r="M44" s="1083"/>
      <c r="N44" s="1160">
        <f>L42+L43+L44</f>
        <v>0</v>
      </c>
      <c r="O44" s="1083"/>
      <c r="P44" s="1083"/>
      <c r="Q44" s="1083"/>
      <c r="R44" s="1083"/>
      <c r="S44" s="1083"/>
      <c r="T44" s="1083"/>
      <c r="U44" s="1083"/>
      <c r="V44" s="1083"/>
      <c r="W44" s="1083"/>
      <c r="X44" s="1083"/>
      <c r="Y44" s="1081"/>
      <c r="Z44" s="1081"/>
      <c r="AA44" s="1081"/>
      <c r="AB44" s="1081"/>
      <c r="AC44" s="1081"/>
      <c r="AD44" s="1081"/>
      <c r="AE44" s="1082"/>
      <c r="AF44" s="1082"/>
      <c r="AG44" s="1082"/>
      <c r="AH44" s="1082"/>
      <c r="AI44" s="1082"/>
      <c r="AJ44" s="1082"/>
      <c r="AK44" s="1082"/>
      <c r="AL44" s="1082"/>
      <c r="AM44" s="1082"/>
      <c r="AN44" s="1082"/>
      <c r="AO44" s="1082"/>
      <c r="AP44" s="1082"/>
      <c r="AQ44" s="1082"/>
      <c r="AR44" s="1082"/>
      <c r="AS44" s="1082"/>
      <c r="AT44" s="1082"/>
      <c r="AU44" s="1082"/>
      <c r="AV44" s="1082"/>
      <c r="AW44" s="1082"/>
      <c r="AX44" s="1082"/>
      <c r="AY44" s="1082"/>
      <c r="AZ44" s="1082"/>
    </row>
    <row r="45" spans="1:52" ht="16.5" customHeight="1">
      <c r="A45" s="1081"/>
      <c r="B45" s="1100">
        <v>8</v>
      </c>
      <c r="C45" s="2146" t="s">
        <v>835</v>
      </c>
      <c r="D45" s="2146"/>
      <c r="E45" s="2146"/>
      <c r="F45" s="1130"/>
      <c r="G45" s="1122"/>
      <c r="H45" s="1163"/>
      <c r="I45" s="1164"/>
      <c r="J45" s="1165"/>
      <c r="K45" s="1127" t="s">
        <v>264</v>
      </c>
      <c r="L45" s="1128">
        <f>L40+N44</f>
        <v>1211428</v>
      </c>
      <c r="M45" s="1083"/>
      <c r="N45" s="1083"/>
      <c r="O45" s="1083"/>
      <c r="P45" s="1083"/>
      <c r="Q45" s="1083"/>
      <c r="R45" s="1083"/>
      <c r="S45" s="1083"/>
      <c r="T45" s="1083"/>
      <c r="U45" s="1083"/>
      <c r="V45" s="1083"/>
      <c r="W45" s="1083"/>
      <c r="X45" s="1083"/>
      <c r="Y45" s="1081"/>
      <c r="Z45" s="1081"/>
      <c r="AA45" s="1081"/>
      <c r="AB45" s="1081"/>
      <c r="AC45" s="1081"/>
      <c r="AD45" s="1081"/>
      <c r="AE45" s="1082"/>
      <c r="AF45" s="1082"/>
      <c r="AG45" s="1082"/>
      <c r="AH45" s="1082"/>
      <c r="AI45" s="1082"/>
      <c r="AJ45" s="1082"/>
      <c r="AK45" s="1082"/>
      <c r="AL45" s="1082"/>
      <c r="AM45" s="1082"/>
      <c r="AN45" s="1082"/>
      <c r="AO45" s="1082"/>
      <c r="AP45" s="1082"/>
      <c r="AQ45" s="1082"/>
      <c r="AR45" s="1082"/>
      <c r="AS45" s="1082"/>
      <c r="AT45" s="1082"/>
      <c r="AU45" s="1082"/>
      <c r="AV45" s="1082"/>
      <c r="AW45" s="1082"/>
      <c r="AX45" s="1082"/>
      <c r="AY45" s="1082"/>
      <c r="AZ45" s="1082"/>
    </row>
    <row r="46" spans="1:52" ht="14.25" customHeight="1">
      <c r="A46" s="1081"/>
      <c r="B46" s="1100">
        <v>9</v>
      </c>
      <c r="C46" s="1166" t="s">
        <v>308</v>
      </c>
      <c r="D46" s="1131"/>
      <c r="E46" s="1131"/>
      <c r="F46" s="1167"/>
      <c r="G46" s="1122"/>
      <c r="H46" s="1163"/>
      <c r="I46" s="1164"/>
      <c r="J46" s="1168"/>
      <c r="K46" s="1104"/>
      <c r="L46" s="1106"/>
      <c r="M46" s="1083"/>
      <c r="N46" s="1083"/>
      <c r="O46" s="1083"/>
      <c r="P46" s="1083"/>
      <c r="Q46" s="1083"/>
      <c r="R46" s="1083"/>
      <c r="S46" s="1083"/>
      <c r="T46" s="1083"/>
      <c r="U46" s="1083"/>
      <c r="V46" s="1083"/>
      <c r="W46" s="1083"/>
      <c r="X46" s="1083"/>
      <c r="Y46" s="1081"/>
      <c r="Z46" s="1081"/>
      <c r="AA46" s="1081"/>
      <c r="AB46" s="1081"/>
      <c r="AC46" s="1081"/>
      <c r="AD46" s="1081"/>
      <c r="AE46" s="1082"/>
      <c r="AF46" s="1082"/>
      <c r="AG46" s="1082"/>
      <c r="AH46" s="1082"/>
      <c r="AI46" s="1082"/>
      <c r="AJ46" s="1082"/>
      <c r="AK46" s="1082"/>
      <c r="AL46" s="1082"/>
      <c r="AM46" s="1082"/>
      <c r="AN46" s="1082"/>
      <c r="AO46" s="1082"/>
      <c r="AP46" s="1082"/>
      <c r="AQ46" s="1082"/>
      <c r="AR46" s="1082"/>
      <c r="AS46" s="1082"/>
      <c r="AT46" s="1082"/>
      <c r="AU46" s="1082"/>
      <c r="AV46" s="1082"/>
      <c r="AW46" s="1082"/>
      <c r="AX46" s="1082"/>
      <c r="AY46" s="1082"/>
      <c r="AZ46" s="1082"/>
    </row>
    <row r="47" spans="1:52">
      <c r="A47" s="1081"/>
      <c r="B47" s="1169" t="s">
        <v>309</v>
      </c>
      <c r="C47" s="2164" t="s">
        <v>310</v>
      </c>
      <c r="D47" s="2164"/>
      <c r="E47" s="2164"/>
      <c r="F47" s="1170"/>
      <c r="G47" s="2151" t="s">
        <v>248</v>
      </c>
      <c r="H47" s="2152"/>
      <c r="I47" s="2150" t="s">
        <v>311</v>
      </c>
      <c r="J47" s="2150"/>
      <c r="K47" s="1171"/>
      <c r="L47" s="1172"/>
      <c r="M47" s="1083"/>
      <c r="N47" s="1083"/>
      <c r="O47" s="1083"/>
      <c r="P47" s="1083"/>
      <c r="Q47" s="1083"/>
      <c r="R47" s="1083"/>
      <c r="S47" s="1083"/>
      <c r="T47" s="1083"/>
      <c r="U47" s="1083"/>
      <c r="V47" s="1083"/>
      <c r="W47" s="1083"/>
      <c r="X47" s="1083"/>
      <c r="Y47" s="1081"/>
      <c r="Z47" s="1081"/>
      <c r="AA47" s="1081"/>
      <c r="AB47" s="1081"/>
      <c r="AC47" s="1081"/>
      <c r="AD47" s="1081"/>
      <c r="AE47" s="1082"/>
      <c r="AF47" s="1082"/>
      <c r="AG47" s="1082"/>
      <c r="AH47" s="1082"/>
      <c r="AI47" s="1082"/>
      <c r="AJ47" s="1082"/>
      <c r="AK47" s="1082"/>
      <c r="AL47" s="1082"/>
      <c r="AM47" s="1082"/>
      <c r="AN47" s="1082"/>
      <c r="AO47" s="1082"/>
      <c r="AP47" s="1082"/>
      <c r="AQ47" s="1082"/>
      <c r="AR47" s="1082"/>
      <c r="AS47" s="1082"/>
      <c r="AT47" s="1082"/>
      <c r="AU47" s="1082"/>
      <c r="AV47" s="1082"/>
      <c r="AW47" s="1082"/>
      <c r="AX47" s="1082"/>
      <c r="AY47" s="1082"/>
      <c r="AZ47" s="1082"/>
    </row>
    <row r="48" spans="1:52" ht="15.75">
      <c r="A48" s="1081"/>
      <c r="B48" s="1100"/>
      <c r="C48" s="1173" t="s">
        <v>265</v>
      </c>
      <c r="D48" s="1174" t="s">
        <v>312</v>
      </c>
      <c r="E48" s="1131"/>
      <c r="F48" s="1170"/>
      <c r="G48" s="2147" t="s">
        <v>295</v>
      </c>
      <c r="H48" s="2143"/>
      <c r="I48" s="2142" t="s">
        <v>295</v>
      </c>
      <c r="J48" s="2143"/>
      <c r="K48" s="1171"/>
      <c r="L48" s="1172"/>
      <c r="M48" s="1083"/>
      <c r="N48" s="1083"/>
      <c r="O48" s="1083"/>
      <c r="P48" s="1083"/>
      <c r="Q48" s="1083"/>
      <c r="R48" s="1083"/>
      <c r="S48" s="1083"/>
      <c r="T48" s="1083"/>
      <c r="U48" s="1083"/>
      <c r="V48" s="1083"/>
      <c r="W48" s="1083"/>
      <c r="X48" s="1083"/>
      <c r="Y48" s="1081"/>
      <c r="Z48" s="1081"/>
      <c r="AA48" s="1081"/>
      <c r="AB48" s="1081"/>
      <c r="AC48" s="1081"/>
      <c r="AD48" s="1081"/>
      <c r="AE48" s="1082"/>
      <c r="AF48" s="1082"/>
      <c r="AG48" s="1082"/>
      <c r="AH48" s="1082"/>
      <c r="AI48" s="1082"/>
      <c r="AJ48" s="1082"/>
      <c r="AK48" s="1082"/>
      <c r="AL48" s="1082"/>
      <c r="AM48" s="1082"/>
      <c r="AN48" s="1082"/>
      <c r="AO48" s="1082"/>
      <c r="AP48" s="1082"/>
      <c r="AQ48" s="1082"/>
      <c r="AR48" s="1082"/>
      <c r="AS48" s="1082"/>
      <c r="AT48" s="1082"/>
      <c r="AU48" s="1082"/>
      <c r="AV48" s="1082"/>
      <c r="AW48" s="1082"/>
      <c r="AX48" s="1082"/>
      <c r="AY48" s="1082"/>
      <c r="AZ48" s="1082"/>
    </row>
    <row r="49" spans="1:52" ht="14.1" customHeight="1">
      <c r="A49" s="1081"/>
      <c r="B49" s="1100"/>
      <c r="C49" s="1175" t="s">
        <v>614</v>
      </c>
      <c r="D49" s="1104" t="str">
        <f>'Annexure -I I'!D37</f>
        <v>PF</v>
      </c>
      <c r="E49" s="1176"/>
      <c r="F49" s="1177"/>
      <c r="G49" s="1178" t="s">
        <v>264</v>
      </c>
      <c r="H49" s="1179">
        <f>IF(DATA!AH49=1,0,IF(DATA!AH49=1,0,'Annexure -I I'!K37))</f>
        <v>189717</v>
      </c>
      <c r="I49" s="1180" t="s">
        <v>264</v>
      </c>
      <c r="J49" s="1181">
        <f>IF(H49&lt;=M$50,H49,IF(H49&gt;=M$50,M$50))</f>
        <v>150000</v>
      </c>
      <c r="K49" s="1104"/>
      <c r="L49" s="1172"/>
      <c r="M49" s="1083"/>
      <c r="N49" s="1083"/>
      <c r="O49" s="1083"/>
      <c r="P49" s="1083"/>
      <c r="Q49" s="1083"/>
      <c r="R49" s="1083"/>
      <c r="S49" s="1083"/>
      <c r="T49" s="1083"/>
      <c r="U49" s="1083"/>
      <c r="V49" s="1083"/>
      <c r="W49" s="1083"/>
      <c r="X49" s="1083"/>
      <c r="Y49" s="1081"/>
      <c r="Z49" s="1081"/>
      <c r="AA49" s="1081"/>
      <c r="AB49" s="1081"/>
      <c r="AC49" s="1081"/>
      <c r="AD49" s="1081"/>
      <c r="AE49" s="1082"/>
      <c r="AF49" s="1082"/>
      <c r="AG49" s="1082"/>
      <c r="AH49" s="1082"/>
      <c r="AI49" s="1082"/>
      <c r="AJ49" s="1082"/>
      <c r="AK49" s="1082"/>
      <c r="AL49" s="1082"/>
      <c r="AM49" s="1082"/>
      <c r="AN49" s="1082"/>
      <c r="AO49" s="1082"/>
      <c r="AP49" s="1082"/>
      <c r="AQ49" s="1082"/>
      <c r="AR49" s="1082"/>
      <c r="AS49" s="1082"/>
      <c r="AT49" s="1082"/>
      <c r="AU49" s="1082"/>
      <c r="AV49" s="1082"/>
      <c r="AW49" s="1082"/>
      <c r="AX49" s="1082"/>
      <c r="AY49" s="1082"/>
      <c r="AZ49" s="1082"/>
    </row>
    <row r="50" spans="1:52" ht="14.1" customHeight="1">
      <c r="A50" s="1081"/>
      <c r="B50" s="1100"/>
      <c r="C50" s="1175" t="s">
        <v>614</v>
      </c>
      <c r="D50" s="1176" t="s">
        <v>314</v>
      </c>
      <c r="E50" s="1176"/>
      <c r="F50" s="1177"/>
      <c r="G50" s="1178" t="s">
        <v>264</v>
      </c>
      <c r="H50" s="1179">
        <f>IF(DATA!AH49=1,0,IF(DATA!AH49=1,0,Bill!AA25))</f>
        <v>24000</v>
      </c>
      <c r="I50" s="1180" t="s">
        <v>264</v>
      </c>
      <c r="J50" s="1181">
        <f t="shared" ref="J50:J55" si="0">IF(H50&lt;=M$50,H50,IF(H50&gt;=M$50,M$50))</f>
        <v>24000</v>
      </c>
      <c r="K50" s="1104"/>
      <c r="L50" s="1172"/>
      <c r="M50" s="1182">
        <v>150000</v>
      </c>
      <c r="N50" s="1083"/>
      <c r="O50" s="1083"/>
      <c r="P50" s="1083"/>
      <c r="Q50" s="1083"/>
      <c r="R50" s="1083"/>
      <c r="S50" s="1083"/>
      <c r="T50" s="1083"/>
      <c r="U50" s="1083"/>
      <c r="V50" s="1083"/>
      <c r="W50" s="1083"/>
      <c r="X50" s="1083"/>
      <c r="Y50" s="1081"/>
      <c r="Z50" s="1081"/>
      <c r="AA50" s="1081"/>
      <c r="AB50" s="1081"/>
      <c r="AC50" s="1081"/>
      <c r="AD50" s="1081"/>
      <c r="AE50" s="1082"/>
      <c r="AF50" s="1082"/>
      <c r="AG50" s="1082"/>
      <c r="AH50" s="1082"/>
      <c r="AI50" s="1082"/>
      <c r="AJ50" s="1082"/>
      <c r="AK50" s="1082"/>
      <c r="AL50" s="1082"/>
      <c r="AM50" s="1082"/>
      <c r="AN50" s="1082"/>
      <c r="AO50" s="1082"/>
      <c r="AP50" s="1082"/>
      <c r="AQ50" s="1082"/>
      <c r="AR50" s="1082"/>
      <c r="AS50" s="1082"/>
      <c r="AT50" s="1082"/>
      <c r="AU50" s="1082"/>
      <c r="AV50" s="1082"/>
      <c r="AW50" s="1082"/>
      <c r="AX50" s="1082"/>
      <c r="AY50" s="1082"/>
      <c r="AZ50" s="1082"/>
    </row>
    <row r="51" spans="1:52" ht="14.1" customHeight="1">
      <c r="A51" s="1081"/>
      <c r="B51" s="1100"/>
      <c r="C51" s="1175" t="s">
        <v>614</v>
      </c>
      <c r="D51" s="1176" t="s">
        <v>315</v>
      </c>
      <c r="E51" s="1176"/>
      <c r="F51" s="1177"/>
      <c r="G51" s="1178" t="s">
        <v>264</v>
      </c>
      <c r="H51" s="1179">
        <f>IF(DATA!AH49=1,0,IF(DATA!AH49=1,0,Bill!AD25))</f>
        <v>1440</v>
      </c>
      <c r="I51" s="1180" t="s">
        <v>264</v>
      </c>
      <c r="J51" s="1181">
        <f t="shared" si="0"/>
        <v>1440</v>
      </c>
      <c r="K51" s="1104"/>
      <c r="L51" s="1172"/>
      <c r="M51" s="1083"/>
      <c r="N51" s="1083"/>
      <c r="O51" s="1083"/>
      <c r="P51" s="1083"/>
      <c r="Q51" s="1083"/>
      <c r="R51" s="1083"/>
      <c r="S51" s="1083"/>
      <c r="T51" s="1083"/>
      <c r="U51" s="1083"/>
      <c r="V51" s="1083"/>
      <c r="W51" s="1083"/>
      <c r="X51" s="1083"/>
      <c r="Y51" s="1081"/>
      <c r="Z51" s="1081"/>
      <c r="AA51" s="1081"/>
      <c r="AB51" s="1081"/>
      <c r="AC51" s="1081"/>
      <c r="AD51" s="1081"/>
      <c r="AE51" s="1082"/>
      <c r="AF51" s="1082"/>
      <c r="AG51" s="1082"/>
      <c r="AH51" s="1082"/>
      <c r="AI51" s="1082"/>
      <c r="AJ51" s="1082"/>
      <c r="AK51" s="1082"/>
      <c r="AL51" s="1082"/>
      <c r="AM51" s="1082"/>
      <c r="AN51" s="1082"/>
      <c r="AO51" s="1082"/>
      <c r="AP51" s="1082"/>
      <c r="AQ51" s="1082"/>
      <c r="AR51" s="1082"/>
      <c r="AS51" s="1082"/>
      <c r="AT51" s="1082"/>
      <c r="AU51" s="1082"/>
      <c r="AV51" s="1082"/>
      <c r="AW51" s="1082"/>
      <c r="AX51" s="1082"/>
      <c r="AY51" s="1082"/>
      <c r="AZ51" s="1082"/>
    </row>
    <row r="52" spans="1:52" ht="14.1" customHeight="1">
      <c r="A52" s="1081"/>
      <c r="B52" s="1100"/>
      <c r="C52" s="1183" t="s">
        <v>614</v>
      </c>
      <c r="D52" s="2173" t="str">
        <f>'Annexure -I I'!D40</f>
        <v xml:space="preserve">LIC Policies Monthly Premium in Salary </v>
      </c>
      <c r="E52" s="2173"/>
      <c r="F52" s="2174"/>
      <c r="G52" s="1178" t="s">
        <v>264</v>
      </c>
      <c r="H52" s="1179">
        <f>IF(DATA!AH49=1,0,IF(DATA!AH49=1,0,'Annexure -I I'!K40))</f>
        <v>0</v>
      </c>
      <c r="I52" s="1180" t="s">
        <v>264</v>
      </c>
      <c r="J52" s="1181">
        <f t="shared" si="0"/>
        <v>0</v>
      </c>
      <c r="K52" s="1104"/>
      <c r="L52" s="1172"/>
      <c r="M52" s="1083"/>
      <c r="N52" s="1083"/>
      <c r="O52" s="1083"/>
      <c r="P52" s="1083"/>
      <c r="Q52" s="1083"/>
      <c r="R52" s="1083"/>
      <c r="S52" s="1083"/>
      <c r="T52" s="1083"/>
      <c r="U52" s="1083"/>
      <c r="V52" s="1083"/>
      <c r="W52" s="1083"/>
      <c r="X52" s="1083"/>
      <c r="Y52" s="1081"/>
      <c r="Z52" s="1081"/>
      <c r="AA52" s="1081"/>
      <c r="AB52" s="1081"/>
      <c r="AC52" s="1081"/>
      <c r="AD52" s="1081"/>
      <c r="AE52" s="1082"/>
      <c r="AF52" s="1082"/>
      <c r="AG52" s="1082"/>
      <c r="AH52" s="1082"/>
      <c r="AI52" s="1082"/>
      <c r="AJ52" s="1082"/>
      <c r="AK52" s="1082"/>
      <c r="AL52" s="1082"/>
      <c r="AM52" s="1082"/>
      <c r="AN52" s="1082"/>
      <c r="AO52" s="1082"/>
      <c r="AP52" s="1082"/>
      <c r="AQ52" s="1082"/>
      <c r="AR52" s="1082"/>
      <c r="AS52" s="1082"/>
      <c r="AT52" s="1082"/>
      <c r="AU52" s="1082"/>
      <c r="AV52" s="1082"/>
      <c r="AW52" s="1082"/>
      <c r="AX52" s="1082"/>
      <c r="AY52" s="1082"/>
      <c r="AZ52" s="1082"/>
    </row>
    <row r="53" spans="1:52" ht="14.1" customHeight="1">
      <c r="A53" s="1081"/>
      <c r="B53" s="1100"/>
      <c r="C53" s="1183" t="s">
        <v>614</v>
      </c>
      <c r="D53" s="2133" t="str">
        <f>'Annexure -I I'!D41</f>
        <v>LIC Policies premium - Yearly</v>
      </c>
      <c r="E53" s="2133"/>
      <c r="F53" s="2134"/>
      <c r="G53" s="1178" t="s">
        <v>264</v>
      </c>
      <c r="H53" s="1179">
        <f>IF(DATA!AH49=1,0,IF(DATA!AH49=1,0,DATA!G27))</f>
        <v>0</v>
      </c>
      <c r="I53" s="1180" t="s">
        <v>264</v>
      </c>
      <c r="J53" s="1181">
        <f t="shared" si="0"/>
        <v>0</v>
      </c>
      <c r="K53" s="1104"/>
      <c r="L53" s="1172"/>
      <c r="M53" s="1083"/>
      <c r="N53" s="1083"/>
      <c r="O53" s="1083"/>
      <c r="P53" s="1083"/>
      <c r="Q53" s="1083"/>
      <c r="R53" s="1083"/>
      <c r="S53" s="1083"/>
      <c r="T53" s="1083"/>
      <c r="U53" s="1083"/>
      <c r="V53" s="1083"/>
      <c r="W53" s="1083"/>
      <c r="X53" s="1083"/>
      <c r="Y53" s="1081"/>
      <c r="Z53" s="1081"/>
      <c r="AA53" s="1081"/>
      <c r="AB53" s="1081"/>
      <c r="AC53" s="1081"/>
      <c r="AD53" s="1081"/>
      <c r="AE53" s="1082"/>
      <c r="AF53" s="1082"/>
      <c r="AG53" s="1082"/>
      <c r="AH53" s="1082"/>
      <c r="AI53" s="1082"/>
      <c r="AJ53" s="1082"/>
      <c r="AK53" s="1082"/>
      <c r="AL53" s="1082"/>
      <c r="AM53" s="1082"/>
      <c r="AN53" s="1082"/>
      <c r="AO53" s="1082"/>
      <c r="AP53" s="1082"/>
      <c r="AQ53" s="1082"/>
      <c r="AR53" s="1082"/>
      <c r="AS53" s="1082"/>
      <c r="AT53" s="1082"/>
      <c r="AU53" s="1082"/>
      <c r="AV53" s="1082"/>
      <c r="AW53" s="1082"/>
      <c r="AX53" s="1082"/>
      <c r="AY53" s="1082"/>
      <c r="AZ53" s="1082"/>
    </row>
    <row r="54" spans="1:52" ht="14.1" customHeight="1">
      <c r="A54" s="1081"/>
      <c r="B54" s="1100"/>
      <c r="C54" s="1183" t="s">
        <v>614</v>
      </c>
      <c r="D54" s="2133" t="str">
        <f>'Annexure -I I'!D42</f>
        <v>Exide Life Insurance</v>
      </c>
      <c r="E54" s="2133"/>
      <c r="F54" s="2134"/>
      <c r="G54" s="1178" t="s">
        <v>264</v>
      </c>
      <c r="H54" s="1179">
        <f>IF(DATA!AH49=1,0,IF(DATA!AH49=1,0,DATA!G28))</f>
        <v>0</v>
      </c>
      <c r="I54" s="1180" t="s">
        <v>264</v>
      </c>
      <c r="J54" s="1181">
        <f t="shared" si="0"/>
        <v>0</v>
      </c>
      <c r="K54" s="1104"/>
      <c r="L54" s="1172"/>
      <c r="M54" s="1083"/>
      <c r="N54" s="1083"/>
      <c r="O54" s="1083"/>
      <c r="P54" s="1083"/>
      <c r="Q54" s="1083"/>
      <c r="R54" s="1083"/>
      <c r="S54" s="1083"/>
      <c r="T54" s="1083"/>
      <c r="U54" s="1083"/>
      <c r="V54" s="1083"/>
      <c r="W54" s="1083"/>
      <c r="X54" s="1083"/>
      <c r="Y54" s="1081"/>
      <c r="Z54" s="1081"/>
      <c r="AA54" s="1081"/>
      <c r="AB54" s="1081"/>
      <c r="AC54" s="1081"/>
      <c r="AD54" s="1081"/>
      <c r="AE54" s="1082"/>
      <c r="AF54" s="1082"/>
      <c r="AG54" s="1082"/>
      <c r="AH54" s="1082"/>
      <c r="AI54" s="1082"/>
      <c r="AJ54" s="1082"/>
      <c r="AK54" s="1082"/>
      <c r="AL54" s="1082"/>
      <c r="AM54" s="1082"/>
      <c r="AN54" s="1082"/>
      <c r="AO54" s="1082"/>
      <c r="AP54" s="1082"/>
      <c r="AQ54" s="1082"/>
      <c r="AR54" s="1082"/>
      <c r="AS54" s="1082"/>
      <c r="AT54" s="1082"/>
      <c r="AU54" s="1082"/>
      <c r="AV54" s="1082"/>
      <c r="AW54" s="1082"/>
      <c r="AX54" s="1082"/>
      <c r="AY54" s="1082"/>
      <c r="AZ54" s="1082"/>
    </row>
    <row r="55" spans="1:52" ht="14.1" customHeight="1">
      <c r="A55" s="1081"/>
      <c r="B55" s="1100"/>
      <c r="C55" s="1183" t="s">
        <v>614</v>
      </c>
      <c r="D55" s="2133" t="str">
        <f>'Annexure -I I'!D43</f>
        <v>Sukanya Samruddhi Yojana</v>
      </c>
      <c r="E55" s="2133"/>
      <c r="F55" s="2134"/>
      <c r="G55" s="1178" t="s">
        <v>264</v>
      </c>
      <c r="H55" s="1179">
        <f>IF(DATA!AH49=1,0,IF(DATA!AH49=1,0,DATA!G29))</f>
        <v>0</v>
      </c>
      <c r="I55" s="1180" t="s">
        <v>264</v>
      </c>
      <c r="J55" s="1181">
        <f t="shared" si="0"/>
        <v>0</v>
      </c>
      <c r="K55" s="1104"/>
      <c r="L55" s="1172"/>
      <c r="M55" s="1083"/>
      <c r="N55" s="1083"/>
      <c r="O55" s="1083"/>
      <c r="P55" s="1083"/>
      <c r="Q55" s="1083"/>
      <c r="R55" s="1083"/>
      <c r="S55" s="1083"/>
      <c r="T55" s="1083"/>
      <c r="U55" s="1083"/>
      <c r="V55" s="1083"/>
      <c r="W55" s="1083"/>
      <c r="X55" s="1083"/>
      <c r="Y55" s="1081"/>
      <c r="Z55" s="1081"/>
      <c r="AA55" s="1081"/>
      <c r="AB55" s="1081"/>
      <c r="AC55" s="1081"/>
      <c r="AD55" s="1081"/>
      <c r="AE55" s="1082"/>
      <c r="AF55" s="1082"/>
      <c r="AG55" s="1082"/>
      <c r="AH55" s="1082"/>
      <c r="AI55" s="1082"/>
      <c r="AJ55" s="1082"/>
      <c r="AK55" s="1082"/>
      <c r="AL55" s="1082"/>
      <c r="AM55" s="1082"/>
      <c r="AN55" s="1082"/>
      <c r="AO55" s="1082"/>
      <c r="AP55" s="1082"/>
      <c r="AQ55" s="1082"/>
      <c r="AR55" s="1082"/>
      <c r="AS55" s="1082"/>
      <c r="AT55" s="1082"/>
      <c r="AU55" s="1082"/>
      <c r="AV55" s="1082"/>
      <c r="AW55" s="1082"/>
      <c r="AX55" s="1082"/>
      <c r="AY55" s="1082"/>
      <c r="AZ55" s="1082"/>
    </row>
    <row r="56" spans="1:52" ht="14.1" customHeight="1">
      <c r="A56" s="1081"/>
      <c r="B56" s="1100"/>
      <c r="C56" s="1184" t="s">
        <v>614</v>
      </c>
      <c r="D56" s="2133" t="str">
        <f>'Annexure -I I'!D44</f>
        <v>PLI (Postal Life Insurance)</v>
      </c>
      <c r="E56" s="2133"/>
      <c r="F56" s="2134"/>
      <c r="G56" s="1178" t="s">
        <v>264</v>
      </c>
      <c r="H56" s="1179">
        <f>IF(DATA!AH49=1,0,IF(DATA!AH49=1,0,DATA!G30))</f>
        <v>0</v>
      </c>
      <c r="I56" s="1180" t="s">
        <v>264</v>
      </c>
      <c r="J56" s="1181">
        <f>IF(H56&lt;=M$50,H56,IF(H56&gt;=M$50,M$50))</f>
        <v>0</v>
      </c>
      <c r="K56" s="1126"/>
      <c r="L56" s="1172"/>
      <c r="M56" s="1083"/>
      <c r="N56" s="1083"/>
      <c r="O56" s="1083"/>
      <c r="P56" s="1083"/>
      <c r="Q56" s="1083"/>
      <c r="R56" s="1083"/>
      <c r="S56" s="1083"/>
      <c r="T56" s="1083"/>
      <c r="U56" s="1083"/>
      <c r="V56" s="1083"/>
      <c r="W56" s="1083"/>
      <c r="X56" s="1083"/>
      <c r="Y56" s="1081"/>
      <c r="Z56" s="1081"/>
      <c r="AA56" s="1081"/>
      <c r="AB56" s="1081"/>
      <c r="AC56" s="1081"/>
      <c r="AD56" s="1081"/>
      <c r="AE56" s="1082"/>
      <c r="AF56" s="1082"/>
      <c r="AG56" s="1082"/>
      <c r="AH56" s="1082"/>
      <c r="AI56" s="1082"/>
      <c r="AJ56" s="1082"/>
      <c r="AK56" s="1082"/>
      <c r="AL56" s="1082"/>
      <c r="AM56" s="1082"/>
      <c r="AN56" s="1082"/>
      <c r="AO56" s="1082"/>
      <c r="AP56" s="1082"/>
      <c r="AQ56" s="1082"/>
      <c r="AR56" s="1082"/>
      <c r="AS56" s="1082"/>
      <c r="AT56" s="1082"/>
      <c r="AU56" s="1082"/>
      <c r="AV56" s="1082"/>
      <c r="AW56" s="1082"/>
      <c r="AX56" s="1082"/>
      <c r="AY56" s="1082"/>
      <c r="AZ56" s="1082"/>
    </row>
    <row r="57" spans="1:52" ht="14.1" customHeight="1">
      <c r="A57" s="1081"/>
      <c r="B57" s="1100"/>
      <c r="C57" s="1184" t="s">
        <v>614</v>
      </c>
      <c r="D57" s="1185" t="str">
        <f>'Annexure -I I'!D45</f>
        <v>Housing Loan Principal Amount</v>
      </c>
      <c r="E57" s="1185"/>
      <c r="F57" s="1185"/>
      <c r="G57" s="1178" t="s">
        <v>264</v>
      </c>
      <c r="H57" s="1186">
        <f>IF(DATA!AH49=1,0,IF(DATA!AH49=1,0,DATA!G26))</f>
        <v>0</v>
      </c>
      <c r="I57" s="1180" t="s">
        <v>264</v>
      </c>
      <c r="J57" s="1187">
        <f>IF(H57&lt;=M$50,H57,IF(H57&gt;=M$50,M$50))</f>
        <v>0</v>
      </c>
      <c r="K57" s="1126"/>
      <c r="L57" s="1172"/>
      <c r="M57" s="1083"/>
      <c r="N57" s="1083"/>
      <c r="O57" s="1083"/>
      <c r="P57" s="1083"/>
      <c r="Q57" s="1083"/>
      <c r="R57" s="1083"/>
      <c r="S57" s="1083"/>
      <c r="T57" s="1083"/>
      <c r="U57" s="1083"/>
      <c r="V57" s="1083"/>
      <c r="W57" s="1083"/>
      <c r="X57" s="1083"/>
      <c r="Y57" s="1081"/>
      <c r="Z57" s="1081"/>
      <c r="AA57" s="1081"/>
      <c r="AB57" s="1081"/>
      <c r="AC57" s="1081"/>
      <c r="AD57" s="1081"/>
      <c r="AE57" s="1082"/>
      <c r="AF57" s="1082"/>
      <c r="AG57" s="1082"/>
      <c r="AH57" s="1082"/>
      <c r="AI57" s="1082"/>
      <c r="AJ57" s="1082"/>
      <c r="AK57" s="1082"/>
      <c r="AL57" s="1082"/>
      <c r="AM57" s="1082"/>
      <c r="AN57" s="1082"/>
      <c r="AO57" s="1082"/>
      <c r="AP57" s="1082"/>
      <c r="AQ57" s="1082"/>
      <c r="AR57" s="1082"/>
      <c r="AS57" s="1082"/>
      <c r="AT57" s="1082"/>
      <c r="AU57" s="1082"/>
      <c r="AV57" s="1082"/>
      <c r="AW57" s="1082"/>
      <c r="AX57" s="1082"/>
      <c r="AY57" s="1082"/>
      <c r="AZ57" s="1082"/>
    </row>
    <row r="58" spans="1:52" ht="14.1" customHeight="1">
      <c r="A58" s="1081"/>
      <c r="B58" s="1100"/>
      <c r="C58" s="1188"/>
      <c r="D58" s="2141"/>
      <c r="E58" s="2141"/>
      <c r="F58" s="1170"/>
      <c r="G58" s="1189" t="s">
        <v>264</v>
      </c>
      <c r="H58" s="1190">
        <f>SUM(H49:H57)</f>
        <v>215157</v>
      </c>
      <c r="I58" s="1191" t="s">
        <v>264</v>
      </c>
      <c r="J58" s="1192">
        <f>IF((SUM(J49:J57))&lt;=DATA!BQ212,(SUM(J49:J57)),IF((SUM(J49:J57))&gt;=DATA!BQ212,DATA!BQ212))</f>
        <v>150000</v>
      </c>
      <c r="K58" s="1193"/>
      <c r="L58" s="1194"/>
      <c r="M58" s="1083"/>
      <c r="N58" s="1083"/>
      <c r="O58" s="1083"/>
      <c r="P58" s="1083"/>
      <c r="Q58" s="1083"/>
      <c r="R58" s="1083"/>
      <c r="S58" s="1083"/>
      <c r="T58" s="1083"/>
      <c r="U58" s="1083"/>
      <c r="V58" s="1083"/>
      <c r="W58" s="1083"/>
      <c r="X58" s="1083"/>
      <c r="Y58" s="1081"/>
      <c r="Z58" s="1081"/>
      <c r="AA58" s="1081"/>
      <c r="AB58" s="1081"/>
      <c r="AC58" s="1081"/>
      <c r="AD58" s="1081"/>
      <c r="AE58" s="1082"/>
      <c r="AF58" s="1082"/>
      <c r="AG58" s="1082"/>
      <c r="AH58" s="1082"/>
      <c r="AI58" s="1082"/>
      <c r="AJ58" s="1082"/>
      <c r="AK58" s="1082"/>
      <c r="AL58" s="1082"/>
      <c r="AM58" s="1082"/>
      <c r="AN58" s="1082"/>
      <c r="AO58" s="1082"/>
      <c r="AP58" s="1082"/>
      <c r="AQ58" s="1082"/>
      <c r="AR58" s="1082"/>
      <c r="AS58" s="1082"/>
      <c r="AT58" s="1082"/>
      <c r="AU58" s="1082"/>
      <c r="AV58" s="1082"/>
      <c r="AW58" s="1082"/>
      <c r="AX58" s="1082"/>
      <c r="AY58" s="1082"/>
      <c r="AZ58" s="1082"/>
    </row>
    <row r="59" spans="1:52" ht="13.9" customHeight="1">
      <c r="A59" s="1081"/>
      <c r="B59" s="1100"/>
      <c r="C59" s="1126"/>
      <c r="D59" s="1195"/>
      <c r="E59" s="2186" t="s">
        <v>565</v>
      </c>
      <c r="F59" s="2186"/>
      <c r="G59" s="2186"/>
      <c r="H59" s="2186"/>
      <c r="I59" s="2186"/>
      <c r="J59" s="2187"/>
      <c r="K59" s="1196" t="s">
        <v>264</v>
      </c>
      <c r="L59" s="1197">
        <f>J58</f>
        <v>150000</v>
      </c>
      <c r="M59" s="1083"/>
      <c r="N59" s="1083"/>
      <c r="O59" s="1083"/>
      <c r="P59" s="1083"/>
      <c r="Q59" s="1083"/>
      <c r="R59" s="1083"/>
      <c r="S59" s="1083"/>
      <c r="T59" s="1083"/>
      <c r="U59" s="1083"/>
      <c r="V59" s="1083"/>
      <c r="W59" s="1083"/>
      <c r="X59" s="1083"/>
      <c r="Y59" s="1081"/>
      <c r="Z59" s="1081"/>
      <c r="AA59" s="1081"/>
      <c r="AB59" s="1081"/>
      <c r="AC59" s="1081"/>
      <c r="AD59" s="1081"/>
      <c r="AE59" s="1082"/>
      <c r="AF59" s="1082"/>
      <c r="AG59" s="1082"/>
      <c r="AH59" s="1082"/>
      <c r="AI59" s="1082"/>
      <c r="AJ59" s="1082"/>
      <c r="AK59" s="1082"/>
      <c r="AL59" s="1082"/>
      <c r="AM59" s="1082"/>
      <c r="AN59" s="1082"/>
      <c r="AO59" s="1082"/>
      <c r="AP59" s="1082"/>
      <c r="AQ59" s="1082"/>
      <c r="AR59" s="1082"/>
      <c r="AS59" s="1082"/>
      <c r="AT59" s="1082"/>
      <c r="AU59" s="1082"/>
      <c r="AV59" s="1082"/>
      <c r="AW59" s="1082"/>
      <c r="AX59" s="1082"/>
      <c r="AY59" s="1082"/>
      <c r="AZ59" s="1082"/>
    </row>
    <row r="60" spans="1:52" ht="13.9" customHeight="1">
      <c r="A60" s="1081"/>
      <c r="B60" s="1100"/>
      <c r="C60" s="1198" t="str">
        <f>DATA!BE200</f>
        <v>80TTA</v>
      </c>
      <c r="D60" s="2175" t="str">
        <f>DATA!BC200</f>
        <v>Intrest on Saving Account ( Not Fixed Deposit )</v>
      </c>
      <c r="E60" s="2175"/>
      <c r="F60" s="2175"/>
      <c r="G60" s="1199" t="s">
        <v>264</v>
      </c>
      <c r="H60" s="1199">
        <f>IF(DATA!AH49=1,0,IF(DATA!AH49=1,0,DATA!G31))</f>
        <v>0</v>
      </c>
      <c r="I60" s="1199"/>
      <c r="J60" s="1200">
        <f>IF(DATA!AH49=1,0,IF(DATA!AH49=1,0,DATA!BF200))</f>
        <v>0</v>
      </c>
      <c r="K60" s="1201"/>
      <c r="L60" s="1202"/>
      <c r="M60" s="1083"/>
      <c r="N60" s="1083"/>
      <c r="O60" s="1083"/>
      <c r="P60" s="1083"/>
      <c r="Q60" s="1083"/>
      <c r="R60" s="1083"/>
      <c r="S60" s="1083"/>
      <c r="T60" s="1083"/>
      <c r="U60" s="1083"/>
      <c r="V60" s="1083"/>
      <c r="W60" s="1083"/>
      <c r="X60" s="1083"/>
      <c r="Y60" s="1081"/>
      <c r="Z60" s="1081"/>
      <c r="AA60" s="1081"/>
      <c r="AB60" s="1081"/>
      <c r="AC60" s="1081"/>
      <c r="AD60" s="1081"/>
      <c r="AE60" s="1082"/>
      <c r="AF60" s="1082"/>
      <c r="AG60" s="1082"/>
      <c r="AH60" s="1082"/>
      <c r="AI60" s="1082"/>
      <c r="AJ60" s="1082"/>
      <c r="AK60" s="1082"/>
      <c r="AL60" s="1082"/>
      <c r="AM60" s="1082"/>
      <c r="AN60" s="1082"/>
      <c r="AO60" s="1082"/>
      <c r="AP60" s="1082"/>
      <c r="AQ60" s="1082"/>
      <c r="AR60" s="1082"/>
      <c r="AS60" s="1082"/>
      <c r="AT60" s="1082"/>
      <c r="AU60" s="1082"/>
      <c r="AV60" s="1082"/>
      <c r="AW60" s="1082"/>
      <c r="AX60" s="1082"/>
      <c r="AY60" s="1082"/>
      <c r="AZ60" s="1082"/>
    </row>
    <row r="61" spans="1:52" ht="6.75" customHeight="1">
      <c r="A61" s="1081"/>
      <c r="B61" s="1203"/>
      <c r="C61" s="1204"/>
      <c r="D61" s="1205"/>
      <c r="E61" s="1205"/>
      <c r="F61" s="2171"/>
      <c r="G61" s="2171"/>
      <c r="H61" s="2171"/>
      <c r="I61" s="2171"/>
      <c r="J61" s="2172"/>
      <c r="K61" s="1206"/>
      <c r="L61" s="1207"/>
      <c r="M61" s="1083"/>
      <c r="N61" s="1083"/>
      <c r="O61" s="1083"/>
      <c r="P61" s="1083"/>
      <c r="Q61" s="1083"/>
      <c r="R61" s="1083"/>
      <c r="S61" s="1083"/>
      <c r="T61" s="1083"/>
      <c r="U61" s="1083"/>
      <c r="V61" s="1083"/>
      <c r="W61" s="1083"/>
      <c r="X61" s="1083"/>
      <c r="Y61" s="1081"/>
      <c r="Z61" s="1081"/>
      <c r="AA61" s="1081"/>
      <c r="AB61" s="1081"/>
      <c r="AC61" s="1081"/>
      <c r="AD61" s="1081"/>
      <c r="AE61" s="1082"/>
      <c r="AF61" s="1082"/>
      <c r="AG61" s="1082"/>
      <c r="AH61" s="1082"/>
      <c r="AI61" s="1082"/>
      <c r="AJ61" s="1082"/>
      <c r="AK61" s="1082"/>
      <c r="AL61" s="1082"/>
      <c r="AM61" s="1082"/>
      <c r="AN61" s="1082"/>
      <c r="AO61" s="1082"/>
      <c r="AP61" s="1082"/>
      <c r="AQ61" s="1082"/>
      <c r="AR61" s="1082"/>
      <c r="AS61" s="1082"/>
      <c r="AT61" s="1082"/>
      <c r="AU61" s="1082"/>
      <c r="AV61" s="1082"/>
      <c r="AW61" s="1082"/>
      <c r="AX61" s="1082"/>
      <c r="AY61" s="1082"/>
      <c r="AZ61" s="1082"/>
    </row>
    <row r="62" spans="1:52">
      <c r="A62" s="1081"/>
      <c r="B62" s="1208" t="s">
        <v>777</v>
      </c>
      <c r="C62"/>
      <c r="D62"/>
      <c r="E62"/>
      <c r="F62"/>
      <c r="G62"/>
      <c r="H62"/>
      <c r="I62"/>
      <c r="J62"/>
      <c r="K62"/>
      <c r="L62"/>
      <c r="M62" s="1083"/>
      <c r="N62" s="1083"/>
      <c r="O62" s="1083"/>
      <c r="P62" s="1083"/>
      <c r="Q62" s="1083"/>
      <c r="R62" s="1083"/>
      <c r="S62" s="1083"/>
      <c r="T62" s="1083"/>
      <c r="U62" s="1083"/>
      <c r="V62" s="1083"/>
      <c r="W62" s="1083"/>
      <c r="X62" s="1083"/>
      <c r="Y62" s="1081"/>
      <c r="Z62" s="1081"/>
      <c r="AA62" s="1081"/>
      <c r="AB62" s="1081"/>
      <c r="AC62" s="1081"/>
      <c r="AD62" s="1081"/>
      <c r="AE62" s="1082"/>
      <c r="AF62" s="1082"/>
      <c r="AG62" s="1082"/>
      <c r="AH62" s="1082"/>
      <c r="AI62" s="1082"/>
      <c r="AJ62" s="1082"/>
      <c r="AK62" s="1082"/>
      <c r="AL62" s="1082"/>
      <c r="AM62" s="1082"/>
      <c r="AN62" s="1082"/>
      <c r="AO62" s="1082"/>
      <c r="AP62" s="1082"/>
      <c r="AQ62" s="1082"/>
      <c r="AR62" s="1082"/>
      <c r="AS62" s="1082"/>
      <c r="AT62" s="1082"/>
      <c r="AU62" s="1082"/>
      <c r="AV62" s="1082"/>
      <c r="AW62" s="1082"/>
      <c r="AX62" s="1082"/>
      <c r="AY62" s="1082"/>
      <c r="AZ62" s="1082"/>
    </row>
    <row r="63" spans="1:52">
      <c r="A63" s="1081"/>
      <c r="B63" s="1083"/>
      <c r="C63" s="1083"/>
      <c r="D63" s="1083"/>
      <c r="E63" s="1083"/>
      <c r="F63" s="1083"/>
      <c r="G63" s="1083"/>
      <c r="H63" s="1083"/>
      <c r="I63" s="1083"/>
      <c r="J63" s="1083"/>
      <c r="K63" s="1083"/>
      <c r="L63" s="1083"/>
      <c r="M63" s="1083"/>
      <c r="N63" s="1083"/>
      <c r="O63" s="1083"/>
      <c r="P63" s="1083"/>
      <c r="Q63" s="1083"/>
      <c r="R63" s="1083"/>
      <c r="S63" s="1083"/>
      <c r="T63" s="1083"/>
      <c r="U63" s="1083"/>
      <c r="V63" s="1083"/>
      <c r="W63" s="1083"/>
      <c r="X63" s="1083"/>
      <c r="Y63" s="1081"/>
      <c r="Z63" s="1081"/>
      <c r="AA63" s="1081"/>
      <c r="AB63" s="1081"/>
      <c r="AC63" s="1081"/>
      <c r="AD63" s="1081"/>
      <c r="AE63" s="1082"/>
      <c r="AF63" s="1082"/>
      <c r="AG63" s="1082"/>
      <c r="AH63" s="1082"/>
      <c r="AI63" s="1082"/>
      <c r="AJ63" s="1082"/>
      <c r="AK63" s="1082"/>
      <c r="AL63" s="1082"/>
      <c r="AM63" s="1082"/>
      <c r="AN63" s="1082"/>
      <c r="AO63" s="1082"/>
      <c r="AP63" s="1082"/>
      <c r="AQ63" s="1082"/>
      <c r="AR63" s="1082"/>
      <c r="AS63" s="1082"/>
      <c r="AT63" s="1082"/>
      <c r="AU63" s="1082"/>
      <c r="AV63" s="1082"/>
      <c r="AW63" s="1082"/>
      <c r="AX63" s="1082"/>
      <c r="AY63" s="1082"/>
      <c r="AZ63" s="1082"/>
    </row>
    <row r="64" spans="1:52">
      <c r="A64" s="1081"/>
      <c r="B64" s="1083"/>
      <c r="C64" s="1083"/>
      <c r="D64" s="1083"/>
      <c r="E64" s="1083"/>
      <c r="F64" s="1083"/>
      <c r="G64" s="1083"/>
      <c r="H64" s="1083"/>
      <c r="I64" s="1083"/>
      <c r="J64" s="1083"/>
      <c r="K64" s="1083"/>
      <c r="L64" s="1083"/>
      <c r="M64" s="1083"/>
      <c r="N64" s="1083"/>
      <c r="O64" s="1083"/>
      <c r="P64" s="1083"/>
      <c r="Q64" s="1083"/>
      <c r="R64" s="1083"/>
      <c r="S64" s="1083"/>
      <c r="T64" s="1083"/>
      <c r="U64" s="1083"/>
      <c r="V64" s="1083"/>
      <c r="W64" s="1083"/>
      <c r="X64" s="1083"/>
      <c r="Y64" s="1081"/>
      <c r="Z64" s="1081"/>
      <c r="AA64" s="1081"/>
      <c r="AB64" s="1081"/>
      <c r="AC64" s="1081"/>
      <c r="AD64" s="1081"/>
      <c r="AE64" s="1082"/>
      <c r="AF64" s="1082"/>
      <c r="AG64" s="1082"/>
      <c r="AH64" s="1082"/>
      <c r="AI64" s="1082"/>
      <c r="AJ64" s="1082"/>
      <c r="AK64" s="1082"/>
      <c r="AL64" s="1082"/>
      <c r="AM64" s="1082"/>
      <c r="AN64" s="1082"/>
      <c r="AO64" s="1082"/>
      <c r="AP64" s="1082"/>
      <c r="AQ64" s="1082"/>
      <c r="AR64" s="1082"/>
      <c r="AS64" s="1082"/>
      <c r="AT64" s="1082"/>
      <c r="AU64" s="1082"/>
      <c r="AV64" s="1082"/>
      <c r="AW64" s="1082"/>
      <c r="AX64" s="1082"/>
      <c r="AY64" s="1082"/>
      <c r="AZ64" s="1082"/>
    </row>
    <row r="65" spans="1:52">
      <c r="A65" s="1081"/>
      <c r="B65" s="1083"/>
      <c r="C65" s="1083"/>
      <c r="D65" s="1083"/>
      <c r="E65" s="1083"/>
      <c r="F65" s="1083"/>
      <c r="G65" s="1083"/>
      <c r="H65" s="1083"/>
      <c r="I65" s="1083"/>
      <c r="J65" s="1083"/>
      <c r="K65" s="1083"/>
      <c r="L65" s="1083"/>
      <c r="M65" s="1083"/>
      <c r="N65" s="1083"/>
      <c r="O65" s="1083"/>
      <c r="P65" s="1083"/>
      <c r="Q65" s="1083"/>
      <c r="R65" s="1083"/>
      <c r="S65" s="1083"/>
      <c r="T65" s="1083"/>
      <c r="U65" s="1083"/>
      <c r="V65" s="1083"/>
      <c r="W65" s="1083"/>
      <c r="X65" s="1083"/>
      <c r="Y65" s="1081"/>
      <c r="Z65" s="1081"/>
      <c r="AA65" s="1081"/>
      <c r="AB65" s="1081"/>
      <c r="AC65" s="1081"/>
      <c r="AD65" s="1081"/>
      <c r="AE65" s="1082"/>
      <c r="AF65" s="1082"/>
      <c r="AG65" s="1082"/>
      <c r="AH65" s="1082"/>
      <c r="AI65" s="1082"/>
      <c r="AJ65" s="1082"/>
      <c r="AK65" s="1082"/>
      <c r="AL65" s="1082"/>
      <c r="AM65" s="1082"/>
      <c r="AN65" s="1082"/>
      <c r="AO65" s="1082"/>
      <c r="AP65" s="1082"/>
      <c r="AQ65" s="1082"/>
      <c r="AR65" s="1082"/>
      <c r="AS65" s="1082"/>
      <c r="AT65" s="1082"/>
      <c r="AU65" s="1082"/>
      <c r="AV65" s="1082"/>
      <c r="AW65" s="1082"/>
      <c r="AX65" s="1082"/>
      <c r="AY65" s="1082"/>
      <c r="AZ65" s="1082"/>
    </row>
    <row r="66" spans="1:52">
      <c r="A66" s="1081"/>
      <c r="B66" s="1083"/>
      <c r="C66" s="1083"/>
      <c r="D66" s="1083"/>
      <c r="E66" s="1083"/>
      <c r="F66" s="1083"/>
      <c r="G66" s="1083"/>
      <c r="H66" s="1083"/>
      <c r="I66" s="1083"/>
      <c r="J66" s="1083"/>
      <c r="K66" s="1083"/>
      <c r="L66" s="1083"/>
      <c r="M66" s="1083"/>
      <c r="N66" s="1083"/>
      <c r="O66" s="1083"/>
      <c r="P66" s="1083"/>
      <c r="Q66" s="1083"/>
      <c r="R66" s="1083"/>
      <c r="S66" s="1083"/>
      <c r="T66" s="1083"/>
      <c r="U66" s="1083"/>
      <c r="V66" s="1083"/>
      <c r="W66" s="1083"/>
      <c r="X66" s="1083"/>
      <c r="Y66" s="1081"/>
      <c r="Z66" s="1081"/>
      <c r="AA66" s="1081"/>
      <c r="AB66" s="1081"/>
      <c r="AC66" s="1081"/>
      <c r="AD66" s="1081"/>
      <c r="AE66" s="1082"/>
      <c r="AF66" s="1082"/>
      <c r="AG66" s="1082"/>
      <c r="AH66" s="1082"/>
      <c r="AI66" s="1082"/>
      <c r="AJ66" s="1082"/>
      <c r="AK66" s="1082"/>
      <c r="AL66" s="1082"/>
      <c r="AM66" s="1082"/>
      <c r="AN66" s="1082"/>
      <c r="AO66" s="1082"/>
      <c r="AP66" s="1082"/>
      <c r="AQ66" s="1082"/>
      <c r="AR66" s="1082"/>
      <c r="AS66" s="1082"/>
      <c r="AT66" s="1082"/>
      <c r="AU66" s="1082"/>
      <c r="AV66" s="1082"/>
      <c r="AW66" s="1082"/>
      <c r="AX66" s="1082"/>
      <c r="AY66" s="1082"/>
      <c r="AZ66" s="1082"/>
    </row>
    <row r="67" spans="1:52">
      <c r="A67" s="1081"/>
      <c r="B67" s="1083"/>
      <c r="C67" s="1083"/>
      <c r="D67" s="1083"/>
      <c r="E67" s="1083"/>
      <c r="F67" s="1083"/>
      <c r="G67" s="1083"/>
      <c r="H67" s="1083"/>
      <c r="I67" s="1083"/>
      <c r="J67" s="1083"/>
      <c r="K67" s="1083"/>
      <c r="L67" s="1083"/>
      <c r="M67" s="1083"/>
      <c r="N67" s="1083"/>
      <c r="O67" s="1083"/>
      <c r="P67" s="1083"/>
      <c r="Q67" s="1083"/>
      <c r="R67" s="1083"/>
      <c r="S67" s="1083"/>
      <c r="T67" s="1083"/>
      <c r="U67" s="1083"/>
      <c r="V67" s="1083"/>
      <c r="W67" s="1083"/>
      <c r="X67" s="1083"/>
      <c r="Y67" s="1081"/>
      <c r="Z67" s="1081"/>
      <c r="AA67" s="1081"/>
      <c r="AB67" s="1081"/>
      <c r="AC67" s="1081"/>
      <c r="AD67" s="1081"/>
      <c r="AE67" s="1082"/>
      <c r="AF67" s="1082"/>
      <c r="AG67" s="1082"/>
      <c r="AH67" s="1082"/>
      <c r="AI67" s="1082"/>
      <c r="AJ67" s="1082"/>
      <c r="AK67" s="1082"/>
      <c r="AL67" s="1082"/>
      <c r="AM67" s="1082"/>
      <c r="AN67" s="1082"/>
      <c r="AO67" s="1082"/>
      <c r="AP67" s="1082"/>
      <c r="AQ67" s="1082"/>
      <c r="AR67" s="1082"/>
      <c r="AS67" s="1082"/>
      <c r="AT67" s="1082"/>
      <c r="AU67" s="1082"/>
      <c r="AV67" s="1082"/>
      <c r="AW67" s="1082"/>
      <c r="AX67" s="1082"/>
      <c r="AY67" s="1082"/>
      <c r="AZ67" s="1082"/>
    </row>
    <row r="68" spans="1:52">
      <c r="A68" s="1081"/>
      <c r="B68" s="1083"/>
      <c r="C68" s="1083"/>
      <c r="D68" s="1083"/>
      <c r="E68" s="1083"/>
      <c r="F68" s="1083"/>
      <c r="G68" s="1083"/>
      <c r="H68" s="1083"/>
      <c r="I68" s="1083"/>
      <c r="J68" s="1083"/>
      <c r="K68" s="1083"/>
      <c r="L68" s="1083"/>
      <c r="M68" s="1083"/>
      <c r="N68" s="1083"/>
      <c r="O68" s="1083"/>
      <c r="P68" s="1083"/>
      <c r="Q68" s="1083"/>
      <c r="R68" s="1083"/>
      <c r="S68" s="1083"/>
      <c r="T68" s="1083"/>
      <c r="U68" s="1083"/>
      <c r="V68" s="1083"/>
      <c r="W68" s="1083"/>
      <c r="X68" s="1083"/>
      <c r="Y68" s="1081"/>
      <c r="Z68" s="1081"/>
      <c r="AA68" s="1081"/>
      <c r="AB68" s="1081"/>
      <c r="AC68" s="1081"/>
      <c r="AD68" s="1081"/>
      <c r="AE68" s="1082"/>
      <c r="AF68" s="1082"/>
      <c r="AG68" s="1082"/>
      <c r="AH68" s="1082"/>
      <c r="AI68" s="1082"/>
      <c r="AJ68" s="1082"/>
      <c r="AK68" s="1082"/>
      <c r="AL68" s="1082"/>
      <c r="AM68" s="1082"/>
      <c r="AN68" s="1082"/>
      <c r="AO68" s="1082"/>
      <c r="AP68" s="1082"/>
      <c r="AQ68" s="1082"/>
      <c r="AR68" s="1082"/>
      <c r="AS68" s="1082"/>
      <c r="AT68" s="1082"/>
      <c r="AU68" s="1082"/>
      <c r="AV68" s="1082"/>
      <c r="AW68" s="1082"/>
      <c r="AX68" s="1082"/>
      <c r="AY68" s="1082"/>
      <c r="AZ68" s="1082"/>
    </row>
    <row r="69" spans="1:52">
      <c r="A69" s="1081"/>
      <c r="B69" s="1083"/>
      <c r="C69" s="1083"/>
      <c r="D69" s="1083"/>
      <c r="E69" s="1083"/>
      <c r="F69" s="1083"/>
      <c r="G69" s="1083"/>
      <c r="H69" s="1083"/>
      <c r="I69" s="1083"/>
      <c r="J69" s="1083"/>
      <c r="K69" s="1083"/>
      <c r="L69" s="1083"/>
      <c r="M69" s="1083"/>
      <c r="N69" s="1083"/>
      <c r="O69" s="1083"/>
      <c r="P69" s="1083"/>
      <c r="Q69" s="1083"/>
      <c r="R69" s="1083"/>
      <c r="S69" s="1083"/>
      <c r="T69" s="1083"/>
      <c r="U69" s="1083"/>
      <c r="V69" s="1083"/>
      <c r="W69" s="1083"/>
      <c r="X69" s="1083"/>
      <c r="Y69" s="1081"/>
      <c r="Z69" s="1081"/>
      <c r="AA69" s="1081"/>
      <c r="AB69" s="1081"/>
      <c r="AC69" s="1081"/>
      <c r="AD69" s="1081"/>
      <c r="AE69" s="1082"/>
      <c r="AF69" s="1082"/>
      <c r="AG69" s="1082"/>
      <c r="AH69" s="1082"/>
      <c r="AI69" s="1082"/>
      <c r="AJ69" s="1082"/>
      <c r="AK69" s="1082"/>
      <c r="AL69" s="1082"/>
      <c r="AM69" s="1082"/>
      <c r="AN69" s="1082"/>
      <c r="AO69" s="1082"/>
      <c r="AP69" s="1082"/>
      <c r="AQ69" s="1082"/>
      <c r="AR69" s="1082"/>
      <c r="AS69" s="1082"/>
      <c r="AT69" s="1082"/>
      <c r="AU69" s="1082"/>
      <c r="AV69" s="1082"/>
      <c r="AW69" s="1082"/>
      <c r="AX69" s="1082"/>
      <c r="AY69" s="1082"/>
      <c r="AZ69" s="1082"/>
    </row>
    <row r="70" spans="1:52">
      <c r="A70" s="1081"/>
      <c r="B70" s="1083"/>
      <c r="C70" s="1083"/>
      <c r="D70" s="1083"/>
      <c r="E70" s="1083"/>
      <c r="F70" s="1083"/>
      <c r="G70" s="1083"/>
      <c r="H70" s="1083"/>
      <c r="I70" s="1083"/>
      <c r="J70" s="1083"/>
      <c r="K70" s="1083"/>
      <c r="L70" s="1083"/>
      <c r="M70" s="1083"/>
      <c r="N70" s="1083"/>
      <c r="O70" s="1083"/>
      <c r="P70" s="1083"/>
      <c r="Q70" s="1083"/>
      <c r="R70" s="1083"/>
      <c r="S70" s="1083"/>
      <c r="T70" s="1083"/>
      <c r="U70" s="1083"/>
      <c r="V70" s="1083"/>
      <c r="W70" s="1083"/>
      <c r="X70" s="1083"/>
      <c r="Y70" s="1081"/>
      <c r="Z70" s="1081"/>
      <c r="AA70" s="1081"/>
      <c r="AB70" s="1081"/>
      <c r="AC70" s="1081"/>
      <c r="AD70" s="1081"/>
      <c r="AE70" s="1082"/>
      <c r="AF70" s="1082"/>
      <c r="AG70" s="1082"/>
      <c r="AH70" s="1082"/>
      <c r="AI70" s="1082"/>
      <c r="AJ70" s="1082"/>
      <c r="AK70" s="1082"/>
      <c r="AL70" s="1082"/>
      <c r="AM70" s="1082"/>
      <c r="AN70" s="1082"/>
      <c r="AO70" s="1082"/>
      <c r="AP70" s="1082"/>
      <c r="AQ70" s="1082"/>
      <c r="AR70" s="1082"/>
      <c r="AS70" s="1082"/>
      <c r="AT70" s="1082"/>
      <c r="AU70" s="1082"/>
      <c r="AV70" s="1082"/>
      <c r="AW70" s="1082"/>
      <c r="AX70" s="1082"/>
      <c r="AY70" s="1082"/>
      <c r="AZ70" s="1082"/>
    </row>
    <row r="71" spans="1:52">
      <c r="A71" s="1081"/>
      <c r="B71" s="1083"/>
      <c r="C71" s="1083"/>
      <c r="D71" s="1083"/>
      <c r="E71" s="1083"/>
      <c r="F71" s="1083"/>
      <c r="G71" s="1083"/>
      <c r="H71" s="1083"/>
      <c r="I71" s="1083"/>
      <c r="J71" s="1083"/>
      <c r="K71" s="1083"/>
      <c r="L71" s="1083"/>
      <c r="M71" s="1083"/>
      <c r="N71" s="1083"/>
      <c r="O71" s="1083"/>
      <c r="P71" s="1083"/>
      <c r="Q71" s="1083"/>
      <c r="R71" s="1083"/>
      <c r="S71" s="1083"/>
      <c r="T71" s="1083"/>
      <c r="U71" s="1083"/>
      <c r="V71" s="1083"/>
      <c r="W71" s="1083"/>
      <c r="X71" s="1083"/>
      <c r="Y71" s="1081"/>
      <c r="Z71" s="1081"/>
      <c r="AA71" s="1081"/>
      <c r="AB71" s="1081"/>
      <c r="AC71" s="1081"/>
      <c r="AD71" s="1081"/>
      <c r="AE71" s="1082"/>
      <c r="AF71" s="1082"/>
      <c r="AG71" s="1082"/>
      <c r="AH71" s="1082"/>
      <c r="AI71" s="1082"/>
      <c r="AJ71" s="1082"/>
      <c r="AK71" s="1082"/>
      <c r="AL71" s="1082"/>
      <c r="AM71" s="1082"/>
      <c r="AN71" s="1082"/>
      <c r="AO71" s="1082"/>
      <c r="AP71" s="1082"/>
      <c r="AQ71" s="1082"/>
      <c r="AR71" s="1082"/>
      <c r="AS71" s="1082"/>
      <c r="AT71" s="1082"/>
      <c r="AU71" s="1082"/>
      <c r="AV71" s="1082"/>
      <c r="AW71" s="1082"/>
      <c r="AX71" s="1082"/>
      <c r="AY71" s="1082"/>
      <c r="AZ71" s="1082"/>
    </row>
    <row r="72" spans="1:52">
      <c r="A72" s="1081"/>
      <c r="B72" s="1083"/>
      <c r="C72" s="1083"/>
      <c r="D72" s="1083"/>
      <c r="E72" s="1083"/>
      <c r="F72" s="1083"/>
      <c r="G72" s="1083"/>
      <c r="H72" s="1083"/>
      <c r="I72" s="1083"/>
      <c r="J72" s="1083"/>
      <c r="K72" s="1083"/>
      <c r="L72" s="1083"/>
      <c r="M72" s="1083"/>
      <c r="N72" s="1083"/>
      <c r="O72" s="1083"/>
      <c r="P72" s="1083"/>
      <c r="Q72" s="1083"/>
      <c r="R72" s="1083"/>
      <c r="S72" s="1083"/>
      <c r="T72" s="1083"/>
      <c r="U72" s="1083"/>
      <c r="V72" s="1083"/>
      <c r="W72" s="1083"/>
      <c r="X72" s="1083"/>
      <c r="Y72" s="1081"/>
      <c r="Z72" s="1081"/>
      <c r="AA72" s="1081"/>
      <c r="AB72" s="1081"/>
      <c r="AC72" s="1081"/>
      <c r="AD72" s="1081"/>
      <c r="AE72" s="1082"/>
      <c r="AF72" s="1082"/>
      <c r="AG72" s="1082"/>
      <c r="AH72" s="1082"/>
      <c r="AI72" s="1082"/>
      <c r="AJ72" s="1082"/>
      <c r="AK72" s="1082"/>
      <c r="AL72" s="1082"/>
      <c r="AM72" s="1082"/>
      <c r="AN72" s="1082"/>
      <c r="AO72" s="1082"/>
      <c r="AP72" s="1082"/>
      <c r="AQ72" s="1082"/>
      <c r="AR72" s="1082"/>
      <c r="AS72" s="1082"/>
      <c r="AT72" s="1082"/>
      <c r="AU72" s="1082"/>
      <c r="AV72" s="1082"/>
      <c r="AW72" s="1082"/>
      <c r="AX72" s="1082"/>
      <c r="AY72" s="1082"/>
      <c r="AZ72" s="1082"/>
    </row>
    <row r="73" spans="1:52">
      <c r="A73" s="1081"/>
      <c r="B73" s="1083"/>
      <c r="C73" s="1083"/>
      <c r="D73" s="1083"/>
      <c r="E73" s="1083"/>
      <c r="F73" s="1083"/>
      <c r="G73" s="1083"/>
      <c r="H73" s="1083"/>
      <c r="I73" s="1083"/>
      <c r="J73" s="1083"/>
      <c r="K73" s="1083"/>
      <c r="L73" s="1083"/>
      <c r="M73" s="1083"/>
      <c r="N73" s="1083"/>
      <c r="O73" s="1083"/>
      <c r="P73" s="1083"/>
      <c r="Q73" s="1083"/>
      <c r="R73" s="1083"/>
      <c r="S73" s="1083"/>
      <c r="T73" s="1083"/>
      <c r="U73" s="1083"/>
      <c r="V73" s="1083"/>
      <c r="W73" s="1083"/>
      <c r="X73" s="1083"/>
      <c r="Y73" s="1081"/>
      <c r="Z73" s="1081"/>
      <c r="AA73" s="1081"/>
      <c r="AB73" s="1081"/>
      <c r="AC73" s="1081"/>
      <c r="AD73" s="1081"/>
      <c r="AE73" s="1082"/>
      <c r="AF73" s="1082"/>
      <c r="AG73" s="1082"/>
      <c r="AH73" s="1082"/>
      <c r="AI73" s="1082"/>
      <c r="AJ73" s="1082"/>
      <c r="AK73" s="1082"/>
      <c r="AL73" s="1082"/>
      <c r="AM73" s="1082"/>
      <c r="AN73" s="1082"/>
      <c r="AO73" s="1082"/>
      <c r="AP73" s="1082"/>
      <c r="AQ73" s="1082"/>
      <c r="AR73" s="1082"/>
      <c r="AS73" s="1082"/>
      <c r="AT73" s="1082"/>
      <c r="AU73" s="1082"/>
      <c r="AV73" s="1082"/>
      <c r="AW73" s="1082"/>
      <c r="AX73" s="1082"/>
      <c r="AY73" s="1082"/>
      <c r="AZ73" s="1082"/>
    </row>
    <row r="74" spans="1:52">
      <c r="A74" s="1081"/>
      <c r="B74" s="1083"/>
      <c r="C74" s="1083"/>
      <c r="D74" s="1083"/>
      <c r="E74" s="1083"/>
      <c r="F74" s="1083"/>
      <c r="G74" s="1083"/>
      <c r="H74" s="1083"/>
      <c r="I74" s="1083"/>
      <c r="J74" s="1083"/>
      <c r="K74" s="1083"/>
      <c r="L74" s="1083"/>
      <c r="M74" s="1083"/>
      <c r="N74" s="1083"/>
      <c r="O74" s="1083"/>
      <c r="P74" s="1083"/>
      <c r="Q74" s="1083"/>
      <c r="R74" s="1083"/>
      <c r="S74" s="1083"/>
      <c r="T74" s="1083"/>
      <c r="U74" s="1083"/>
      <c r="V74" s="1083"/>
      <c r="W74" s="1083"/>
      <c r="X74" s="1083"/>
      <c r="Y74" s="1081"/>
      <c r="Z74" s="1081"/>
      <c r="AA74" s="1081"/>
      <c r="AB74" s="1081"/>
      <c r="AC74" s="1081"/>
      <c r="AD74" s="1081"/>
      <c r="AE74" s="1082"/>
      <c r="AF74" s="1082"/>
      <c r="AG74" s="1082"/>
      <c r="AH74" s="1082"/>
      <c r="AI74" s="1082"/>
      <c r="AJ74" s="1082"/>
      <c r="AK74" s="1082"/>
      <c r="AL74" s="1082"/>
      <c r="AM74" s="1082"/>
      <c r="AN74" s="1082"/>
      <c r="AO74" s="1082"/>
      <c r="AP74" s="1082"/>
      <c r="AQ74" s="1082"/>
      <c r="AR74" s="1082"/>
      <c r="AS74" s="1082"/>
      <c r="AT74" s="1082"/>
      <c r="AU74" s="1082"/>
      <c r="AV74" s="1082"/>
      <c r="AW74" s="1082"/>
      <c r="AX74" s="1082"/>
      <c r="AY74" s="1082"/>
      <c r="AZ74" s="1082"/>
    </row>
    <row r="75" spans="1:52">
      <c r="A75" s="1081"/>
      <c r="B75" s="1083"/>
      <c r="C75" s="1083"/>
      <c r="D75" s="1083"/>
      <c r="E75" s="1083"/>
      <c r="F75" s="1083"/>
      <c r="G75" s="1083"/>
      <c r="H75" s="1083"/>
      <c r="I75" s="1083"/>
      <c r="J75" s="1083"/>
      <c r="K75" s="1083"/>
      <c r="L75" s="1083"/>
      <c r="M75" s="1083"/>
      <c r="N75" s="1083"/>
      <c r="O75" s="1083"/>
      <c r="P75" s="1083"/>
      <c r="Q75" s="1083"/>
      <c r="R75" s="1083"/>
      <c r="S75" s="1083"/>
      <c r="T75" s="1083"/>
      <c r="U75" s="1083"/>
      <c r="V75" s="1083"/>
      <c r="W75" s="1083"/>
      <c r="X75" s="1083"/>
      <c r="Y75" s="1081"/>
      <c r="Z75" s="1081"/>
      <c r="AA75" s="1081"/>
      <c r="AB75" s="1081"/>
      <c r="AC75" s="1081"/>
      <c r="AD75" s="1081"/>
      <c r="AE75" s="1082"/>
      <c r="AF75" s="1082"/>
      <c r="AG75" s="1082"/>
      <c r="AH75" s="1082"/>
      <c r="AI75" s="1082"/>
      <c r="AJ75" s="1082"/>
      <c r="AK75" s="1082"/>
      <c r="AL75" s="1082"/>
      <c r="AM75" s="1082"/>
      <c r="AN75" s="1082"/>
      <c r="AO75" s="1082"/>
      <c r="AP75" s="1082"/>
      <c r="AQ75" s="1082"/>
      <c r="AR75" s="1082"/>
      <c r="AS75" s="1082"/>
      <c r="AT75" s="1082"/>
      <c r="AU75" s="1082"/>
      <c r="AV75" s="1082"/>
      <c r="AW75" s="1082"/>
      <c r="AX75" s="1082"/>
      <c r="AY75" s="1082"/>
      <c r="AZ75" s="1082"/>
    </row>
    <row r="76" spans="1:52">
      <c r="A76" s="1081"/>
      <c r="B76" s="1083"/>
      <c r="C76" s="1083"/>
      <c r="D76" s="1083"/>
      <c r="E76" s="1083"/>
      <c r="F76" s="1083"/>
      <c r="G76" s="1083"/>
      <c r="H76" s="1083"/>
      <c r="I76" s="1083"/>
      <c r="J76" s="1083"/>
      <c r="K76" s="1083"/>
      <c r="L76" s="1083"/>
      <c r="M76" s="1083"/>
      <c r="N76" s="1083"/>
      <c r="O76" s="1083"/>
      <c r="P76" s="1083"/>
      <c r="Q76" s="1083"/>
      <c r="R76" s="1083"/>
      <c r="S76" s="1083"/>
      <c r="T76" s="1083"/>
      <c r="U76" s="1083"/>
      <c r="V76" s="1083"/>
      <c r="W76" s="1083"/>
      <c r="X76" s="1083"/>
      <c r="Y76" s="1081"/>
      <c r="Z76" s="1081"/>
      <c r="AA76" s="1081"/>
      <c r="AB76" s="1081"/>
      <c r="AC76" s="1081"/>
      <c r="AD76" s="1081"/>
      <c r="AE76" s="1082"/>
      <c r="AF76" s="1082"/>
      <c r="AG76" s="1082"/>
      <c r="AH76" s="1082"/>
      <c r="AI76" s="1082"/>
      <c r="AJ76" s="1082"/>
      <c r="AK76" s="1082"/>
      <c r="AL76" s="1082"/>
      <c r="AM76" s="1082"/>
      <c r="AN76" s="1082"/>
      <c r="AO76" s="1082"/>
      <c r="AP76" s="1082"/>
      <c r="AQ76" s="1082"/>
      <c r="AR76" s="1082"/>
      <c r="AS76" s="1082"/>
      <c r="AT76" s="1082"/>
      <c r="AU76" s="1082"/>
      <c r="AV76" s="1082"/>
      <c r="AW76" s="1082"/>
      <c r="AX76" s="1082"/>
      <c r="AY76" s="1082"/>
      <c r="AZ76" s="1082"/>
    </row>
    <row r="77" spans="1:52">
      <c r="A77" s="1081"/>
      <c r="B77" s="1083"/>
      <c r="C77" s="1083"/>
      <c r="D77" s="1083"/>
      <c r="E77" s="1083"/>
      <c r="F77" s="1083"/>
      <c r="G77" s="1083"/>
      <c r="H77" s="1083"/>
      <c r="I77" s="1083"/>
      <c r="J77" s="1083"/>
      <c r="K77" s="1083"/>
      <c r="L77" s="1083"/>
      <c r="M77" s="1083"/>
      <c r="N77" s="1083"/>
      <c r="O77" s="1083"/>
      <c r="P77" s="1083"/>
      <c r="Q77" s="1083"/>
      <c r="R77" s="1083"/>
      <c r="S77" s="1083"/>
      <c r="T77" s="1083"/>
      <c r="U77" s="1083"/>
      <c r="V77" s="1083"/>
      <c r="W77" s="1083"/>
      <c r="X77" s="1083"/>
      <c r="Y77" s="1081"/>
      <c r="Z77" s="1081"/>
      <c r="AA77" s="1081"/>
      <c r="AB77" s="1081"/>
      <c r="AC77" s="1081"/>
      <c r="AD77" s="1081"/>
      <c r="AE77" s="1082"/>
      <c r="AF77" s="1082"/>
      <c r="AG77" s="1082"/>
      <c r="AH77" s="1082"/>
      <c r="AI77" s="1082"/>
      <c r="AJ77" s="1082"/>
      <c r="AK77" s="1082"/>
      <c r="AL77" s="1082"/>
      <c r="AM77" s="1082"/>
      <c r="AN77" s="1082"/>
      <c r="AO77" s="1082"/>
      <c r="AP77" s="1082"/>
      <c r="AQ77" s="1082"/>
      <c r="AR77" s="1082"/>
      <c r="AS77" s="1082"/>
      <c r="AT77" s="1082"/>
      <c r="AU77" s="1082"/>
      <c r="AV77" s="1082"/>
      <c r="AW77" s="1082"/>
      <c r="AX77" s="1082"/>
      <c r="AY77" s="1082"/>
      <c r="AZ77" s="1082"/>
    </row>
    <row r="78" spans="1:52">
      <c r="A78" s="1081"/>
      <c r="B78" s="1083"/>
      <c r="C78" s="1083"/>
      <c r="D78" s="1083"/>
      <c r="E78" s="1083"/>
      <c r="F78" s="1083"/>
      <c r="G78" s="1083"/>
      <c r="H78" s="1083"/>
      <c r="I78" s="1083"/>
      <c r="J78" s="1083"/>
      <c r="K78" s="1083"/>
      <c r="L78" s="1083"/>
      <c r="M78" s="1083"/>
      <c r="N78" s="1083"/>
      <c r="O78" s="1083"/>
      <c r="P78" s="1083"/>
      <c r="Q78" s="1083"/>
      <c r="R78" s="1083"/>
      <c r="S78" s="1083"/>
      <c r="T78" s="1083"/>
      <c r="U78" s="1083"/>
      <c r="V78" s="1083"/>
      <c r="W78" s="1083"/>
      <c r="X78" s="1083"/>
      <c r="Y78" s="1081"/>
      <c r="Z78" s="1081"/>
      <c r="AA78" s="1081"/>
      <c r="AB78" s="1081"/>
      <c r="AC78" s="1081"/>
      <c r="AD78" s="1081"/>
      <c r="AE78" s="1082"/>
      <c r="AF78" s="1082"/>
      <c r="AG78" s="1082"/>
      <c r="AH78" s="1082"/>
      <c r="AI78" s="1082"/>
      <c r="AJ78" s="1082"/>
      <c r="AK78" s="1082"/>
      <c r="AL78" s="1082"/>
      <c r="AM78" s="1082"/>
      <c r="AN78" s="1082"/>
      <c r="AO78" s="1082"/>
      <c r="AP78" s="1082"/>
      <c r="AQ78" s="1082"/>
      <c r="AR78" s="1082"/>
      <c r="AS78" s="1082"/>
      <c r="AT78" s="1082"/>
      <c r="AU78" s="1082"/>
      <c r="AV78" s="1082"/>
      <c r="AW78" s="1082"/>
      <c r="AX78" s="1082"/>
      <c r="AY78" s="1082"/>
      <c r="AZ78" s="1082"/>
    </row>
    <row r="79" spans="1:52">
      <c r="A79" s="1081"/>
      <c r="B79" s="1083"/>
      <c r="C79" s="1083"/>
      <c r="D79" s="1083"/>
      <c r="E79" s="1083"/>
      <c r="F79" s="1083"/>
      <c r="G79" s="1083"/>
      <c r="H79" s="1083"/>
      <c r="I79" s="1083"/>
      <c r="J79" s="1083"/>
      <c r="K79" s="1083"/>
      <c r="L79" s="1083"/>
      <c r="M79" s="1083"/>
      <c r="N79" s="1083"/>
      <c r="O79" s="1083"/>
      <c r="P79" s="1083"/>
      <c r="Q79" s="1083"/>
      <c r="R79" s="1083"/>
      <c r="S79" s="1083"/>
      <c r="T79" s="1083"/>
      <c r="U79" s="1083"/>
      <c r="V79" s="1083"/>
      <c r="W79" s="1083"/>
      <c r="X79" s="1083"/>
      <c r="Y79" s="1081"/>
      <c r="Z79" s="1081"/>
      <c r="AA79" s="1081"/>
      <c r="AB79" s="1081"/>
      <c r="AC79" s="1081"/>
      <c r="AD79" s="1081"/>
      <c r="AE79" s="1082"/>
      <c r="AF79" s="1082"/>
      <c r="AG79" s="1082"/>
      <c r="AH79" s="1082"/>
      <c r="AI79" s="1082"/>
      <c r="AJ79" s="1082"/>
      <c r="AK79" s="1082"/>
      <c r="AL79" s="1082"/>
      <c r="AM79" s="1082"/>
      <c r="AN79" s="1082"/>
      <c r="AO79" s="1082"/>
      <c r="AP79" s="1082"/>
      <c r="AQ79" s="1082"/>
      <c r="AR79" s="1082"/>
      <c r="AS79" s="1082"/>
      <c r="AT79" s="1082"/>
      <c r="AU79" s="1082"/>
      <c r="AV79" s="1082"/>
      <c r="AW79" s="1082"/>
      <c r="AX79" s="1082"/>
      <c r="AY79" s="1082"/>
      <c r="AZ79" s="1082"/>
    </row>
    <row r="80" spans="1:52">
      <c r="A80" s="1081"/>
      <c r="B80" s="1083"/>
      <c r="C80" s="1083"/>
      <c r="D80" s="1083"/>
      <c r="E80" s="1083"/>
      <c r="F80" s="1083"/>
      <c r="G80" s="1083"/>
      <c r="H80" s="1083"/>
      <c r="I80" s="1083"/>
      <c r="J80" s="1083"/>
      <c r="K80" s="1083"/>
      <c r="L80" s="1083"/>
      <c r="M80" s="1083"/>
      <c r="N80" s="1083"/>
      <c r="O80" s="1083"/>
      <c r="P80" s="1083"/>
      <c r="Q80" s="1083"/>
      <c r="R80" s="1083"/>
      <c r="S80" s="1083"/>
      <c r="T80" s="1083"/>
      <c r="U80" s="1083"/>
      <c r="V80" s="1083"/>
      <c r="W80" s="1083"/>
      <c r="X80" s="1083"/>
      <c r="Y80" s="1081"/>
      <c r="Z80" s="1081"/>
      <c r="AA80" s="1081"/>
      <c r="AB80" s="1081"/>
      <c r="AC80" s="1081"/>
      <c r="AD80" s="1081"/>
      <c r="AE80" s="1082"/>
      <c r="AF80" s="1082"/>
      <c r="AG80" s="1082"/>
      <c r="AH80" s="1082"/>
      <c r="AI80" s="1082"/>
      <c r="AJ80" s="1082"/>
      <c r="AK80" s="1082"/>
      <c r="AL80" s="1082"/>
      <c r="AM80" s="1082"/>
      <c r="AN80" s="1082"/>
      <c r="AO80" s="1082"/>
      <c r="AP80" s="1082"/>
      <c r="AQ80" s="1082"/>
      <c r="AR80" s="1082"/>
      <c r="AS80" s="1082"/>
      <c r="AT80" s="1082"/>
      <c r="AU80" s="1082"/>
      <c r="AV80" s="1082"/>
      <c r="AW80" s="1082"/>
      <c r="AX80" s="1082"/>
      <c r="AY80" s="1082"/>
      <c r="AZ80" s="1082"/>
    </row>
    <row r="81" spans="1:52">
      <c r="A81" s="1081"/>
      <c r="B81" s="1083"/>
      <c r="C81" s="1083"/>
      <c r="D81" s="1083"/>
      <c r="E81" s="1083"/>
      <c r="F81" s="1083"/>
      <c r="G81" s="1083"/>
      <c r="H81" s="1083"/>
      <c r="I81" s="1083"/>
      <c r="J81" s="1083"/>
      <c r="K81" s="1083"/>
      <c r="L81" s="1083"/>
      <c r="M81" s="1083"/>
      <c r="N81" s="1083"/>
      <c r="O81" s="1083"/>
      <c r="P81" s="1083"/>
      <c r="Q81" s="1083"/>
      <c r="R81" s="1083"/>
      <c r="S81" s="1083"/>
      <c r="T81" s="1083"/>
      <c r="U81" s="1083"/>
      <c r="V81" s="1083"/>
      <c r="W81" s="1083"/>
      <c r="X81" s="1083"/>
      <c r="Y81" s="1081"/>
      <c r="Z81" s="1081"/>
      <c r="AA81" s="1081"/>
      <c r="AB81" s="1081"/>
      <c r="AC81" s="1081"/>
      <c r="AD81" s="1081"/>
      <c r="AE81" s="1082"/>
      <c r="AF81" s="1082"/>
      <c r="AG81" s="1082"/>
      <c r="AH81" s="1082"/>
      <c r="AI81" s="1082"/>
      <c r="AJ81" s="1082"/>
      <c r="AK81" s="1082"/>
      <c r="AL81" s="1082"/>
      <c r="AM81" s="1082"/>
      <c r="AN81" s="1082"/>
      <c r="AO81" s="1082"/>
      <c r="AP81" s="1082"/>
      <c r="AQ81" s="1082"/>
      <c r="AR81" s="1082"/>
      <c r="AS81" s="1082"/>
      <c r="AT81" s="1082"/>
      <c r="AU81" s="1082"/>
      <c r="AV81" s="1082"/>
      <c r="AW81" s="1082"/>
      <c r="AX81" s="1082"/>
      <c r="AY81" s="1082"/>
      <c r="AZ81" s="1082"/>
    </row>
    <row r="82" spans="1:52">
      <c r="A82" s="1081"/>
      <c r="B82" s="1083"/>
      <c r="C82" s="1083"/>
      <c r="D82" s="1083"/>
      <c r="E82" s="1083"/>
      <c r="F82" s="1083"/>
      <c r="G82" s="1083"/>
      <c r="H82" s="1083"/>
      <c r="I82" s="1083"/>
      <c r="J82" s="1083"/>
      <c r="K82" s="1083"/>
      <c r="L82" s="1083"/>
      <c r="M82" s="1083"/>
      <c r="N82" s="1083"/>
      <c r="O82" s="1083"/>
      <c r="P82" s="1083"/>
      <c r="Q82" s="1083"/>
      <c r="R82" s="1083"/>
      <c r="S82" s="1083"/>
      <c r="T82" s="1083"/>
      <c r="U82" s="1083"/>
      <c r="V82" s="1083"/>
      <c r="W82" s="1083"/>
      <c r="X82" s="1083"/>
      <c r="Y82" s="1081"/>
      <c r="Z82" s="1081"/>
      <c r="AA82" s="1081"/>
      <c r="AB82" s="1081"/>
      <c r="AC82" s="1081"/>
      <c r="AD82" s="1081"/>
      <c r="AE82" s="1082"/>
      <c r="AF82" s="1082"/>
      <c r="AG82" s="1082"/>
      <c r="AH82" s="1082"/>
      <c r="AI82" s="1082"/>
      <c r="AJ82" s="1082"/>
      <c r="AK82" s="1082"/>
      <c r="AL82" s="1082"/>
      <c r="AM82" s="1082"/>
      <c r="AN82" s="1082"/>
      <c r="AO82" s="1082"/>
      <c r="AP82" s="1082"/>
      <c r="AQ82" s="1082"/>
      <c r="AR82" s="1082"/>
      <c r="AS82" s="1082"/>
      <c r="AT82" s="1082"/>
      <c r="AU82" s="1082"/>
      <c r="AV82" s="1082"/>
      <c r="AW82" s="1082"/>
      <c r="AX82" s="1082"/>
      <c r="AY82" s="1082"/>
      <c r="AZ82" s="1082"/>
    </row>
    <row r="83" spans="1:52">
      <c r="A83" s="1081"/>
      <c r="B83" s="1083"/>
      <c r="C83" s="1083"/>
      <c r="D83" s="1083"/>
      <c r="E83" s="1083"/>
      <c r="F83" s="1083"/>
      <c r="G83" s="1083"/>
      <c r="H83" s="1083"/>
      <c r="I83" s="1083"/>
      <c r="J83" s="1083"/>
      <c r="K83" s="1083"/>
      <c r="L83" s="1083"/>
      <c r="M83" s="1083"/>
      <c r="N83" s="1083"/>
      <c r="O83" s="1083"/>
      <c r="P83" s="1083"/>
      <c r="Q83" s="1083"/>
      <c r="R83" s="1083"/>
      <c r="S83" s="1083"/>
      <c r="T83" s="1083"/>
      <c r="U83" s="1083"/>
      <c r="V83" s="1083"/>
      <c r="W83" s="1083"/>
      <c r="X83" s="1083"/>
      <c r="Y83" s="1081"/>
      <c r="Z83" s="1081"/>
      <c r="AA83" s="1081"/>
      <c r="AB83" s="1081"/>
      <c r="AC83" s="1081"/>
      <c r="AD83" s="1081"/>
      <c r="AE83" s="1082"/>
      <c r="AF83" s="1082"/>
      <c r="AG83" s="1082"/>
      <c r="AH83" s="1082"/>
      <c r="AI83" s="1082"/>
      <c r="AJ83" s="1082"/>
      <c r="AK83" s="1082"/>
      <c r="AL83" s="1082"/>
      <c r="AM83" s="1082"/>
      <c r="AN83" s="1082"/>
      <c r="AO83" s="1082"/>
      <c r="AP83" s="1082"/>
      <c r="AQ83" s="1082"/>
      <c r="AR83" s="1082"/>
      <c r="AS83" s="1082"/>
      <c r="AT83" s="1082"/>
      <c r="AU83" s="1082"/>
      <c r="AV83" s="1082"/>
      <c r="AW83" s="1082"/>
      <c r="AX83" s="1082"/>
      <c r="AY83" s="1082"/>
      <c r="AZ83" s="1082"/>
    </row>
    <row r="84" spans="1:52">
      <c r="A84" s="1081"/>
      <c r="B84" s="1083"/>
      <c r="C84" s="1083"/>
      <c r="D84" s="1083"/>
      <c r="E84" s="1083"/>
      <c r="F84" s="1083"/>
      <c r="G84" s="1083"/>
      <c r="H84" s="1083"/>
      <c r="I84" s="1083"/>
      <c r="J84" s="1083"/>
      <c r="K84" s="1083"/>
      <c r="L84" s="1083"/>
      <c r="M84" s="1083"/>
      <c r="N84" s="1083"/>
      <c r="O84" s="1083"/>
      <c r="P84" s="1083"/>
      <c r="Q84" s="1083"/>
      <c r="R84" s="1083"/>
      <c r="S84" s="1083"/>
      <c r="T84" s="1083"/>
      <c r="U84" s="1083"/>
      <c r="V84" s="1083"/>
      <c r="W84" s="1083"/>
      <c r="X84" s="1083"/>
      <c r="Y84" s="1081"/>
      <c r="Z84" s="1081"/>
      <c r="AA84" s="1081"/>
      <c r="AB84" s="1081"/>
      <c r="AC84" s="1081"/>
      <c r="AD84" s="1081"/>
      <c r="AE84" s="1082"/>
      <c r="AF84" s="1082"/>
      <c r="AG84" s="1082"/>
      <c r="AH84" s="1082"/>
      <c r="AI84" s="1082"/>
      <c r="AJ84" s="1082"/>
      <c r="AK84" s="1082"/>
      <c r="AL84" s="1082"/>
      <c r="AM84" s="1082"/>
      <c r="AN84" s="1082"/>
      <c r="AO84" s="1082"/>
      <c r="AP84" s="1082"/>
      <c r="AQ84" s="1082"/>
      <c r="AR84" s="1082"/>
      <c r="AS84" s="1082"/>
      <c r="AT84" s="1082"/>
      <c r="AU84" s="1082"/>
      <c r="AV84" s="1082"/>
      <c r="AW84" s="1082"/>
      <c r="AX84" s="1082"/>
      <c r="AY84" s="1082"/>
      <c r="AZ84" s="1082"/>
    </row>
    <row r="85" spans="1:52">
      <c r="A85" s="1081"/>
      <c r="B85" s="1083"/>
      <c r="C85" s="1083"/>
      <c r="D85" s="1083"/>
      <c r="E85" s="1083"/>
      <c r="F85" s="1083"/>
      <c r="G85" s="1083"/>
      <c r="H85" s="1083"/>
      <c r="I85" s="1083"/>
      <c r="J85" s="1083"/>
      <c r="K85" s="1083"/>
      <c r="L85" s="1083"/>
      <c r="M85" s="1083"/>
      <c r="N85" s="1083"/>
      <c r="O85" s="1083"/>
      <c r="P85" s="1083"/>
      <c r="Q85" s="1083"/>
      <c r="R85" s="1083"/>
      <c r="S85" s="1083"/>
      <c r="T85" s="1083"/>
      <c r="U85" s="1083"/>
      <c r="V85" s="1083"/>
      <c r="W85" s="1083"/>
      <c r="X85" s="1083"/>
      <c r="Y85" s="1081"/>
      <c r="Z85" s="1081"/>
      <c r="AA85" s="1081"/>
      <c r="AB85" s="1081"/>
      <c r="AC85" s="1081"/>
      <c r="AD85" s="1081"/>
      <c r="AE85" s="1082"/>
      <c r="AF85" s="1082"/>
      <c r="AG85" s="1082"/>
      <c r="AH85" s="1082"/>
      <c r="AI85" s="1082"/>
      <c r="AJ85" s="1082"/>
      <c r="AK85" s="1082"/>
      <c r="AL85" s="1082"/>
      <c r="AM85" s="1082"/>
      <c r="AN85" s="1082"/>
      <c r="AO85" s="1082"/>
      <c r="AP85" s="1082"/>
      <c r="AQ85" s="1082"/>
      <c r="AR85" s="1082"/>
      <c r="AS85" s="1082"/>
      <c r="AT85" s="1082"/>
      <c r="AU85" s="1082"/>
      <c r="AV85" s="1082"/>
      <c r="AW85" s="1082"/>
      <c r="AX85" s="1082"/>
      <c r="AY85" s="1082"/>
      <c r="AZ85" s="1082"/>
    </row>
    <row r="86" spans="1:52">
      <c r="A86" s="1081"/>
      <c r="B86" s="1083"/>
      <c r="C86" s="1083"/>
      <c r="D86" s="1083"/>
      <c r="E86" s="1083"/>
      <c r="F86" s="1083"/>
      <c r="G86" s="1083"/>
      <c r="H86" s="1083"/>
      <c r="I86" s="1083"/>
      <c r="J86" s="1083"/>
      <c r="K86" s="1083"/>
      <c r="L86" s="1083"/>
      <c r="M86" s="1083"/>
      <c r="N86" s="1083"/>
      <c r="O86" s="1083"/>
      <c r="P86" s="1083"/>
      <c r="Q86" s="1083"/>
      <c r="R86" s="1083"/>
      <c r="S86" s="1083"/>
      <c r="T86" s="1083"/>
      <c r="U86" s="1083"/>
      <c r="V86" s="1083"/>
      <c r="W86" s="1083"/>
      <c r="X86" s="1083"/>
      <c r="Y86" s="1081"/>
      <c r="Z86" s="1081"/>
      <c r="AA86" s="1081"/>
      <c r="AB86" s="1081"/>
      <c r="AC86" s="1081"/>
      <c r="AD86" s="1081"/>
      <c r="AE86" s="1082"/>
      <c r="AF86" s="1082"/>
      <c r="AG86" s="1082"/>
      <c r="AH86" s="1082"/>
      <c r="AI86" s="1082"/>
      <c r="AJ86" s="1082"/>
      <c r="AK86" s="1082"/>
      <c r="AL86" s="1082"/>
      <c r="AM86" s="1082"/>
      <c r="AN86" s="1082"/>
      <c r="AO86" s="1082"/>
      <c r="AP86" s="1082"/>
      <c r="AQ86" s="1082"/>
      <c r="AR86" s="1082"/>
      <c r="AS86" s="1082"/>
      <c r="AT86" s="1082"/>
      <c r="AU86" s="1082"/>
      <c r="AV86" s="1082"/>
      <c r="AW86" s="1082"/>
      <c r="AX86" s="1082"/>
      <c r="AY86" s="1082"/>
      <c r="AZ86" s="1082"/>
    </row>
    <row r="87" spans="1:52">
      <c r="A87" s="1081"/>
      <c r="B87" s="1083"/>
      <c r="C87" s="1083"/>
      <c r="D87" s="1083"/>
      <c r="E87" s="1083"/>
      <c r="F87" s="1083"/>
      <c r="G87" s="1083"/>
      <c r="H87" s="1083"/>
      <c r="I87" s="1083"/>
      <c r="J87" s="1083"/>
      <c r="K87" s="1083"/>
      <c r="L87" s="1083"/>
      <c r="M87" s="1083"/>
      <c r="N87" s="1083"/>
      <c r="O87" s="1083"/>
      <c r="P87" s="1083"/>
      <c r="Q87" s="1083"/>
      <c r="R87" s="1083"/>
      <c r="S87" s="1083"/>
      <c r="T87" s="1083"/>
      <c r="U87" s="1083"/>
      <c r="V87" s="1083"/>
      <c r="W87" s="1083"/>
      <c r="X87" s="1083"/>
      <c r="Y87" s="1081"/>
      <c r="Z87" s="1081"/>
      <c r="AA87" s="1081"/>
      <c r="AB87" s="1081"/>
      <c r="AC87" s="1081"/>
      <c r="AD87" s="1081"/>
      <c r="AE87" s="1082"/>
      <c r="AF87" s="1082"/>
      <c r="AG87" s="1082"/>
      <c r="AH87" s="1082"/>
      <c r="AI87" s="1082"/>
      <c r="AJ87" s="1082"/>
      <c r="AK87" s="1082"/>
      <c r="AL87" s="1082"/>
      <c r="AM87" s="1082"/>
      <c r="AN87" s="1082"/>
      <c r="AO87" s="1082"/>
      <c r="AP87" s="1082"/>
      <c r="AQ87" s="1082"/>
      <c r="AR87" s="1082"/>
      <c r="AS87" s="1082"/>
      <c r="AT87" s="1082"/>
      <c r="AU87" s="1082"/>
      <c r="AV87" s="1082"/>
      <c r="AW87" s="1082"/>
      <c r="AX87" s="1082"/>
      <c r="AY87" s="1082"/>
      <c r="AZ87" s="1082"/>
    </row>
    <row r="88" spans="1:52">
      <c r="A88" s="1081"/>
      <c r="B88" s="1083"/>
      <c r="C88" s="1083"/>
      <c r="D88" s="1083"/>
      <c r="E88" s="1083"/>
      <c r="F88" s="1083"/>
      <c r="G88" s="1083"/>
      <c r="H88" s="1083"/>
      <c r="I88" s="1083"/>
      <c r="J88" s="1083"/>
      <c r="K88" s="1083"/>
      <c r="L88" s="1083"/>
      <c r="M88" s="1083"/>
      <c r="N88" s="1083"/>
      <c r="O88" s="1083"/>
      <c r="P88" s="1083"/>
      <c r="Q88" s="1083"/>
      <c r="R88" s="1083"/>
      <c r="S88" s="1083"/>
      <c r="T88" s="1083"/>
      <c r="U88" s="1083"/>
      <c r="V88" s="1083"/>
      <c r="W88" s="1083"/>
      <c r="X88" s="1083"/>
      <c r="Y88" s="1081"/>
      <c r="Z88" s="1081"/>
      <c r="AA88" s="1081"/>
      <c r="AB88" s="1081"/>
      <c r="AC88" s="1081"/>
      <c r="AD88" s="1081"/>
      <c r="AE88" s="1082"/>
      <c r="AF88" s="1082"/>
      <c r="AG88" s="1082"/>
      <c r="AH88" s="1082"/>
      <c r="AI88" s="1082"/>
      <c r="AJ88" s="1082"/>
      <c r="AK88" s="1082"/>
      <c r="AL88" s="1082"/>
      <c r="AM88" s="1082"/>
      <c r="AN88" s="1082"/>
      <c r="AO88" s="1082"/>
      <c r="AP88" s="1082"/>
      <c r="AQ88" s="1082"/>
      <c r="AR88" s="1082"/>
      <c r="AS88" s="1082"/>
      <c r="AT88" s="1082"/>
      <c r="AU88" s="1082"/>
      <c r="AV88" s="1082"/>
      <c r="AW88" s="1082"/>
      <c r="AX88" s="1082"/>
      <c r="AY88" s="1082"/>
      <c r="AZ88" s="1082"/>
    </row>
    <row r="89" spans="1:52">
      <c r="A89" s="1081"/>
      <c r="B89" s="1083"/>
      <c r="C89" s="1083"/>
      <c r="D89" s="1083"/>
      <c r="E89" s="1083"/>
      <c r="F89" s="1083"/>
      <c r="G89" s="1083"/>
      <c r="H89" s="1083"/>
      <c r="I89" s="1083"/>
      <c r="J89" s="1083"/>
      <c r="K89" s="1083"/>
      <c r="L89" s="1083"/>
      <c r="M89" s="1083"/>
      <c r="N89" s="1083"/>
      <c r="O89" s="1083"/>
      <c r="P89" s="1083"/>
      <c r="Q89" s="1083"/>
      <c r="R89" s="1083"/>
      <c r="S89" s="1083"/>
      <c r="T89" s="1083"/>
      <c r="U89" s="1083"/>
      <c r="V89" s="1083"/>
      <c r="W89" s="1083"/>
      <c r="X89" s="1083"/>
      <c r="Y89" s="1081"/>
      <c r="Z89" s="1081"/>
      <c r="AA89" s="1081"/>
      <c r="AB89" s="1081"/>
      <c r="AC89" s="1081"/>
      <c r="AD89" s="1081"/>
      <c r="AE89" s="1082"/>
      <c r="AF89" s="1082"/>
      <c r="AG89" s="1082"/>
      <c r="AH89" s="1082"/>
      <c r="AI89" s="1082"/>
      <c r="AJ89" s="1082"/>
      <c r="AK89" s="1082"/>
      <c r="AL89" s="1082"/>
      <c r="AM89" s="1082"/>
      <c r="AN89" s="1082"/>
      <c r="AO89" s="1082"/>
      <c r="AP89" s="1082"/>
      <c r="AQ89" s="1082"/>
      <c r="AR89" s="1082"/>
      <c r="AS89" s="1082"/>
      <c r="AT89" s="1082"/>
      <c r="AU89" s="1082"/>
      <c r="AV89" s="1082"/>
      <c r="AW89" s="1082"/>
      <c r="AX89" s="1082"/>
      <c r="AY89" s="1082"/>
      <c r="AZ89" s="1082"/>
    </row>
    <row r="90" spans="1:52">
      <c r="A90" s="1081"/>
      <c r="B90" s="1083"/>
      <c r="C90" s="1083"/>
      <c r="D90" s="1083"/>
      <c r="E90" s="1083"/>
      <c r="F90" s="1083"/>
      <c r="G90" s="1083"/>
      <c r="H90" s="1083"/>
      <c r="I90" s="1083"/>
      <c r="J90" s="1083"/>
      <c r="K90" s="1083"/>
      <c r="L90" s="1083"/>
      <c r="M90" s="1083"/>
      <c r="N90" s="1083"/>
      <c r="O90" s="1083"/>
      <c r="P90" s="1083"/>
      <c r="Q90" s="1083"/>
      <c r="R90" s="1083"/>
      <c r="S90" s="1083"/>
      <c r="T90" s="1083"/>
      <c r="U90" s="1083"/>
      <c r="V90" s="1083"/>
      <c r="W90" s="1083"/>
      <c r="X90" s="1083"/>
      <c r="Y90" s="1081"/>
      <c r="Z90" s="1081"/>
      <c r="AA90" s="1081"/>
      <c r="AB90" s="1081"/>
      <c r="AC90" s="1081"/>
      <c r="AD90" s="1081"/>
      <c r="AE90" s="1082"/>
      <c r="AF90" s="1082"/>
      <c r="AG90" s="1082"/>
      <c r="AH90" s="1082"/>
      <c r="AI90" s="1082"/>
      <c r="AJ90" s="1082"/>
      <c r="AK90" s="1082"/>
      <c r="AL90" s="1082"/>
      <c r="AM90" s="1082"/>
      <c r="AN90" s="1082"/>
      <c r="AO90" s="1082"/>
      <c r="AP90" s="1082"/>
      <c r="AQ90" s="1082"/>
      <c r="AR90" s="1082"/>
      <c r="AS90" s="1082"/>
      <c r="AT90" s="1082"/>
      <c r="AU90" s="1082"/>
      <c r="AV90" s="1082"/>
      <c r="AW90" s="1082"/>
      <c r="AX90" s="1082"/>
      <c r="AY90" s="1082"/>
      <c r="AZ90" s="1082"/>
    </row>
    <row r="91" spans="1:52">
      <c r="A91" s="1081"/>
      <c r="B91" s="1083"/>
      <c r="C91" s="1083"/>
      <c r="D91" s="1083"/>
      <c r="E91" s="1083"/>
      <c r="F91" s="1083"/>
      <c r="G91" s="1083"/>
      <c r="H91" s="1083"/>
      <c r="I91" s="1083"/>
      <c r="J91" s="1083"/>
      <c r="K91" s="1083"/>
      <c r="L91" s="1083"/>
      <c r="M91" s="1083"/>
      <c r="N91" s="1083"/>
      <c r="O91" s="1083"/>
      <c r="P91" s="1083"/>
      <c r="Q91" s="1083"/>
      <c r="R91" s="1083"/>
      <c r="S91" s="1083"/>
      <c r="T91" s="1083"/>
      <c r="U91" s="1083"/>
      <c r="V91" s="1083"/>
      <c r="W91" s="1083"/>
      <c r="X91" s="1083"/>
      <c r="Y91" s="1081"/>
      <c r="Z91" s="1081"/>
      <c r="AA91" s="1081"/>
      <c r="AB91" s="1081"/>
      <c r="AC91" s="1081"/>
      <c r="AD91" s="1081"/>
      <c r="AE91" s="1082"/>
      <c r="AF91" s="1082"/>
      <c r="AG91" s="1082"/>
      <c r="AH91" s="1082"/>
      <c r="AI91" s="1082"/>
      <c r="AJ91" s="1082"/>
      <c r="AK91" s="1082"/>
      <c r="AL91" s="1082"/>
      <c r="AM91" s="1082"/>
      <c r="AN91" s="1082"/>
      <c r="AO91" s="1082"/>
      <c r="AP91" s="1082"/>
      <c r="AQ91" s="1082"/>
      <c r="AR91" s="1082"/>
      <c r="AS91" s="1082"/>
      <c r="AT91" s="1082"/>
      <c r="AU91" s="1082"/>
      <c r="AV91" s="1082"/>
      <c r="AW91" s="1082"/>
      <c r="AX91" s="1082"/>
      <c r="AY91" s="1082"/>
      <c r="AZ91" s="1082"/>
    </row>
    <row r="92" spans="1:52">
      <c r="A92" s="1081"/>
      <c r="B92" s="1083"/>
      <c r="C92" s="1083"/>
      <c r="D92" s="1083"/>
      <c r="E92" s="1083"/>
      <c r="F92" s="1083"/>
      <c r="G92" s="1083"/>
      <c r="H92" s="1083"/>
      <c r="I92" s="1083"/>
      <c r="J92" s="1083"/>
      <c r="K92" s="1083"/>
      <c r="L92" s="1083"/>
      <c r="M92" s="1083"/>
      <c r="N92" s="1083"/>
      <c r="O92" s="1083"/>
      <c r="P92" s="1083"/>
      <c r="Q92" s="1083"/>
      <c r="R92" s="1083"/>
      <c r="S92" s="1083"/>
      <c r="T92" s="1083"/>
      <c r="U92" s="1083"/>
      <c r="V92" s="1083"/>
      <c r="W92" s="1083"/>
      <c r="X92" s="1083"/>
      <c r="Y92" s="1081"/>
      <c r="Z92" s="1081"/>
      <c r="AA92" s="1081"/>
      <c r="AB92" s="1081"/>
      <c r="AC92" s="1081"/>
      <c r="AD92" s="1081"/>
      <c r="AE92" s="1082"/>
      <c r="AF92" s="1082"/>
      <c r="AG92" s="1082"/>
      <c r="AH92" s="1082"/>
      <c r="AI92" s="1082"/>
      <c r="AJ92" s="1082"/>
      <c r="AK92" s="1082"/>
      <c r="AL92" s="1082"/>
      <c r="AM92" s="1082"/>
      <c r="AN92" s="1082"/>
      <c r="AO92" s="1082"/>
      <c r="AP92" s="1082"/>
      <c r="AQ92" s="1082"/>
      <c r="AR92" s="1082"/>
      <c r="AS92" s="1082"/>
      <c r="AT92" s="1082"/>
      <c r="AU92" s="1082"/>
      <c r="AV92" s="1082"/>
      <c r="AW92" s="1082"/>
      <c r="AX92" s="1082"/>
      <c r="AY92" s="1082"/>
      <c r="AZ92" s="1082"/>
    </row>
    <row r="93" spans="1:52">
      <c r="A93" s="1081"/>
      <c r="B93" s="1083"/>
      <c r="C93" s="1083"/>
      <c r="D93" s="1083"/>
      <c r="E93" s="1083"/>
      <c r="F93" s="1083"/>
      <c r="G93" s="1083"/>
      <c r="H93" s="1083"/>
      <c r="I93" s="1083"/>
      <c r="J93" s="1083"/>
      <c r="K93" s="1083"/>
      <c r="L93" s="1083"/>
      <c r="M93" s="1083"/>
      <c r="N93" s="1083"/>
      <c r="O93" s="1083"/>
      <c r="P93" s="1083"/>
      <c r="Q93" s="1083"/>
      <c r="R93" s="1083"/>
      <c r="S93" s="1083"/>
      <c r="T93" s="1083"/>
      <c r="U93" s="1083"/>
      <c r="V93" s="1083"/>
      <c r="W93" s="1083"/>
      <c r="X93" s="1083"/>
      <c r="Y93" s="1081"/>
      <c r="Z93" s="1081"/>
      <c r="AA93" s="1081"/>
      <c r="AB93" s="1081"/>
      <c r="AC93" s="1081"/>
      <c r="AD93" s="1081"/>
      <c r="AE93" s="1082"/>
      <c r="AF93" s="1082"/>
      <c r="AG93" s="1082"/>
      <c r="AH93" s="1082"/>
      <c r="AI93" s="1082"/>
      <c r="AJ93" s="1082"/>
      <c r="AK93" s="1082"/>
      <c r="AL93" s="1082"/>
      <c r="AM93" s="1082"/>
      <c r="AN93" s="1082"/>
      <c r="AO93" s="1082"/>
      <c r="AP93" s="1082"/>
      <c r="AQ93" s="1082"/>
      <c r="AR93" s="1082"/>
      <c r="AS93" s="1082"/>
      <c r="AT93" s="1082"/>
      <c r="AU93" s="1082"/>
      <c r="AV93" s="1082"/>
      <c r="AW93" s="1082"/>
      <c r="AX93" s="1082"/>
      <c r="AY93" s="1082"/>
      <c r="AZ93" s="1082"/>
    </row>
    <row r="94" spans="1:52">
      <c r="A94" s="1081"/>
      <c r="B94" s="1083"/>
      <c r="C94" s="1083"/>
      <c r="D94" s="1083"/>
      <c r="E94" s="1083"/>
      <c r="F94" s="1083"/>
      <c r="G94" s="1083"/>
      <c r="H94" s="1083"/>
      <c r="I94" s="1083"/>
      <c r="J94" s="1083"/>
      <c r="K94" s="1083"/>
      <c r="L94" s="1083"/>
      <c r="M94" s="1083"/>
      <c r="N94" s="1083"/>
      <c r="O94" s="1083"/>
      <c r="P94" s="1083"/>
      <c r="Q94" s="1083"/>
      <c r="R94" s="1083"/>
      <c r="S94" s="1083"/>
      <c r="T94" s="1083"/>
      <c r="U94" s="1083"/>
      <c r="V94" s="1083"/>
      <c r="W94" s="1083"/>
      <c r="X94" s="1083"/>
      <c r="Y94" s="1081"/>
      <c r="Z94" s="1081"/>
      <c r="AA94" s="1081"/>
      <c r="AB94" s="1081"/>
      <c r="AC94" s="1081"/>
      <c r="AD94" s="1081"/>
      <c r="AE94" s="1082"/>
      <c r="AF94" s="1082"/>
      <c r="AG94" s="1082"/>
      <c r="AH94" s="1082"/>
      <c r="AI94" s="1082"/>
      <c r="AJ94" s="1082"/>
      <c r="AK94" s="1082"/>
      <c r="AL94" s="1082"/>
      <c r="AM94" s="1082"/>
      <c r="AN94" s="1082"/>
      <c r="AO94" s="1082"/>
      <c r="AP94" s="1082"/>
      <c r="AQ94" s="1082"/>
      <c r="AR94" s="1082"/>
      <c r="AS94" s="1082"/>
      <c r="AT94" s="1082"/>
      <c r="AU94" s="1082"/>
      <c r="AV94" s="1082"/>
      <c r="AW94" s="1082"/>
      <c r="AX94" s="1082"/>
      <c r="AY94" s="1082"/>
      <c r="AZ94" s="1082"/>
    </row>
    <row r="95" spans="1:52">
      <c r="A95" s="1081"/>
      <c r="B95" s="1083"/>
      <c r="C95" s="1083"/>
      <c r="D95" s="1083"/>
      <c r="E95" s="1083"/>
      <c r="F95" s="1083"/>
      <c r="G95" s="1083"/>
      <c r="H95" s="1083"/>
      <c r="I95" s="1083"/>
      <c r="J95" s="1083"/>
      <c r="K95" s="1083"/>
      <c r="L95" s="1083"/>
      <c r="M95" s="1083"/>
      <c r="N95" s="1083"/>
      <c r="O95" s="1083"/>
      <c r="P95" s="1083"/>
      <c r="Q95" s="1083"/>
      <c r="R95" s="1083"/>
      <c r="S95" s="1083"/>
      <c r="T95" s="1083"/>
      <c r="U95" s="1083"/>
      <c r="V95" s="1083"/>
      <c r="W95" s="1083"/>
      <c r="X95" s="1083"/>
      <c r="Y95" s="1081"/>
      <c r="Z95" s="1081"/>
      <c r="AA95" s="1081"/>
      <c r="AB95" s="1081"/>
      <c r="AC95" s="1081"/>
      <c r="AD95" s="1081"/>
      <c r="AE95" s="1082"/>
      <c r="AF95" s="1082"/>
      <c r="AG95" s="1082"/>
      <c r="AH95" s="1082"/>
      <c r="AI95" s="1082"/>
      <c r="AJ95" s="1082"/>
      <c r="AK95" s="1082"/>
      <c r="AL95" s="1082"/>
      <c r="AM95" s="1082"/>
      <c r="AN95" s="1082"/>
      <c r="AO95" s="1082"/>
      <c r="AP95" s="1082"/>
      <c r="AQ95" s="1082"/>
      <c r="AR95" s="1082"/>
      <c r="AS95" s="1082"/>
      <c r="AT95" s="1082"/>
      <c r="AU95" s="1082"/>
      <c r="AV95" s="1082"/>
      <c r="AW95" s="1082"/>
      <c r="AX95" s="1082"/>
      <c r="AY95" s="1082"/>
      <c r="AZ95" s="1082"/>
    </row>
    <row r="96" spans="1:52">
      <c r="A96" s="1081"/>
      <c r="B96" s="1083"/>
      <c r="C96" s="1083"/>
      <c r="D96" s="1083"/>
      <c r="E96" s="1083"/>
      <c r="F96" s="1083"/>
      <c r="G96" s="1083"/>
      <c r="H96" s="1083"/>
      <c r="I96" s="1083"/>
      <c r="J96" s="1083"/>
      <c r="K96" s="1083"/>
      <c r="L96" s="1083"/>
      <c r="M96" s="1083"/>
      <c r="N96" s="1083"/>
      <c r="O96" s="1083"/>
      <c r="P96" s="1083"/>
      <c r="Q96" s="1083"/>
      <c r="R96" s="1083"/>
      <c r="S96" s="1083"/>
      <c r="T96" s="1083"/>
      <c r="U96" s="1083"/>
      <c r="V96" s="1083"/>
      <c r="W96" s="1083"/>
      <c r="X96" s="1083"/>
      <c r="Y96" s="1081"/>
      <c r="Z96" s="1081"/>
      <c r="AA96" s="1081"/>
      <c r="AB96" s="1081"/>
      <c r="AC96" s="1081"/>
      <c r="AD96" s="1081"/>
      <c r="AE96" s="1082"/>
      <c r="AF96" s="1082"/>
      <c r="AG96" s="1082"/>
      <c r="AH96" s="1082"/>
      <c r="AI96" s="1082"/>
      <c r="AJ96" s="1082"/>
      <c r="AK96" s="1082"/>
      <c r="AL96" s="1082"/>
      <c r="AM96" s="1082"/>
      <c r="AN96" s="1082"/>
      <c r="AO96" s="1082"/>
      <c r="AP96" s="1082"/>
      <c r="AQ96" s="1082"/>
      <c r="AR96" s="1082"/>
      <c r="AS96" s="1082"/>
      <c r="AT96" s="1082"/>
      <c r="AU96" s="1082"/>
      <c r="AV96" s="1082"/>
      <c r="AW96" s="1082"/>
      <c r="AX96" s="1082"/>
      <c r="AY96" s="1082"/>
      <c r="AZ96" s="1082"/>
    </row>
    <row r="97" spans="1:52">
      <c r="A97" s="1081"/>
      <c r="B97" s="1083"/>
      <c r="C97" s="1083"/>
      <c r="D97" s="1083"/>
      <c r="E97" s="1083"/>
      <c r="F97" s="1083"/>
      <c r="G97" s="1083"/>
      <c r="H97" s="1083"/>
      <c r="I97" s="1083"/>
      <c r="J97" s="1083"/>
      <c r="K97" s="1083"/>
      <c r="L97" s="1083"/>
      <c r="M97" s="1083"/>
      <c r="N97" s="1083"/>
      <c r="O97" s="1083"/>
      <c r="P97" s="1083"/>
      <c r="Q97" s="1083"/>
      <c r="R97" s="1083"/>
      <c r="S97" s="1083"/>
      <c r="T97" s="1083"/>
      <c r="U97" s="1083"/>
      <c r="V97" s="1083"/>
      <c r="W97" s="1083"/>
      <c r="X97" s="1083"/>
      <c r="Y97" s="1081"/>
      <c r="Z97" s="1081"/>
      <c r="AA97" s="1081"/>
      <c r="AB97" s="1081"/>
      <c r="AC97" s="1081"/>
      <c r="AD97" s="1081"/>
      <c r="AE97" s="1082"/>
      <c r="AF97" s="1082"/>
      <c r="AG97" s="1082"/>
      <c r="AH97" s="1082"/>
      <c r="AI97" s="1082"/>
      <c r="AJ97" s="1082"/>
      <c r="AK97" s="1082"/>
      <c r="AL97" s="1082"/>
      <c r="AM97" s="1082"/>
      <c r="AN97" s="1082"/>
      <c r="AO97" s="1082"/>
      <c r="AP97" s="1082"/>
      <c r="AQ97" s="1082"/>
      <c r="AR97" s="1082"/>
      <c r="AS97" s="1082"/>
      <c r="AT97" s="1082"/>
      <c r="AU97" s="1082"/>
      <c r="AV97" s="1082"/>
      <c r="AW97" s="1082"/>
      <c r="AX97" s="1082"/>
      <c r="AY97" s="1082"/>
      <c r="AZ97" s="1082"/>
    </row>
    <row r="98" spans="1:52">
      <c r="A98" s="1081"/>
      <c r="B98" s="1083"/>
      <c r="C98" s="1083"/>
      <c r="D98" s="1083"/>
      <c r="E98" s="1083"/>
      <c r="F98" s="1083"/>
      <c r="G98" s="1083"/>
      <c r="H98" s="1083"/>
      <c r="I98" s="1083"/>
      <c r="J98" s="1083"/>
      <c r="K98" s="1083"/>
      <c r="L98" s="1083"/>
      <c r="M98" s="1083"/>
      <c r="N98" s="1083"/>
      <c r="O98" s="1083"/>
      <c r="P98" s="1083"/>
      <c r="Q98" s="1083"/>
      <c r="R98" s="1083"/>
      <c r="S98" s="1083"/>
      <c r="T98" s="1083"/>
      <c r="U98" s="1083"/>
      <c r="V98" s="1083"/>
      <c r="W98" s="1083"/>
      <c r="X98" s="1083"/>
      <c r="Y98" s="1081"/>
      <c r="Z98" s="1081"/>
      <c r="AA98" s="1081"/>
      <c r="AB98" s="1081"/>
      <c r="AC98" s="1081"/>
      <c r="AD98" s="1081"/>
      <c r="AE98" s="1082"/>
      <c r="AF98" s="1082"/>
      <c r="AG98" s="1082"/>
      <c r="AH98" s="1082"/>
      <c r="AI98" s="1082"/>
      <c r="AJ98" s="1082"/>
      <c r="AK98" s="1082"/>
      <c r="AL98" s="1082"/>
      <c r="AM98" s="1082"/>
      <c r="AN98" s="1082"/>
      <c r="AO98" s="1082"/>
      <c r="AP98" s="1082"/>
      <c r="AQ98" s="1082"/>
      <c r="AR98" s="1082"/>
      <c r="AS98" s="1082"/>
      <c r="AT98" s="1082"/>
      <c r="AU98" s="1082"/>
      <c r="AV98" s="1082"/>
      <c r="AW98" s="1082"/>
      <c r="AX98" s="1082"/>
      <c r="AY98" s="1082"/>
      <c r="AZ98" s="1082"/>
    </row>
    <row r="99" spans="1:52">
      <c r="A99" s="1081"/>
      <c r="B99" s="1083"/>
      <c r="C99" s="1083"/>
      <c r="D99" s="1083"/>
      <c r="E99" s="1083"/>
      <c r="F99" s="1083"/>
      <c r="G99" s="1083"/>
      <c r="H99" s="1083"/>
      <c r="I99" s="1083"/>
      <c r="J99" s="1083"/>
      <c r="K99" s="1083"/>
      <c r="L99" s="1083"/>
      <c r="M99" s="1083"/>
      <c r="N99" s="1083"/>
      <c r="O99" s="1083"/>
      <c r="P99" s="1083"/>
      <c r="Q99" s="1083"/>
      <c r="R99" s="1083"/>
      <c r="S99" s="1083"/>
      <c r="T99" s="1083"/>
      <c r="U99" s="1083"/>
      <c r="V99" s="1083"/>
      <c r="W99" s="1083"/>
      <c r="X99" s="1083"/>
      <c r="Y99" s="1081"/>
      <c r="Z99" s="1081"/>
      <c r="AA99" s="1081"/>
      <c r="AB99" s="1081"/>
      <c r="AC99" s="1081"/>
      <c r="AD99" s="1081"/>
      <c r="AE99" s="1082"/>
      <c r="AF99" s="1082"/>
      <c r="AG99" s="1082"/>
      <c r="AH99" s="1082"/>
      <c r="AI99" s="1082"/>
      <c r="AJ99" s="1082"/>
      <c r="AK99" s="1082"/>
      <c r="AL99" s="1082"/>
      <c r="AM99" s="1082"/>
      <c r="AN99" s="1082"/>
      <c r="AO99" s="1082"/>
      <c r="AP99" s="1082"/>
      <c r="AQ99" s="1082"/>
      <c r="AR99" s="1082"/>
      <c r="AS99" s="1082"/>
      <c r="AT99" s="1082"/>
      <c r="AU99" s="1082"/>
      <c r="AV99" s="1082"/>
      <c r="AW99" s="1082"/>
      <c r="AX99" s="1082"/>
      <c r="AY99" s="1082"/>
      <c r="AZ99" s="1082"/>
    </row>
    <row r="100" spans="1:52">
      <c r="A100" s="1081"/>
      <c r="B100" s="1083"/>
      <c r="C100" s="1083"/>
      <c r="D100" s="1083"/>
      <c r="E100" s="1083"/>
      <c r="F100" s="1083"/>
      <c r="G100" s="1083"/>
      <c r="H100" s="1083"/>
      <c r="I100" s="1083"/>
      <c r="J100" s="1083"/>
      <c r="K100" s="1083"/>
      <c r="L100" s="1083"/>
      <c r="M100" s="1083"/>
      <c r="N100" s="1083"/>
      <c r="O100" s="1083"/>
      <c r="P100" s="1083"/>
      <c r="Q100" s="1083"/>
      <c r="R100" s="1083"/>
      <c r="S100" s="1083"/>
      <c r="T100" s="1083"/>
      <c r="U100" s="1083"/>
      <c r="V100" s="1083"/>
      <c r="W100" s="1083"/>
      <c r="X100" s="1083"/>
      <c r="Y100" s="1081"/>
      <c r="Z100" s="1081"/>
      <c r="AA100" s="1081"/>
      <c r="AB100" s="1081"/>
      <c r="AC100" s="1081"/>
      <c r="AD100" s="1081"/>
      <c r="AE100" s="1082"/>
      <c r="AF100" s="1082"/>
      <c r="AG100" s="1082"/>
      <c r="AH100" s="1082"/>
      <c r="AI100" s="1082"/>
      <c r="AJ100" s="1082"/>
      <c r="AK100" s="1082"/>
      <c r="AL100" s="1082"/>
      <c r="AM100" s="1082"/>
      <c r="AN100" s="1082"/>
      <c r="AO100" s="1082"/>
      <c r="AP100" s="1082"/>
      <c r="AQ100" s="1082"/>
      <c r="AR100" s="1082"/>
      <c r="AS100" s="1082"/>
      <c r="AT100" s="1082"/>
      <c r="AU100" s="1082"/>
      <c r="AV100" s="1082"/>
      <c r="AW100" s="1082"/>
      <c r="AX100" s="1082"/>
      <c r="AY100" s="1082"/>
      <c r="AZ100" s="1082"/>
    </row>
    <row r="101" spans="1:52">
      <c r="A101" s="1081"/>
      <c r="B101" s="1083"/>
      <c r="C101" s="1083"/>
      <c r="D101" s="1083"/>
      <c r="E101" s="1083"/>
      <c r="F101" s="1083"/>
      <c r="G101" s="1083"/>
      <c r="H101" s="1083"/>
      <c r="I101" s="1083"/>
      <c r="J101" s="1083"/>
      <c r="K101" s="1083"/>
      <c r="L101" s="1083"/>
      <c r="M101" s="1083"/>
      <c r="N101" s="1083"/>
      <c r="O101" s="1083"/>
      <c r="P101" s="1083"/>
      <c r="Q101" s="1083"/>
      <c r="R101" s="1083"/>
      <c r="S101" s="1083"/>
      <c r="T101" s="1083"/>
      <c r="U101" s="1083"/>
      <c r="V101" s="1083"/>
      <c r="W101" s="1083"/>
      <c r="X101" s="1083"/>
      <c r="Y101" s="1081"/>
      <c r="Z101" s="1081"/>
      <c r="AA101" s="1081"/>
      <c r="AB101" s="1081"/>
      <c r="AC101" s="1081"/>
      <c r="AD101" s="1081"/>
      <c r="AE101" s="1082"/>
      <c r="AF101" s="1082"/>
      <c r="AG101" s="1082"/>
      <c r="AH101" s="1082"/>
      <c r="AI101" s="1082"/>
      <c r="AJ101" s="1082"/>
      <c r="AK101" s="1082"/>
      <c r="AL101" s="1082"/>
      <c r="AM101" s="1082"/>
      <c r="AN101" s="1082"/>
      <c r="AO101" s="1082"/>
      <c r="AP101" s="1082"/>
      <c r="AQ101" s="1082"/>
      <c r="AR101" s="1082"/>
      <c r="AS101" s="1082"/>
      <c r="AT101" s="1082"/>
      <c r="AU101" s="1082"/>
      <c r="AV101" s="1082"/>
      <c r="AW101" s="1082"/>
      <c r="AX101" s="1082"/>
      <c r="AY101" s="1082"/>
      <c r="AZ101" s="1082"/>
    </row>
    <row r="102" spans="1:52">
      <c r="A102" s="1081"/>
      <c r="B102" s="1083"/>
      <c r="C102" s="1083"/>
      <c r="D102" s="1083"/>
      <c r="E102" s="1083"/>
      <c r="F102" s="1083"/>
      <c r="G102" s="1083"/>
      <c r="H102" s="1083"/>
      <c r="I102" s="1083"/>
      <c r="J102" s="1083"/>
      <c r="K102" s="1083"/>
      <c r="L102" s="1083"/>
      <c r="M102" s="1083"/>
      <c r="N102" s="1083"/>
      <c r="O102" s="1083"/>
      <c r="P102" s="1083"/>
      <c r="Q102" s="1083"/>
      <c r="R102" s="1083"/>
      <c r="S102" s="1083"/>
      <c r="T102" s="1083"/>
      <c r="U102" s="1083"/>
      <c r="V102" s="1083"/>
      <c r="W102" s="1083"/>
      <c r="X102" s="1083"/>
      <c r="Y102" s="1081"/>
      <c r="Z102" s="1081"/>
      <c r="AA102" s="1081"/>
      <c r="AB102" s="1081"/>
      <c r="AC102" s="1081"/>
      <c r="AD102" s="1081"/>
      <c r="AE102" s="1082"/>
      <c r="AF102" s="1082"/>
      <c r="AG102" s="1082"/>
      <c r="AH102" s="1082"/>
      <c r="AI102" s="1082"/>
      <c r="AJ102" s="1082"/>
      <c r="AK102" s="1082"/>
      <c r="AL102" s="1082"/>
      <c r="AM102" s="1082"/>
      <c r="AN102" s="1082"/>
      <c r="AO102" s="1082"/>
      <c r="AP102" s="1082"/>
      <c r="AQ102" s="1082"/>
      <c r="AR102" s="1082"/>
      <c r="AS102" s="1082"/>
      <c r="AT102" s="1082"/>
      <c r="AU102" s="1082"/>
      <c r="AV102" s="1082"/>
      <c r="AW102" s="1082"/>
      <c r="AX102" s="1082"/>
      <c r="AY102" s="1082"/>
      <c r="AZ102" s="1082"/>
    </row>
    <row r="103" spans="1:52">
      <c r="A103" s="1081"/>
      <c r="B103" s="1083"/>
      <c r="C103" s="1083"/>
      <c r="D103" s="1083"/>
      <c r="E103" s="1083"/>
      <c r="F103" s="1083"/>
      <c r="G103" s="1083"/>
      <c r="H103" s="1083"/>
      <c r="I103" s="1083"/>
      <c r="J103" s="1083"/>
      <c r="K103" s="1083"/>
      <c r="L103" s="1083"/>
      <c r="M103" s="1083"/>
      <c r="N103" s="1083"/>
      <c r="O103" s="1083"/>
      <c r="P103" s="1083"/>
      <c r="Q103" s="1083"/>
      <c r="R103" s="1083"/>
      <c r="S103" s="1083"/>
      <c r="T103" s="1083"/>
      <c r="U103" s="1083"/>
      <c r="V103" s="1083"/>
      <c r="W103" s="1083"/>
      <c r="X103" s="1083"/>
      <c r="Y103" s="1081"/>
      <c r="Z103" s="1081"/>
      <c r="AA103" s="1081"/>
      <c r="AB103" s="1081"/>
      <c r="AC103" s="1081"/>
      <c r="AD103" s="1081"/>
      <c r="AE103" s="1082"/>
      <c r="AF103" s="1082"/>
      <c r="AG103" s="1082"/>
      <c r="AH103" s="1082"/>
      <c r="AI103" s="1082"/>
      <c r="AJ103" s="1082"/>
      <c r="AK103" s="1082"/>
      <c r="AL103" s="1082"/>
      <c r="AM103" s="1082"/>
      <c r="AN103" s="1082"/>
      <c r="AO103" s="1082"/>
      <c r="AP103" s="1082"/>
      <c r="AQ103" s="1082"/>
      <c r="AR103" s="1082"/>
      <c r="AS103" s="1082"/>
      <c r="AT103" s="1082"/>
      <c r="AU103" s="1082"/>
      <c r="AV103" s="1082"/>
      <c r="AW103" s="1082"/>
      <c r="AX103" s="1082"/>
      <c r="AY103" s="1082"/>
      <c r="AZ103" s="1082"/>
    </row>
    <row r="104" spans="1:52">
      <c r="A104" s="1081"/>
      <c r="B104" s="1083"/>
      <c r="C104" s="1083"/>
      <c r="D104" s="1083"/>
      <c r="E104" s="1083"/>
      <c r="F104" s="1083"/>
      <c r="G104" s="1083"/>
      <c r="H104" s="1083"/>
      <c r="I104" s="1083"/>
      <c r="J104" s="1083"/>
      <c r="K104" s="1083"/>
      <c r="L104" s="1083"/>
      <c r="M104" s="1083"/>
      <c r="N104" s="1083"/>
      <c r="O104" s="1083"/>
      <c r="P104" s="1083"/>
      <c r="Q104" s="1083"/>
      <c r="R104" s="1083"/>
      <c r="S104" s="1083"/>
      <c r="T104" s="1083"/>
      <c r="U104" s="1083"/>
      <c r="V104" s="1083"/>
      <c r="W104" s="1083"/>
      <c r="X104" s="1083"/>
      <c r="Y104" s="1081"/>
      <c r="Z104" s="1081"/>
      <c r="AA104" s="1081"/>
      <c r="AB104" s="1081"/>
      <c r="AC104" s="1081"/>
      <c r="AD104" s="1081"/>
      <c r="AE104" s="1082"/>
      <c r="AF104" s="1082"/>
      <c r="AG104" s="1082"/>
      <c r="AH104" s="1082"/>
      <c r="AI104" s="1082"/>
      <c r="AJ104" s="1082"/>
      <c r="AK104" s="1082"/>
      <c r="AL104" s="1082"/>
      <c r="AM104" s="1082"/>
      <c r="AN104" s="1082"/>
      <c r="AO104" s="1082"/>
      <c r="AP104" s="1082"/>
      <c r="AQ104" s="1082"/>
      <c r="AR104" s="1082"/>
      <c r="AS104" s="1082"/>
      <c r="AT104" s="1082"/>
      <c r="AU104" s="1082"/>
      <c r="AV104" s="1082"/>
      <c r="AW104" s="1082"/>
      <c r="AX104" s="1082"/>
      <c r="AY104" s="1082"/>
      <c r="AZ104" s="1082"/>
    </row>
    <row r="105" spans="1:52">
      <c r="A105" s="1081"/>
      <c r="B105" s="1083"/>
      <c r="C105" s="1083"/>
      <c r="D105" s="1083"/>
      <c r="E105" s="1083"/>
      <c r="F105" s="1083"/>
      <c r="G105" s="1083"/>
      <c r="H105" s="1083"/>
      <c r="I105" s="1083"/>
      <c r="J105" s="1083"/>
      <c r="K105" s="1083"/>
      <c r="L105" s="1083"/>
      <c r="M105" s="1083"/>
      <c r="N105" s="1083"/>
      <c r="O105" s="1083"/>
      <c r="P105" s="1083"/>
      <c r="Q105" s="1083"/>
      <c r="R105" s="1083"/>
      <c r="S105" s="1083"/>
      <c r="T105" s="1083"/>
      <c r="U105" s="1083"/>
      <c r="V105" s="1083"/>
      <c r="W105" s="1083"/>
      <c r="X105" s="1083"/>
      <c r="Y105" s="1081"/>
      <c r="Z105" s="1081"/>
      <c r="AA105" s="1081"/>
      <c r="AB105" s="1081"/>
      <c r="AC105" s="1081"/>
      <c r="AD105" s="1081"/>
      <c r="AE105" s="1082"/>
      <c r="AF105" s="1082"/>
      <c r="AG105" s="1082"/>
      <c r="AH105" s="1082"/>
      <c r="AI105" s="1082"/>
      <c r="AJ105" s="1082"/>
      <c r="AK105" s="1082"/>
      <c r="AL105" s="1082"/>
      <c r="AM105" s="1082"/>
      <c r="AN105" s="1082"/>
      <c r="AO105" s="1082"/>
      <c r="AP105" s="1082"/>
      <c r="AQ105" s="1082"/>
      <c r="AR105" s="1082"/>
      <c r="AS105" s="1082"/>
      <c r="AT105" s="1082"/>
      <c r="AU105" s="1082"/>
      <c r="AV105" s="1082"/>
      <c r="AW105" s="1082"/>
      <c r="AX105" s="1082"/>
      <c r="AY105" s="1082"/>
      <c r="AZ105" s="1082"/>
    </row>
    <row r="106" spans="1:52">
      <c r="A106" s="1081"/>
      <c r="B106" s="1081"/>
      <c r="C106" s="1081"/>
      <c r="D106" s="1081"/>
      <c r="E106" s="1081"/>
      <c r="F106" s="1081"/>
      <c r="G106" s="1081"/>
      <c r="H106" s="1081"/>
      <c r="I106" s="1081"/>
      <c r="J106" s="1081"/>
      <c r="K106" s="1081"/>
      <c r="L106" s="1081"/>
      <c r="M106" s="1081"/>
      <c r="N106" s="1081"/>
      <c r="O106" s="1081"/>
      <c r="P106" s="1081"/>
      <c r="Q106" s="1081"/>
      <c r="R106" s="1081"/>
      <c r="S106" s="1081"/>
      <c r="T106" s="1081"/>
      <c r="U106" s="1081"/>
      <c r="V106" s="1081"/>
      <c r="W106" s="1081"/>
      <c r="X106" s="1081"/>
      <c r="Y106" s="1081"/>
      <c r="Z106" s="1081"/>
      <c r="AA106" s="1081"/>
      <c r="AB106" s="1081"/>
      <c r="AC106" s="1081"/>
      <c r="AD106" s="1081"/>
      <c r="AE106" s="1082"/>
      <c r="AF106" s="1082"/>
      <c r="AG106" s="1082"/>
      <c r="AH106" s="1082"/>
      <c r="AI106" s="1082"/>
      <c r="AJ106" s="1082"/>
      <c r="AK106" s="1082"/>
      <c r="AL106" s="1082"/>
      <c r="AM106" s="1082"/>
      <c r="AN106" s="1082"/>
      <c r="AO106" s="1082"/>
      <c r="AP106" s="1082"/>
      <c r="AQ106" s="1082"/>
      <c r="AR106" s="1082"/>
      <c r="AS106" s="1082"/>
      <c r="AT106" s="1082"/>
      <c r="AU106" s="1082"/>
      <c r="AV106" s="1082"/>
      <c r="AW106" s="1082"/>
      <c r="AX106" s="1082"/>
      <c r="AY106" s="1082"/>
      <c r="AZ106" s="1082"/>
    </row>
    <row r="107" spans="1:52">
      <c r="A107" s="1081"/>
      <c r="B107" s="1081"/>
      <c r="C107" s="1081"/>
      <c r="D107" s="1081"/>
      <c r="E107" s="1081"/>
      <c r="F107" s="1081"/>
      <c r="G107" s="1081"/>
      <c r="H107" s="1081"/>
      <c r="I107" s="1081"/>
      <c r="J107" s="1081"/>
      <c r="K107" s="1081"/>
      <c r="L107" s="1081"/>
      <c r="M107" s="1081"/>
      <c r="N107" s="1081"/>
      <c r="O107" s="1081"/>
      <c r="P107" s="1081"/>
      <c r="Q107" s="1081"/>
      <c r="R107" s="1081"/>
      <c r="S107" s="1081"/>
      <c r="T107" s="1081"/>
      <c r="U107" s="1081"/>
      <c r="V107" s="1081"/>
      <c r="W107" s="1081"/>
      <c r="X107" s="1081"/>
      <c r="Y107" s="1081"/>
      <c r="Z107" s="1081"/>
      <c r="AA107" s="1081"/>
      <c r="AB107" s="1081"/>
      <c r="AC107" s="1081"/>
      <c r="AD107" s="1081"/>
      <c r="AE107" s="1082"/>
      <c r="AF107" s="1082"/>
      <c r="AG107" s="1082"/>
      <c r="AH107" s="1082"/>
      <c r="AI107" s="1082"/>
      <c r="AJ107" s="1082"/>
      <c r="AK107" s="1082"/>
      <c r="AL107" s="1082"/>
      <c r="AM107" s="1082"/>
      <c r="AN107" s="1082"/>
      <c r="AO107" s="1082"/>
      <c r="AP107" s="1082"/>
      <c r="AQ107" s="1082"/>
      <c r="AR107" s="1082"/>
      <c r="AS107" s="1082"/>
      <c r="AT107" s="1082"/>
      <c r="AU107" s="1082"/>
      <c r="AV107" s="1082"/>
      <c r="AW107" s="1082"/>
      <c r="AX107" s="1082"/>
      <c r="AY107" s="1082"/>
      <c r="AZ107" s="1082"/>
    </row>
    <row r="108" spans="1:52">
      <c r="A108" s="1081"/>
      <c r="B108" s="1081"/>
      <c r="C108" s="1081"/>
      <c r="D108" s="1081"/>
      <c r="E108" s="1081"/>
      <c r="F108" s="1081"/>
      <c r="G108" s="1081"/>
      <c r="H108" s="1081"/>
      <c r="I108" s="1081"/>
      <c r="J108" s="1081"/>
      <c r="K108" s="1081"/>
      <c r="L108" s="1081"/>
      <c r="M108" s="1081"/>
      <c r="N108" s="1081"/>
      <c r="O108" s="1081"/>
      <c r="P108" s="1081"/>
      <c r="Q108" s="1081"/>
      <c r="R108" s="1081"/>
      <c r="S108" s="1081"/>
      <c r="T108" s="1081"/>
      <c r="U108" s="1081"/>
      <c r="V108" s="1081"/>
      <c r="W108" s="1081"/>
      <c r="X108" s="1081"/>
      <c r="Y108" s="1081"/>
      <c r="Z108" s="1081"/>
      <c r="AA108" s="1081"/>
      <c r="AB108" s="1081"/>
      <c r="AC108" s="1081"/>
      <c r="AD108" s="1081"/>
      <c r="AE108" s="1082"/>
      <c r="AF108" s="1082"/>
      <c r="AG108" s="1082"/>
      <c r="AH108" s="1082"/>
      <c r="AI108" s="1082"/>
      <c r="AJ108" s="1082"/>
      <c r="AK108" s="1082"/>
      <c r="AL108" s="1082"/>
      <c r="AM108" s="1082"/>
      <c r="AN108" s="1082"/>
      <c r="AO108" s="1082"/>
      <c r="AP108" s="1082"/>
      <c r="AQ108" s="1082"/>
      <c r="AR108" s="1082"/>
      <c r="AS108" s="1082"/>
      <c r="AT108" s="1082"/>
      <c r="AU108" s="1082"/>
      <c r="AV108" s="1082"/>
      <c r="AW108" s="1082"/>
      <c r="AX108" s="1082"/>
      <c r="AY108" s="1082"/>
      <c r="AZ108" s="1082"/>
    </row>
    <row r="109" spans="1:52">
      <c r="A109" s="1081"/>
      <c r="B109" s="1081"/>
      <c r="C109" s="1081"/>
      <c r="D109" s="1081"/>
      <c r="E109" s="1081"/>
      <c r="F109" s="1081"/>
      <c r="G109" s="1081"/>
      <c r="H109" s="1081"/>
      <c r="I109" s="1081"/>
      <c r="J109" s="1081"/>
      <c r="K109" s="1081"/>
      <c r="L109" s="1081"/>
      <c r="M109" s="1081"/>
      <c r="N109" s="1081"/>
      <c r="O109" s="1081"/>
      <c r="P109" s="1081"/>
      <c r="Q109" s="1081"/>
      <c r="R109" s="1081"/>
      <c r="S109" s="1081"/>
      <c r="T109" s="1081"/>
      <c r="U109" s="1081"/>
      <c r="V109" s="1081"/>
      <c r="W109" s="1081"/>
      <c r="X109" s="1081"/>
      <c r="Y109" s="1081"/>
      <c r="Z109" s="1081"/>
      <c r="AA109" s="1081"/>
      <c r="AB109" s="1081"/>
      <c r="AC109" s="1081"/>
      <c r="AD109" s="1081"/>
      <c r="AE109" s="1082"/>
      <c r="AF109" s="1082"/>
      <c r="AG109" s="1082"/>
      <c r="AH109" s="1082"/>
      <c r="AI109" s="1082"/>
      <c r="AJ109" s="1082"/>
      <c r="AK109" s="1082"/>
      <c r="AL109" s="1082"/>
      <c r="AM109" s="1082"/>
      <c r="AN109" s="1082"/>
      <c r="AO109" s="1082"/>
      <c r="AP109" s="1082"/>
      <c r="AQ109" s="1082"/>
      <c r="AR109" s="1082"/>
      <c r="AS109" s="1082"/>
      <c r="AT109" s="1082"/>
      <c r="AU109" s="1082"/>
      <c r="AV109" s="1082"/>
      <c r="AW109" s="1082"/>
      <c r="AX109" s="1082"/>
      <c r="AY109" s="1082"/>
      <c r="AZ109" s="1082"/>
    </row>
    <row r="110" spans="1:52">
      <c r="A110" s="1081"/>
      <c r="B110" s="1081"/>
      <c r="C110" s="1081"/>
      <c r="D110" s="1081"/>
      <c r="E110" s="1081"/>
      <c r="F110" s="1081"/>
      <c r="G110" s="1081"/>
      <c r="H110" s="1081"/>
      <c r="I110" s="1081"/>
      <c r="J110" s="1081"/>
      <c r="K110" s="1081"/>
      <c r="L110" s="1081"/>
      <c r="M110" s="1081"/>
      <c r="N110" s="1081"/>
      <c r="O110" s="1081"/>
      <c r="P110" s="1081"/>
      <c r="Q110" s="1081"/>
      <c r="R110" s="1081"/>
      <c r="S110" s="1081"/>
      <c r="T110" s="1081"/>
      <c r="U110" s="1081"/>
      <c r="V110" s="1081"/>
      <c r="W110" s="1081"/>
      <c r="X110" s="1081"/>
      <c r="Y110" s="1081"/>
      <c r="Z110" s="1081"/>
      <c r="AA110" s="1081"/>
      <c r="AB110" s="1081"/>
      <c r="AC110" s="1081"/>
      <c r="AD110" s="1081"/>
      <c r="AE110" s="1082"/>
      <c r="AF110" s="1082"/>
      <c r="AG110" s="1082"/>
      <c r="AH110" s="1082"/>
      <c r="AI110" s="1082"/>
      <c r="AJ110" s="1082"/>
      <c r="AK110" s="1082"/>
      <c r="AL110" s="1082"/>
      <c r="AM110" s="1082"/>
      <c r="AN110" s="1082"/>
      <c r="AO110" s="1082"/>
      <c r="AP110" s="1082"/>
      <c r="AQ110" s="1082"/>
      <c r="AR110" s="1082"/>
      <c r="AS110" s="1082"/>
      <c r="AT110" s="1082"/>
      <c r="AU110" s="1082"/>
      <c r="AV110" s="1082"/>
      <c r="AW110" s="1082"/>
      <c r="AX110" s="1082"/>
      <c r="AY110" s="1082"/>
      <c r="AZ110" s="1082"/>
    </row>
    <row r="111" spans="1:52">
      <c r="A111" s="1081"/>
      <c r="B111" s="1081"/>
      <c r="C111" s="1081"/>
      <c r="D111" s="1081"/>
      <c r="E111" s="1081"/>
      <c r="F111" s="1081"/>
      <c r="G111" s="1081"/>
      <c r="H111" s="1081"/>
      <c r="I111" s="1081"/>
      <c r="J111" s="1081"/>
      <c r="K111" s="1081"/>
      <c r="L111" s="1081"/>
      <c r="M111" s="1081"/>
      <c r="N111" s="1081"/>
      <c r="O111" s="1081"/>
      <c r="P111" s="1081"/>
      <c r="Q111" s="1081"/>
      <c r="R111" s="1081"/>
      <c r="S111" s="1081"/>
      <c r="T111" s="1081"/>
      <c r="U111" s="1081"/>
      <c r="V111" s="1081"/>
      <c r="W111" s="1081"/>
      <c r="X111" s="1081"/>
      <c r="Y111" s="1081"/>
      <c r="Z111" s="1081"/>
      <c r="AA111" s="1081"/>
      <c r="AB111" s="1081"/>
      <c r="AC111" s="1081"/>
      <c r="AD111" s="1081"/>
      <c r="AE111" s="1082"/>
      <c r="AF111" s="1082"/>
      <c r="AG111" s="1082"/>
      <c r="AH111" s="1082"/>
      <c r="AI111" s="1082"/>
      <c r="AJ111" s="1082"/>
      <c r="AK111" s="1082"/>
      <c r="AL111" s="1082"/>
      <c r="AM111" s="1082"/>
      <c r="AN111" s="1082"/>
      <c r="AO111" s="1082"/>
      <c r="AP111" s="1082"/>
      <c r="AQ111" s="1082"/>
      <c r="AR111" s="1082"/>
      <c r="AS111" s="1082"/>
      <c r="AT111" s="1082"/>
      <c r="AU111" s="1082"/>
      <c r="AV111" s="1082"/>
      <c r="AW111" s="1082"/>
      <c r="AX111" s="1082"/>
      <c r="AY111" s="1082"/>
      <c r="AZ111" s="1082"/>
    </row>
    <row r="112" spans="1:52">
      <c r="A112" s="1081"/>
      <c r="B112" s="1081"/>
      <c r="C112" s="1081"/>
      <c r="D112" s="1081"/>
      <c r="E112" s="1081"/>
      <c r="F112" s="1081"/>
      <c r="G112" s="1081"/>
      <c r="H112" s="1081"/>
      <c r="I112" s="1081"/>
      <c r="J112" s="1081"/>
      <c r="K112" s="1081"/>
      <c r="L112" s="1081"/>
      <c r="M112" s="1081"/>
      <c r="N112" s="1081"/>
      <c r="O112" s="1081"/>
      <c r="P112" s="1081"/>
      <c r="Q112" s="1081"/>
      <c r="R112" s="1081"/>
      <c r="S112" s="1081"/>
      <c r="T112" s="1081"/>
      <c r="U112" s="1081"/>
      <c r="V112" s="1081"/>
      <c r="W112" s="1081"/>
      <c r="X112" s="1081"/>
      <c r="Y112" s="1081"/>
      <c r="Z112" s="1081"/>
      <c r="AA112" s="1081"/>
      <c r="AB112" s="1081"/>
      <c r="AC112" s="1081"/>
      <c r="AD112" s="1081"/>
      <c r="AE112" s="1082"/>
      <c r="AF112" s="1082"/>
      <c r="AG112" s="1082"/>
      <c r="AH112" s="1082"/>
      <c r="AI112" s="1082"/>
      <c r="AJ112" s="1082"/>
      <c r="AK112" s="1082"/>
      <c r="AL112" s="1082"/>
      <c r="AM112" s="1082"/>
      <c r="AN112" s="1082"/>
      <c r="AO112" s="1082"/>
      <c r="AP112" s="1082"/>
      <c r="AQ112" s="1082"/>
      <c r="AR112" s="1082"/>
      <c r="AS112" s="1082"/>
      <c r="AT112" s="1082"/>
      <c r="AU112" s="1082"/>
      <c r="AV112" s="1082"/>
      <c r="AW112" s="1082"/>
      <c r="AX112" s="1082"/>
      <c r="AY112" s="1082"/>
      <c r="AZ112" s="1082"/>
    </row>
    <row r="113" spans="1:52">
      <c r="A113" s="1081"/>
      <c r="B113" s="1081"/>
      <c r="C113" s="1081"/>
      <c r="D113" s="1081"/>
      <c r="E113" s="1081"/>
      <c r="F113" s="1081"/>
      <c r="G113" s="1081"/>
      <c r="H113" s="1081"/>
      <c r="I113" s="1081"/>
      <c r="J113" s="1081"/>
      <c r="K113" s="1081"/>
      <c r="L113" s="1081"/>
      <c r="M113" s="1081"/>
      <c r="N113" s="1081"/>
      <c r="O113" s="1081"/>
      <c r="P113" s="1081"/>
      <c r="Q113" s="1081"/>
      <c r="R113" s="1081"/>
      <c r="S113" s="1081"/>
      <c r="T113" s="1081"/>
      <c r="U113" s="1081"/>
      <c r="V113" s="1081"/>
      <c r="W113" s="1081"/>
      <c r="X113" s="1081"/>
      <c r="Y113" s="1081"/>
      <c r="Z113" s="1081"/>
      <c r="AA113" s="1081"/>
      <c r="AB113" s="1081"/>
      <c r="AC113" s="1081"/>
      <c r="AD113" s="1081"/>
      <c r="AE113" s="1082"/>
      <c r="AF113" s="1082"/>
      <c r="AG113" s="1082"/>
      <c r="AH113" s="1082"/>
      <c r="AI113" s="1082"/>
      <c r="AJ113" s="1082"/>
      <c r="AK113" s="1082"/>
      <c r="AL113" s="1082"/>
      <c r="AM113" s="1082"/>
      <c r="AN113" s="1082"/>
      <c r="AO113" s="1082"/>
      <c r="AP113" s="1082"/>
      <c r="AQ113" s="1082"/>
      <c r="AR113" s="1082"/>
      <c r="AS113" s="1082"/>
      <c r="AT113" s="1082"/>
      <c r="AU113" s="1082"/>
      <c r="AV113" s="1082"/>
      <c r="AW113" s="1082"/>
      <c r="AX113" s="1082"/>
      <c r="AY113" s="1082"/>
      <c r="AZ113" s="1082"/>
    </row>
    <row r="114" spans="1:52">
      <c r="A114" s="1081"/>
      <c r="B114" s="1081"/>
      <c r="C114" s="1081"/>
      <c r="D114" s="1081"/>
      <c r="E114" s="1081"/>
      <c r="F114" s="1081"/>
      <c r="G114" s="1081"/>
      <c r="H114" s="1081"/>
      <c r="I114" s="1081"/>
      <c r="J114" s="1081"/>
      <c r="K114" s="1081"/>
      <c r="L114" s="1081"/>
      <c r="M114" s="1081"/>
      <c r="N114" s="1081"/>
      <c r="O114" s="1081"/>
      <c r="P114" s="1081"/>
      <c r="Q114" s="1081"/>
      <c r="R114" s="1081"/>
      <c r="S114" s="1081"/>
      <c r="T114" s="1081"/>
      <c r="U114" s="1081"/>
      <c r="V114" s="1081"/>
      <c r="W114" s="1081"/>
      <c r="X114" s="1081"/>
      <c r="Y114" s="1081"/>
      <c r="Z114" s="1081"/>
      <c r="AA114" s="1081"/>
      <c r="AB114" s="1081"/>
      <c r="AC114" s="1081"/>
      <c r="AD114" s="1081"/>
      <c r="AE114" s="1082"/>
      <c r="AF114" s="1082"/>
      <c r="AG114" s="1082"/>
      <c r="AH114" s="1082"/>
      <c r="AI114" s="1082"/>
      <c r="AJ114" s="1082"/>
      <c r="AK114" s="1082"/>
      <c r="AL114" s="1082"/>
      <c r="AM114" s="1082"/>
      <c r="AN114" s="1082"/>
      <c r="AO114" s="1082"/>
      <c r="AP114" s="1082"/>
      <c r="AQ114" s="1082"/>
      <c r="AR114" s="1082"/>
      <c r="AS114" s="1082"/>
      <c r="AT114" s="1082"/>
      <c r="AU114" s="1082"/>
      <c r="AV114" s="1082"/>
      <c r="AW114" s="1082"/>
      <c r="AX114" s="1082"/>
      <c r="AY114" s="1082"/>
      <c r="AZ114" s="1082"/>
    </row>
    <row r="115" spans="1:52">
      <c r="A115" s="1081"/>
      <c r="B115" s="1081"/>
      <c r="C115" s="1081"/>
      <c r="D115" s="1081"/>
      <c r="E115" s="1081"/>
      <c r="F115" s="1081"/>
      <c r="G115" s="1081"/>
      <c r="H115" s="1081"/>
      <c r="I115" s="1081"/>
      <c r="J115" s="1081"/>
      <c r="K115" s="1081"/>
      <c r="L115" s="1081"/>
      <c r="M115" s="1081"/>
      <c r="N115" s="1081"/>
      <c r="O115" s="1081"/>
      <c r="P115" s="1081"/>
      <c r="Q115" s="1081"/>
      <c r="R115" s="1081"/>
      <c r="S115" s="1081"/>
      <c r="T115" s="1081"/>
      <c r="U115" s="1081"/>
      <c r="V115" s="1081"/>
      <c r="W115" s="1081"/>
      <c r="X115" s="1081"/>
      <c r="Y115" s="1081"/>
      <c r="Z115" s="1081"/>
      <c r="AA115" s="1081"/>
      <c r="AB115" s="1081"/>
      <c r="AC115" s="1081"/>
      <c r="AD115" s="1081"/>
      <c r="AE115" s="1082"/>
      <c r="AF115" s="1082"/>
      <c r="AG115" s="1082"/>
      <c r="AH115" s="1082"/>
      <c r="AI115" s="1082"/>
      <c r="AJ115" s="1082"/>
      <c r="AK115" s="1082"/>
      <c r="AL115" s="1082"/>
      <c r="AM115" s="1082"/>
      <c r="AN115" s="1082"/>
      <c r="AO115" s="1082"/>
      <c r="AP115" s="1082"/>
      <c r="AQ115" s="1082"/>
      <c r="AR115" s="1082"/>
      <c r="AS115" s="1082"/>
      <c r="AT115" s="1082"/>
      <c r="AU115" s="1082"/>
      <c r="AV115" s="1082"/>
      <c r="AW115" s="1082"/>
      <c r="AX115" s="1082"/>
      <c r="AY115" s="1082"/>
      <c r="AZ115" s="1082"/>
    </row>
    <row r="116" spans="1:52">
      <c r="A116" s="1081"/>
      <c r="B116" s="1081"/>
      <c r="C116" s="1081"/>
      <c r="D116" s="1081"/>
      <c r="E116" s="1081"/>
      <c r="F116" s="1081"/>
      <c r="G116" s="1081"/>
      <c r="H116" s="1081"/>
      <c r="I116" s="1081"/>
      <c r="J116" s="1081"/>
      <c r="K116" s="1081"/>
      <c r="L116" s="1081"/>
      <c r="M116" s="1081"/>
      <c r="N116" s="1081"/>
      <c r="O116" s="1081"/>
      <c r="P116" s="1081"/>
      <c r="Q116" s="1081"/>
      <c r="R116" s="1081"/>
      <c r="S116" s="1081"/>
      <c r="T116" s="1081"/>
      <c r="U116" s="1081"/>
      <c r="V116" s="1081"/>
      <c r="W116" s="1081"/>
      <c r="X116" s="1081"/>
      <c r="Y116" s="1081"/>
      <c r="Z116" s="1081"/>
      <c r="AA116" s="1081"/>
      <c r="AB116" s="1081"/>
      <c r="AC116" s="1081"/>
      <c r="AD116" s="1081"/>
      <c r="AE116" s="1082"/>
      <c r="AF116" s="1082"/>
      <c r="AG116" s="1082"/>
      <c r="AH116" s="1082"/>
      <c r="AI116" s="1082"/>
      <c r="AJ116" s="1082"/>
      <c r="AK116" s="1082"/>
      <c r="AL116" s="1082"/>
      <c r="AM116" s="1082"/>
      <c r="AN116" s="1082"/>
      <c r="AO116" s="1082"/>
      <c r="AP116" s="1082"/>
      <c r="AQ116" s="1082"/>
      <c r="AR116" s="1082"/>
      <c r="AS116" s="1082"/>
      <c r="AT116" s="1082"/>
      <c r="AU116" s="1082"/>
      <c r="AV116" s="1082"/>
      <c r="AW116" s="1082"/>
      <c r="AX116" s="1082"/>
      <c r="AY116" s="1082"/>
      <c r="AZ116" s="1082"/>
    </row>
    <row r="117" spans="1:52">
      <c r="A117" s="1081"/>
      <c r="B117" s="1081"/>
      <c r="C117" s="1081"/>
      <c r="D117" s="1081"/>
      <c r="E117" s="1081"/>
      <c r="F117" s="1081"/>
      <c r="G117" s="1081"/>
      <c r="H117" s="1081"/>
      <c r="I117" s="1081"/>
      <c r="J117" s="1081"/>
      <c r="K117" s="1081"/>
      <c r="L117" s="1081"/>
      <c r="M117" s="1081"/>
      <c r="N117" s="1081"/>
      <c r="O117" s="1081"/>
      <c r="P117" s="1081"/>
      <c r="Q117" s="1081"/>
      <c r="R117" s="1081"/>
      <c r="S117" s="1081"/>
      <c r="T117" s="1081"/>
      <c r="U117" s="1081"/>
      <c r="V117" s="1081"/>
      <c r="W117" s="1081"/>
      <c r="X117" s="1081"/>
      <c r="Y117" s="1081"/>
      <c r="Z117" s="1081"/>
      <c r="AA117" s="1081"/>
      <c r="AB117" s="1081"/>
      <c r="AC117" s="1081"/>
      <c r="AD117" s="1081"/>
      <c r="AE117" s="1082"/>
      <c r="AF117" s="1082"/>
      <c r="AG117" s="1082"/>
      <c r="AH117" s="1082"/>
      <c r="AI117" s="1082"/>
      <c r="AJ117" s="1082"/>
      <c r="AK117" s="1082"/>
      <c r="AL117" s="1082"/>
      <c r="AM117" s="1082"/>
      <c r="AN117" s="1082"/>
      <c r="AO117" s="1082"/>
      <c r="AP117" s="1082"/>
      <c r="AQ117" s="1082"/>
      <c r="AR117" s="1082"/>
      <c r="AS117" s="1082"/>
      <c r="AT117" s="1082"/>
      <c r="AU117" s="1082"/>
      <c r="AV117" s="1082"/>
      <c r="AW117" s="1082"/>
      <c r="AX117" s="1082"/>
      <c r="AY117" s="1082"/>
      <c r="AZ117" s="1082"/>
    </row>
    <row r="118" spans="1:52">
      <c r="A118" s="1081"/>
      <c r="B118" s="1081"/>
      <c r="C118" s="1081"/>
      <c r="D118" s="1081"/>
      <c r="E118" s="1081"/>
      <c r="F118" s="1081"/>
      <c r="G118" s="1081"/>
      <c r="H118" s="1081"/>
      <c r="I118" s="1081"/>
      <c r="J118" s="1081"/>
      <c r="K118" s="1081"/>
      <c r="L118" s="1081"/>
      <c r="M118" s="1081"/>
      <c r="N118" s="1081"/>
      <c r="O118" s="1081"/>
      <c r="P118" s="1081"/>
      <c r="Q118" s="1081"/>
      <c r="R118" s="1081"/>
      <c r="S118" s="1081"/>
      <c r="T118" s="1081"/>
      <c r="U118" s="1081"/>
      <c r="V118" s="1081"/>
      <c r="W118" s="1081"/>
      <c r="X118" s="1081"/>
      <c r="Y118" s="1081"/>
      <c r="Z118" s="1081"/>
      <c r="AA118" s="1081"/>
      <c r="AB118" s="1081"/>
      <c r="AC118" s="1081"/>
      <c r="AD118" s="1081"/>
      <c r="AE118" s="1082"/>
      <c r="AF118" s="1082"/>
      <c r="AG118" s="1082"/>
      <c r="AH118" s="1082"/>
      <c r="AI118" s="1082"/>
      <c r="AJ118" s="1082"/>
      <c r="AK118" s="1082"/>
      <c r="AL118" s="1082"/>
      <c r="AM118" s="1082"/>
      <c r="AN118" s="1082"/>
      <c r="AO118" s="1082"/>
      <c r="AP118" s="1082"/>
      <c r="AQ118" s="1082"/>
      <c r="AR118" s="1082"/>
      <c r="AS118" s="1082"/>
      <c r="AT118" s="1082"/>
      <c r="AU118" s="1082"/>
      <c r="AV118" s="1082"/>
      <c r="AW118" s="1082"/>
      <c r="AX118" s="1082"/>
      <c r="AY118" s="1082"/>
      <c r="AZ118" s="1082"/>
    </row>
    <row r="119" spans="1:52">
      <c r="A119" s="1081"/>
      <c r="B119" s="1081"/>
      <c r="C119" s="1081"/>
      <c r="D119" s="1081"/>
      <c r="E119" s="1081"/>
      <c r="F119" s="1081"/>
      <c r="G119" s="1081"/>
      <c r="H119" s="1081"/>
      <c r="I119" s="1081"/>
      <c r="J119" s="1081"/>
      <c r="K119" s="1081"/>
      <c r="L119" s="1081"/>
      <c r="M119" s="1081"/>
      <c r="N119" s="1081"/>
      <c r="O119" s="1081"/>
      <c r="P119" s="1081"/>
      <c r="Q119" s="1081"/>
      <c r="R119" s="1081"/>
      <c r="S119" s="1081"/>
      <c r="T119" s="1081"/>
      <c r="U119" s="1081"/>
      <c r="V119" s="1081"/>
      <c r="W119" s="1081"/>
      <c r="X119" s="1081"/>
      <c r="Y119" s="1081"/>
      <c r="Z119" s="1081"/>
      <c r="AA119" s="1081"/>
      <c r="AB119" s="1081"/>
      <c r="AC119" s="1081"/>
      <c r="AD119" s="1081"/>
      <c r="AE119" s="1082"/>
      <c r="AF119" s="1082"/>
      <c r="AG119" s="1082"/>
      <c r="AH119" s="1082"/>
      <c r="AI119" s="1082"/>
      <c r="AJ119" s="1082"/>
      <c r="AK119" s="1082"/>
      <c r="AL119" s="1082"/>
      <c r="AM119" s="1082"/>
      <c r="AN119" s="1082"/>
      <c r="AO119" s="1082"/>
      <c r="AP119" s="1082"/>
      <c r="AQ119" s="1082"/>
      <c r="AR119" s="1082"/>
      <c r="AS119" s="1082"/>
      <c r="AT119" s="1082"/>
      <c r="AU119" s="1082"/>
      <c r="AV119" s="1082"/>
      <c r="AW119" s="1082"/>
      <c r="AX119" s="1082"/>
      <c r="AY119" s="1082"/>
      <c r="AZ119" s="1082"/>
    </row>
    <row r="120" spans="1:52">
      <c r="A120" s="1081"/>
      <c r="B120" s="1081"/>
      <c r="C120" s="1081"/>
      <c r="D120" s="1081"/>
      <c r="E120" s="1081"/>
      <c r="F120" s="1081"/>
      <c r="G120" s="1081"/>
      <c r="H120" s="1081"/>
      <c r="I120" s="1081"/>
      <c r="J120" s="1081"/>
      <c r="K120" s="1081"/>
      <c r="L120" s="1081"/>
      <c r="M120" s="1081"/>
      <c r="N120" s="1081"/>
      <c r="O120" s="1081"/>
      <c r="P120" s="1081"/>
      <c r="Q120" s="1081"/>
      <c r="R120" s="1081"/>
      <c r="S120" s="1081"/>
      <c r="T120" s="1081"/>
      <c r="U120" s="1081"/>
      <c r="V120" s="1081"/>
      <c r="W120" s="1081"/>
      <c r="X120" s="1081"/>
      <c r="Y120" s="1081"/>
      <c r="Z120" s="1081"/>
      <c r="AA120" s="1081"/>
      <c r="AB120" s="1081"/>
      <c r="AC120" s="1081"/>
      <c r="AD120" s="1081"/>
      <c r="AE120" s="1082"/>
      <c r="AF120" s="1082"/>
      <c r="AG120" s="1082"/>
      <c r="AH120" s="1082"/>
      <c r="AI120" s="1082"/>
      <c r="AJ120" s="1082"/>
      <c r="AK120" s="1082"/>
      <c r="AL120" s="1082"/>
      <c r="AM120" s="1082"/>
      <c r="AN120" s="1082"/>
      <c r="AO120" s="1082"/>
      <c r="AP120" s="1082"/>
      <c r="AQ120" s="1082"/>
      <c r="AR120" s="1082"/>
      <c r="AS120" s="1082"/>
      <c r="AT120" s="1082"/>
      <c r="AU120" s="1082"/>
      <c r="AV120" s="1082"/>
      <c r="AW120" s="1082"/>
      <c r="AX120" s="1082"/>
      <c r="AY120" s="1082"/>
      <c r="AZ120" s="1082"/>
    </row>
    <row r="121" spans="1:52">
      <c r="A121" s="1081"/>
      <c r="B121" s="1081"/>
      <c r="C121" s="1081"/>
      <c r="D121" s="1081"/>
      <c r="E121" s="1081"/>
      <c r="F121" s="1081"/>
      <c r="G121" s="1081"/>
      <c r="H121" s="1081"/>
      <c r="I121" s="1081"/>
      <c r="J121" s="1081"/>
      <c r="K121" s="1081"/>
      <c r="L121" s="1081"/>
      <c r="M121" s="1081"/>
      <c r="N121" s="1081"/>
      <c r="O121" s="1081"/>
      <c r="P121" s="1081"/>
      <c r="Q121" s="1081"/>
      <c r="R121" s="1081"/>
      <c r="S121" s="1081"/>
      <c r="T121" s="1081"/>
      <c r="U121" s="1081"/>
      <c r="V121" s="1081"/>
      <c r="W121" s="1081"/>
      <c r="X121" s="1081"/>
      <c r="Y121" s="1081"/>
      <c r="Z121" s="1081"/>
      <c r="AA121" s="1081"/>
      <c r="AB121" s="1081"/>
      <c r="AC121" s="1081"/>
      <c r="AD121" s="1081"/>
      <c r="AE121" s="1082"/>
      <c r="AF121" s="1082"/>
      <c r="AG121" s="1082"/>
      <c r="AH121" s="1082"/>
      <c r="AI121" s="1082"/>
      <c r="AJ121" s="1082"/>
      <c r="AK121" s="1082"/>
      <c r="AL121" s="1082"/>
      <c r="AM121" s="1082"/>
      <c r="AN121" s="1082"/>
      <c r="AO121" s="1082"/>
      <c r="AP121" s="1082"/>
      <c r="AQ121" s="1082"/>
      <c r="AR121" s="1082"/>
      <c r="AS121" s="1082"/>
      <c r="AT121" s="1082"/>
      <c r="AU121" s="1082"/>
      <c r="AV121" s="1082"/>
      <c r="AW121" s="1082"/>
      <c r="AX121" s="1082"/>
      <c r="AY121" s="1082"/>
      <c r="AZ121" s="1082"/>
    </row>
    <row r="122" spans="1:52">
      <c r="A122" s="1081"/>
      <c r="B122" s="1081"/>
      <c r="C122" s="1081"/>
      <c r="D122" s="1081"/>
      <c r="E122" s="1081"/>
      <c r="F122" s="1081"/>
      <c r="G122" s="1081"/>
      <c r="H122" s="1081"/>
      <c r="I122" s="1081"/>
      <c r="J122" s="1081"/>
      <c r="K122" s="1081"/>
      <c r="L122" s="1081"/>
      <c r="M122" s="1081"/>
      <c r="N122" s="1081"/>
      <c r="O122" s="1081"/>
      <c r="P122" s="1081"/>
      <c r="Q122" s="1081"/>
      <c r="R122" s="1081"/>
      <c r="S122" s="1081"/>
      <c r="T122" s="1081"/>
      <c r="U122" s="1081"/>
      <c r="V122" s="1081"/>
      <c r="W122" s="1081"/>
      <c r="X122" s="1081"/>
      <c r="Y122" s="1081"/>
      <c r="Z122" s="1081"/>
      <c r="AA122" s="1081"/>
      <c r="AB122" s="1081"/>
      <c r="AC122" s="1081"/>
      <c r="AD122" s="1081"/>
      <c r="AE122" s="1082"/>
      <c r="AF122" s="1082"/>
      <c r="AG122" s="1082"/>
      <c r="AH122" s="1082"/>
      <c r="AI122" s="1082"/>
      <c r="AJ122" s="1082"/>
      <c r="AK122" s="1082"/>
      <c r="AL122" s="1082"/>
      <c r="AM122" s="1082"/>
      <c r="AN122" s="1082"/>
      <c r="AO122" s="1082"/>
      <c r="AP122" s="1082"/>
      <c r="AQ122" s="1082"/>
      <c r="AR122" s="1082"/>
      <c r="AS122" s="1082"/>
      <c r="AT122" s="1082"/>
      <c r="AU122" s="1082"/>
      <c r="AV122" s="1082"/>
      <c r="AW122" s="1082"/>
      <c r="AX122" s="1082"/>
      <c r="AY122" s="1082"/>
      <c r="AZ122" s="1082"/>
    </row>
    <row r="123" spans="1:52">
      <c r="A123" s="1081"/>
      <c r="B123" s="1081"/>
      <c r="C123" s="1081"/>
      <c r="D123" s="1081"/>
      <c r="E123" s="1081"/>
      <c r="F123" s="1081"/>
      <c r="G123" s="1081"/>
      <c r="H123" s="1081"/>
      <c r="I123" s="1081"/>
      <c r="J123" s="1081"/>
      <c r="K123" s="1081"/>
      <c r="L123" s="1081"/>
      <c r="M123" s="1081"/>
      <c r="N123" s="1081"/>
      <c r="O123" s="1081"/>
      <c r="P123" s="1081"/>
      <c r="Q123" s="1081"/>
      <c r="R123" s="1081"/>
      <c r="S123" s="1081"/>
      <c r="T123" s="1081"/>
      <c r="U123" s="1081"/>
      <c r="V123" s="1081"/>
      <c r="W123" s="1081"/>
      <c r="X123" s="1081"/>
      <c r="Y123" s="1081"/>
      <c r="Z123" s="1081"/>
      <c r="AA123" s="1081"/>
      <c r="AB123" s="1081"/>
      <c r="AC123" s="1081"/>
      <c r="AD123" s="1081"/>
      <c r="AE123" s="1082"/>
      <c r="AF123" s="1082"/>
      <c r="AG123" s="1082"/>
      <c r="AH123" s="1082"/>
      <c r="AI123" s="1082"/>
      <c r="AJ123" s="1082"/>
      <c r="AK123" s="1082"/>
      <c r="AL123" s="1082"/>
      <c r="AM123" s="1082"/>
      <c r="AN123" s="1082"/>
      <c r="AO123" s="1082"/>
      <c r="AP123" s="1082"/>
      <c r="AQ123" s="1082"/>
      <c r="AR123" s="1082"/>
      <c r="AS123" s="1082"/>
      <c r="AT123" s="1082"/>
      <c r="AU123" s="1082"/>
      <c r="AV123" s="1082"/>
      <c r="AW123" s="1082"/>
      <c r="AX123" s="1082"/>
      <c r="AY123" s="1082"/>
      <c r="AZ123" s="1082"/>
    </row>
    <row r="124" spans="1:52">
      <c r="A124" s="1081"/>
      <c r="B124" s="1081"/>
      <c r="C124" s="1081"/>
      <c r="D124" s="1081"/>
      <c r="E124" s="1081"/>
      <c r="F124" s="1081"/>
      <c r="G124" s="1081"/>
      <c r="H124" s="1081"/>
      <c r="I124" s="1081"/>
      <c r="J124" s="1081"/>
      <c r="K124" s="1081"/>
      <c r="L124" s="1081"/>
      <c r="M124" s="1081"/>
      <c r="N124" s="1081"/>
      <c r="O124" s="1081"/>
      <c r="P124" s="1081"/>
      <c r="Q124" s="1081"/>
      <c r="R124" s="1081"/>
      <c r="S124" s="1081"/>
      <c r="T124" s="1081"/>
      <c r="U124" s="1081"/>
      <c r="V124" s="1081"/>
      <c r="W124" s="1081"/>
      <c r="X124" s="1081"/>
      <c r="Y124" s="1081"/>
      <c r="Z124" s="1081"/>
      <c r="AA124" s="1081"/>
      <c r="AB124" s="1081"/>
      <c r="AC124" s="1081"/>
      <c r="AD124" s="1081"/>
      <c r="AE124" s="1082"/>
      <c r="AF124" s="1082"/>
      <c r="AG124" s="1082"/>
      <c r="AH124" s="1082"/>
      <c r="AI124" s="1082"/>
      <c r="AJ124" s="1082"/>
      <c r="AK124" s="1082"/>
      <c r="AL124" s="1082"/>
      <c r="AM124" s="1082"/>
      <c r="AN124" s="1082"/>
      <c r="AO124" s="1082"/>
      <c r="AP124" s="1082"/>
      <c r="AQ124" s="1082"/>
      <c r="AR124" s="1082"/>
      <c r="AS124" s="1082"/>
      <c r="AT124" s="1082"/>
      <c r="AU124" s="1082"/>
      <c r="AV124" s="1082"/>
      <c r="AW124" s="1082"/>
      <c r="AX124" s="1082"/>
      <c r="AY124" s="1082"/>
      <c r="AZ124" s="1082"/>
    </row>
    <row r="125" spans="1:52">
      <c r="A125" s="1081"/>
      <c r="B125" s="1081"/>
      <c r="C125" s="1081"/>
      <c r="D125" s="1081"/>
      <c r="E125" s="1081"/>
      <c r="F125" s="1081"/>
      <c r="G125" s="1081"/>
      <c r="H125" s="1081"/>
      <c r="I125" s="1081"/>
      <c r="J125" s="1081"/>
      <c r="K125" s="1081"/>
      <c r="L125" s="1081"/>
      <c r="M125" s="1081"/>
      <c r="N125" s="1081"/>
      <c r="O125" s="1081"/>
      <c r="P125" s="1081"/>
      <c r="Q125" s="1081"/>
      <c r="R125" s="1081"/>
      <c r="S125" s="1081"/>
      <c r="T125" s="1081"/>
      <c r="U125" s="1081"/>
      <c r="V125" s="1081"/>
      <c r="W125" s="1081"/>
      <c r="X125" s="1081"/>
      <c r="Y125" s="1081"/>
      <c r="Z125" s="1081"/>
      <c r="AA125" s="1081"/>
      <c r="AB125" s="1081"/>
      <c r="AC125" s="1081"/>
      <c r="AD125" s="1081"/>
      <c r="AE125" s="1082"/>
      <c r="AF125" s="1082"/>
      <c r="AG125" s="1082"/>
      <c r="AH125" s="1082"/>
      <c r="AI125" s="1082"/>
      <c r="AJ125" s="1082"/>
      <c r="AK125" s="1082"/>
      <c r="AL125" s="1082"/>
      <c r="AM125" s="1082"/>
      <c r="AN125" s="1082"/>
      <c r="AO125" s="1082"/>
      <c r="AP125" s="1082"/>
      <c r="AQ125" s="1082"/>
      <c r="AR125" s="1082"/>
      <c r="AS125" s="1082"/>
      <c r="AT125" s="1082"/>
      <c r="AU125" s="1082"/>
      <c r="AV125" s="1082"/>
      <c r="AW125" s="1082"/>
      <c r="AX125" s="1082"/>
      <c r="AY125" s="1082"/>
      <c r="AZ125" s="1082"/>
    </row>
    <row r="126" spans="1:52">
      <c r="A126" s="1081"/>
      <c r="B126" s="1081"/>
      <c r="C126" s="1081"/>
      <c r="D126" s="1081"/>
      <c r="E126" s="1081"/>
      <c r="F126" s="1081"/>
      <c r="G126" s="1081"/>
      <c r="H126" s="1081"/>
      <c r="I126" s="1081"/>
      <c r="J126" s="1081"/>
      <c r="K126" s="1081"/>
      <c r="L126" s="1081"/>
      <c r="M126" s="1081"/>
      <c r="N126" s="1081"/>
      <c r="O126" s="1081"/>
      <c r="P126" s="1081"/>
      <c r="Q126" s="1081"/>
      <c r="R126" s="1081"/>
      <c r="S126" s="1081"/>
      <c r="T126" s="1081"/>
      <c r="U126" s="1081"/>
      <c r="V126" s="1081"/>
      <c r="W126" s="1081"/>
      <c r="X126" s="1081"/>
      <c r="Y126" s="1081"/>
      <c r="Z126" s="1081"/>
      <c r="AA126" s="1081"/>
      <c r="AB126" s="1081"/>
      <c r="AC126" s="1081"/>
      <c r="AD126" s="1081"/>
      <c r="AE126" s="1082"/>
      <c r="AF126" s="1082"/>
      <c r="AG126" s="1082"/>
      <c r="AH126" s="1082"/>
      <c r="AI126" s="1082"/>
      <c r="AJ126" s="1082"/>
      <c r="AK126" s="1082"/>
      <c r="AL126" s="1082"/>
      <c r="AM126" s="1082"/>
      <c r="AN126" s="1082"/>
      <c r="AO126" s="1082"/>
      <c r="AP126" s="1082"/>
      <c r="AQ126" s="1082"/>
      <c r="AR126" s="1082"/>
      <c r="AS126" s="1082"/>
      <c r="AT126" s="1082"/>
      <c r="AU126" s="1082"/>
      <c r="AV126" s="1082"/>
      <c r="AW126" s="1082"/>
      <c r="AX126" s="1082"/>
      <c r="AY126" s="1082"/>
      <c r="AZ126" s="1082"/>
    </row>
    <row r="127" spans="1:52">
      <c r="A127" s="1081"/>
      <c r="B127" s="1081"/>
      <c r="C127" s="1081"/>
      <c r="D127" s="1081"/>
      <c r="E127" s="1081"/>
      <c r="F127" s="1081"/>
      <c r="G127" s="1081"/>
      <c r="H127" s="1081"/>
      <c r="I127" s="1081"/>
      <c r="J127" s="1081"/>
      <c r="K127" s="1081"/>
      <c r="L127" s="1081"/>
      <c r="M127" s="1081"/>
      <c r="N127" s="1081"/>
      <c r="O127" s="1081"/>
      <c r="P127" s="1081"/>
      <c r="Q127" s="1081"/>
      <c r="R127" s="1081"/>
      <c r="S127" s="1081"/>
      <c r="T127" s="1081"/>
      <c r="U127" s="1081"/>
      <c r="V127" s="1081"/>
      <c r="W127" s="1081"/>
      <c r="X127" s="1081"/>
      <c r="Y127" s="1081"/>
      <c r="Z127" s="1081"/>
      <c r="AA127" s="1081"/>
      <c r="AB127" s="1081"/>
      <c r="AC127" s="1081"/>
      <c r="AD127" s="1081"/>
      <c r="AE127" s="1082"/>
      <c r="AF127" s="1082"/>
      <c r="AG127" s="1082"/>
      <c r="AH127" s="1082"/>
      <c r="AI127" s="1082"/>
      <c r="AJ127" s="1082"/>
      <c r="AK127" s="1082"/>
      <c r="AL127" s="1082"/>
      <c r="AM127" s="1082"/>
      <c r="AN127" s="1082"/>
      <c r="AO127" s="1082"/>
      <c r="AP127" s="1082"/>
      <c r="AQ127" s="1082"/>
      <c r="AR127" s="1082"/>
      <c r="AS127" s="1082"/>
      <c r="AT127" s="1082"/>
      <c r="AU127" s="1082"/>
      <c r="AV127" s="1082"/>
      <c r="AW127" s="1082"/>
      <c r="AX127" s="1082"/>
      <c r="AY127" s="1082"/>
      <c r="AZ127" s="1082"/>
    </row>
    <row r="128" spans="1:52">
      <c r="A128" s="1081"/>
      <c r="B128" s="1081"/>
      <c r="C128" s="1081"/>
      <c r="D128" s="1081"/>
      <c r="E128" s="1081"/>
      <c r="F128" s="1081"/>
      <c r="G128" s="1081"/>
      <c r="H128" s="1081"/>
      <c r="I128" s="1081"/>
      <c r="J128" s="1081"/>
      <c r="K128" s="1081"/>
      <c r="L128" s="1081"/>
      <c r="M128" s="1081"/>
      <c r="N128" s="1081"/>
      <c r="O128" s="1081"/>
      <c r="P128" s="1081"/>
      <c r="Q128" s="1081"/>
      <c r="R128" s="1081"/>
      <c r="S128" s="1081"/>
      <c r="T128" s="1081"/>
      <c r="U128" s="1081"/>
      <c r="V128" s="1081"/>
      <c r="W128" s="1081"/>
      <c r="X128" s="1081"/>
      <c r="Y128" s="1081"/>
      <c r="Z128" s="1081"/>
      <c r="AA128" s="1081"/>
      <c r="AB128" s="1081"/>
      <c r="AC128" s="1081"/>
      <c r="AD128" s="1081"/>
      <c r="AE128" s="1082"/>
      <c r="AF128" s="1082"/>
      <c r="AG128" s="1082"/>
      <c r="AH128" s="1082"/>
      <c r="AI128" s="1082"/>
      <c r="AJ128" s="1082"/>
      <c r="AK128" s="1082"/>
      <c r="AL128" s="1082"/>
      <c r="AM128" s="1082"/>
      <c r="AN128" s="1082"/>
      <c r="AO128" s="1082"/>
      <c r="AP128" s="1082"/>
      <c r="AQ128" s="1082"/>
      <c r="AR128" s="1082"/>
      <c r="AS128" s="1082"/>
      <c r="AT128" s="1082"/>
      <c r="AU128" s="1082"/>
      <c r="AV128" s="1082"/>
      <c r="AW128" s="1082"/>
      <c r="AX128" s="1082"/>
      <c r="AY128" s="1082"/>
      <c r="AZ128" s="1082"/>
    </row>
    <row r="129" spans="1:52">
      <c r="A129" s="1081"/>
      <c r="B129" s="1081"/>
      <c r="C129" s="1081"/>
      <c r="D129" s="1081"/>
      <c r="E129" s="1081"/>
      <c r="F129" s="1081"/>
      <c r="G129" s="1081"/>
      <c r="H129" s="1081"/>
      <c r="I129" s="1081"/>
      <c r="J129" s="1081"/>
      <c r="K129" s="1081"/>
      <c r="L129" s="1081"/>
      <c r="M129" s="1081"/>
      <c r="N129" s="1081"/>
      <c r="O129" s="1081"/>
      <c r="P129" s="1081"/>
      <c r="Q129" s="1081"/>
      <c r="R129" s="1081"/>
      <c r="S129" s="1081"/>
      <c r="T129" s="1081"/>
      <c r="U129" s="1081"/>
      <c r="V129" s="1081"/>
      <c r="W129" s="1081"/>
      <c r="X129" s="1081"/>
      <c r="Y129" s="1081"/>
      <c r="Z129" s="1081"/>
      <c r="AA129" s="1081"/>
      <c r="AB129" s="1081"/>
      <c r="AC129" s="1081"/>
      <c r="AD129" s="1081"/>
      <c r="AE129" s="1082"/>
      <c r="AF129" s="1082"/>
      <c r="AG129" s="1082"/>
      <c r="AH129" s="1082"/>
      <c r="AI129" s="1082"/>
      <c r="AJ129" s="1082"/>
      <c r="AK129" s="1082"/>
      <c r="AL129" s="1082"/>
      <c r="AM129" s="1082"/>
      <c r="AN129" s="1082"/>
      <c r="AO129" s="1082"/>
      <c r="AP129" s="1082"/>
      <c r="AQ129" s="1082"/>
      <c r="AR129" s="1082"/>
      <c r="AS129" s="1082"/>
      <c r="AT129" s="1082"/>
      <c r="AU129" s="1082"/>
      <c r="AV129" s="1082"/>
      <c r="AW129" s="1082"/>
      <c r="AX129" s="1082"/>
      <c r="AY129" s="1082"/>
      <c r="AZ129" s="1082"/>
    </row>
    <row r="130" spans="1:52">
      <c r="A130" s="1081"/>
      <c r="B130" s="1081"/>
      <c r="C130" s="1081"/>
      <c r="D130" s="1081"/>
      <c r="E130" s="1081"/>
      <c r="F130" s="1081"/>
      <c r="G130" s="1081"/>
      <c r="H130" s="1081"/>
      <c r="I130" s="1081"/>
      <c r="J130" s="1081"/>
      <c r="K130" s="1081"/>
      <c r="L130" s="1081"/>
      <c r="M130" s="1081"/>
      <c r="N130" s="1081"/>
      <c r="O130" s="1081"/>
      <c r="P130" s="1081"/>
      <c r="Q130" s="1081"/>
      <c r="R130" s="1081"/>
      <c r="S130" s="1081"/>
      <c r="T130" s="1081"/>
      <c r="U130" s="1081"/>
      <c r="V130" s="1081"/>
      <c r="W130" s="1081"/>
      <c r="X130" s="1081"/>
      <c r="Y130" s="1081"/>
      <c r="Z130" s="1081"/>
      <c r="AA130" s="1081"/>
      <c r="AB130" s="1081"/>
      <c r="AC130" s="1081"/>
      <c r="AD130" s="1081"/>
      <c r="AE130" s="1082"/>
      <c r="AF130" s="1082"/>
      <c r="AG130" s="1082"/>
      <c r="AH130" s="1082"/>
      <c r="AI130" s="1082"/>
      <c r="AJ130" s="1082"/>
      <c r="AK130" s="1082"/>
      <c r="AL130" s="1082"/>
      <c r="AM130" s="1082"/>
      <c r="AN130" s="1082"/>
      <c r="AO130" s="1082"/>
      <c r="AP130" s="1082"/>
      <c r="AQ130" s="1082"/>
      <c r="AR130" s="1082"/>
      <c r="AS130" s="1082"/>
      <c r="AT130" s="1082"/>
      <c r="AU130" s="1082"/>
      <c r="AV130" s="1082"/>
      <c r="AW130" s="1082"/>
      <c r="AX130" s="1082"/>
      <c r="AY130" s="1082"/>
      <c r="AZ130" s="1082"/>
    </row>
    <row r="131" spans="1:52">
      <c r="A131" s="1081"/>
      <c r="B131" s="1081"/>
      <c r="C131" s="1081"/>
      <c r="D131" s="1081"/>
      <c r="E131" s="1081"/>
      <c r="F131" s="1081"/>
      <c r="G131" s="1081"/>
      <c r="H131" s="1081"/>
      <c r="I131" s="1081"/>
      <c r="J131" s="1081"/>
      <c r="K131" s="1081"/>
      <c r="L131" s="1081"/>
      <c r="M131" s="1081"/>
      <c r="N131" s="1081"/>
      <c r="O131" s="1081"/>
      <c r="P131" s="1081"/>
      <c r="Q131" s="1081"/>
      <c r="R131" s="1081"/>
      <c r="S131" s="1081"/>
      <c r="T131" s="1081"/>
      <c r="U131" s="1081"/>
      <c r="V131" s="1081"/>
      <c r="W131" s="1081"/>
      <c r="X131" s="1081"/>
      <c r="Y131" s="1081"/>
      <c r="Z131" s="1081"/>
      <c r="AA131" s="1081"/>
      <c r="AB131" s="1081"/>
      <c r="AC131" s="1081"/>
      <c r="AD131" s="1081"/>
      <c r="AE131" s="1082"/>
      <c r="AF131" s="1082"/>
      <c r="AG131" s="1082"/>
      <c r="AH131" s="1082"/>
      <c r="AI131" s="1082"/>
      <c r="AJ131" s="1082"/>
      <c r="AK131" s="1082"/>
      <c r="AL131" s="1082"/>
      <c r="AM131" s="1082"/>
      <c r="AN131" s="1082"/>
      <c r="AO131" s="1082"/>
      <c r="AP131" s="1082"/>
      <c r="AQ131" s="1082"/>
      <c r="AR131" s="1082"/>
      <c r="AS131" s="1082"/>
      <c r="AT131" s="1082"/>
      <c r="AU131" s="1082"/>
      <c r="AV131" s="1082"/>
      <c r="AW131" s="1082"/>
      <c r="AX131" s="1082"/>
      <c r="AY131" s="1082"/>
      <c r="AZ131" s="1082"/>
    </row>
    <row r="132" spans="1:52">
      <c r="A132" s="1081"/>
      <c r="B132" s="1081"/>
      <c r="C132" s="1081"/>
      <c r="D132" s="1081"/>
      <c r="E132" s="1081"/>
      <c r="F132" s="1081"/>
      <c r="G132" s="1081"/>
      <c r="H132" s="1081"/>
      <c r="I132" s="1081"/>
      <c r="J132" s="1081"/>
      <c r="K132" s="1081"/>
      <c r="L132" s="1081"/>
      <c r="M132" s="1081"/>
      <c r="N132" s="1081"/>
      <c r="O132" s="1081"/>
      <c r="P132" s="1081"/>
      <c r="Q132" s="1081"/>
      <c r="R132" s="1081"/>
      <c r="S132" s="1081"/>
      <c r="T132" s="1081"/>
      <c r="U132" s="1081"/>
      <c r="V132" s="1081"/>
      <c r="W132" s="1081"/>
      <c r="X132" s="1081"/>
      <c r="Y132" s="1081"/>
      <c r="Z132" s="1081"/>
      <c r="AA132" s="1081"/>
      <c r="AB132" s="1081"/>
      <c r="AC132" s="1081"/>
      <c r="AD132" s="1081"/>
      <c r="AE132" s="1082"/>
      <c r="AF132" s="1082"/>
      <c r="AG132" s="1082"/>
      <c r="AH132" s="1082"/>
      <c r="AI132" s="1082"/>
      <c r="AJ132" s="1082"/>
      <c r="AK132" s="1082"/>
      <c r="AL132" s="1082"/>
      <c r="AM132" s="1082"/>
      <c r="AN132" s="1082"/>
      <c r="AO132" s="1082"/>
      <c r="AP132" s="1082"/>
      <c r="AQ132" s="1082"/>
      <c r="AR132" s="1082"/>
      <c r="AS132" s="1082"/>
      <c r="AT132" s="1082"/>
      <c r="AU132" s="1082"/>
      <c r="AV132" s="1082"/>
      <c r="AW132" s="1082"/>
      <c r="AX132" s="1082"/>
      <c r="AY132" s="1082"/>
      <c r="AZ132" s="1082"/>
    </row>
    <row r="133" spans="1:52">
      <c r="A133" s="1081"/>
      <c r="B133" s="1081"/>
      <c r="C133" s="1081"/>
      <c r="D133" s="1081"/>
      <c r="E133" s="1081"/>
      <c r="F133" s="1081"/>
      <c r="G133" s="1081"/>
      <c r="H133" s="1081"/>
      <c r="I133" s="1081"/>
      <c r="J133" s="1081"/>
      <c r="K133" s="1081"/>
      <c r="L133" s="1081"/>
      <c r="M133" s="1081"/>
      <c r="N133" s="1081"/>
      <c r="O133" s="1081"/>
      <c r="P133" s="1081"/>
      <c r="Q133" s="1081"/>
      <c r="R133" s="1081"/>
      <c r="S133" s="1081"/>
      <c r="T133" s="1081"/>
      <c r="U133" s="1081"/>
      <c r="V133" s="1081"/>
      <c r="W133" s="1081"/>
      <c r="X133" s="1081"/>
      <c r="Y133" s="1081"/>
      <c r="Z133" s="1081"/>
      <c r="AA133" s="1081"/>
      <c r="AB133" s="1081"/>
      <c r="AC133" s="1081"/>
      <c r="AD133" s="1081"/>
      <c r="AE133" s="1082"/>
      <c r="AF133" s="1082"/>
      <c r="AG133" s="1082"/>
      <c r="AH133" s="1082"/>
      <c r="AI133" s="1082"/>
      <c r="AJ133" s="1082"/>
      <c r="AK133" s="1082"/>
      <c r="AL133" s="1082"/>
      <c r="AM133" s="1082"/>
      <c r="AN133" s="1082"/>
      <c r="AO133" s="1082"/>
      <c r="AP133" s="1082"/>
      <c r="AQ133" s="1082"/>
      <c r="AR133" s="1082"/>
      <c r="AS133" s="1082"/>
      <c r="AT133" s="1082"/>
      <c r="AU133" s="1082"/>
      <c r="AV133" s="1082"/>
      <c r="AW133" s="1082"/>
      <c r="AX133" s="1082"/>
      <c r="AY133" s="1082"/>
      <c r="AZ133" s="1082"/>
    </row>
    <row r="134" spans="1:52">
      <c r="A134" s="1081"/>
      <c r="B134" s="1081"/>
      <c r="C134" s="1081"/>
      <c r="D134" s="1081"/>
      <c r="E134" s="1081"/>
      <c r="F134" s="1081"/>
      <c r="G134" s="1081"/>
      <c r="H134" s="1081"/>
      <c r="I134" s="1081"/>
      <c r="J134" s="1081"/>
      <c r="K134" s="1081"/>
      <c r="L134" s="1081"/>
      <c r="M134" s="1081"/>
      <c r="N134" s="1081"/>
      <c r="O134" s="1081"/>
      <c r="P134" s="1081"/>
      <c r="Q134" s="1081"/>
      <c r="R134" s="1081"/>
      <c r="S134" s="1081"/>
      <c r="T134" s="1081"/>
      <c r="U134" s="1081"/>
      <c r="V134" s="1081"/>
      <c r="W134" s="1081"/>
      <c r="X134" s="1081"/>
      <c r="Y134" s="1081"/>
      <c r="Z134" s="1081"/>
      <c r="AA134" s="1081"/>
      <c r="AB134" s="1081"/>
      <c r="AC134" s="1081"/>
      <c r="AD134" s="1081"/>
      <c r="AE134" s="1082"/>
      <c r="AF134" s="1082"/>
      <c r="AG134" s="1082"/>
      <c r="AH134" s="1082"/>
      <c r="AI134" s="1082"/>
      <c r="AJ134" s="1082"/>
      <c r="AK134" s="1082"/>
      <c r="AL134" s="1082"/>
      <c r="AM134" s="1082"/>
      <c r="AN134" s="1082"/>
      <c r="AO134" s="1082"/>
      <c r="AP134" s="1082"/>
      <c r="AQ134" s="1082"/>
      <c r="AR134" s="1082"/>
      <c r="AS134" s="1082"/>
      <c r="AT134" s="1082"/>
      <c r="AU134" s="1082"/>
      <c r="AV134" s="1082"/>
      <c r="AW134" s="1082"/>
      <c r="AX134" s="1082"/>
      <c r="AY134" s="1082"/>
      <c r="AZ134" s="1082"/>
    </row>
    <row r="135" spans="1:52">
      <c r="A135" s="1081"/>
      <c r="B135" s="1081"/>
      <c r="C135" s="1081"/>
      <c r="D135" s="1081"/>
      <c r="E135" s="1081"/>
      <c r="F135" s="1081"/>
      <c r="G135" s="1081"/>
      <c r="H135" s="1081"/>
      <c r="I135" s="1081"/>
      <c r="J135" s="1081"/>
      <c r="K135" s="1081"/>
      <c r="L135" s="1081"/>
      <c r="M135" s="1081"/>
      <c r="N135" s="1081"/>
      <c r="O135" s="1081"/>
      <c r="P135" s="1081"/>
      <c r="Q135" s="1081"/>
      <c r="R135" s="1081"/>
      <c r="S135" s="1081"/>
      <c r="T135" s="1081"/>
      <c r="U135" s="1081"/>
      <c r="V135" s="1081"/>
      <c r="W135" s="1081"/>
      <c r="X135" s="1081"/>
      <c r="Y135" s="1081"/>
      <c r="Z135" s="1081"/>
      <c r="AA135" s="1081"/>
      <c r="AB135" s="1081"/>
      <c r="AC135" s="1081"/>
      <c r="AD135" s="1081"/>
      <c r="AE135" s="1082"/>
      <c r="AF135" s="1082"/>
      <c r="AG135" s="1082"/>
      <c r="AH135" s="1082"/>
      <c r="AI135" s="1082"/>
      <c r="AJ135" s="1082"/>
      <c r="AK135" s="1082"/>
      <c r="AL135" s="1082"/>
      <c r="AM135" s="1082"/>
      <c r="AN135" s="1082"/>
      <c r="AO135" s="1082"/>
      <c r="AP135" s="1082"/>
      <c r="AQ135" s="1082"/>
      <c r="AR135" s="1082"/>
      <c r="AS135" s="1082"/>
      <c r="AT135" s="1082"/>
      <c r="AU135" s="1082"/>
      <c r="AV135" s="1082"/>
      <c r="AW135" s="1082"/>
      <c r="AX135" s="1082"/>
      <c r="AY135" s="1082"/>
      <c r="AZ135" s="1082"/>
    </row>
    <row r="136" spans="1:52">
      <c r="A136" s="1081"/>
      <c r="B136" s="1081"/>
      <c r="C136" s="1081"/>
      <c r="D136" s="1081"/>
      <c r="E136" s="1081"/>
      <c r="F136" s="1081"/>
      <c r="G136" s="1081"/>
      <c r="H136" s="1081"/>
      <c r="I136" s="1081"/>
      <c r="J136" s="1081"/>
      <c r="K136" s="1081"/>
      <c r="L136" s="1081"/>
      <c r="M136" s="1081"/>
      <c r="N136" s="1081"/>
      <c r="O136" s="1081"/>
      <c r="P136" s="1081"/>
      <c r="Q136" s="1081"/>
      <c r="R136" s="1081"/>
      <c r="S136" s="1081"/>
      <c r="T136" s="1081"/>
      <c r="U136" s="1081"/>
      <c r="V136" s="1081"/>
      <c r="W136" s="1081"/>
      <c r="X136" s="1081"/>
      <c r="Y136" s="1081"/>
      <c r="Z136" s="1081"/>
      <c r="AA136" s="1081"/>
      <c r="AB136" s="1081"/>
      <c r="AC136" s="1081"/>
      <c r="AD136" s="1081"/>
      <c r="AE136" s="1082"/>
      <c r="AF136" s="1082"/>
      <c r="AG136" s="1082"/>
      <c r="AH136" s="1082"/>
      <c r="AI136" s="1082"/>
      <c r="AJ136" s="1082"/>
      <c r="AK136" s="1082"/>
      <c r="AL136" s="1082"/>
      <c r="AM136" s="1082"/>
      <c r="AN136" s="1082"/>
      <c r="AO136" s="1082"/>
      <c r="AP136" s="1082"/>
      <c r="AQ136" s="1082"/>
      <c r="AR136" s="1082"/>
      <c r="AS136" s="1082"/>
      <c r="AT136" s="1082"/>
      <c r="AU136" s="1082"/>
      <c r="AV136" s="1082"/>
      <c r="AW136" s="1082"/>
      <c r="AX136" s="1082"/>
      <c r="AY136" s="1082"/>
      <c r="AZ136" s="1082"/>
    </row>
    <row r="137" spans="1:52">
      <c r="A137" s="1081"/>
      <c r="B137" s="1081"/>
      <c r="C137" s="1081"/>
      <c r="D137" s="1081"/>
      <c r="E137" s="1081"/>
      <c r="F137" s="1081"/>
      <c r="G137" s="1081"/>
      <c r="H137" s="1081"/>
      <c r="I137" s="1081"/>
      <c r="J137" s="1081"/>
      <c r="K137" s="1081"/>
      <c r="L137" s="1081"/>
      <c r="M137" s="1081"/>
      <c r="N137" s="1081"/>
      <c r="O137" s="1081"/>
      <c r="P137" s="1081"/>
      <c r="Q137" s="1081"/>
      <c r="R137" s="1081"/>
      <c r="S137" s="1081"/>
      <c r="T137" s="1081"/>
      <c r="U137" s="1081"/>
      <c r="V137" s="1081"/>
      <c r="W137" s="1081"/>
      <c r="X137" s="1081"/>
      <c r="Y137" s="1081"/>
      <c r="Z137" s="1081"/>
      <c r="AA137" s="1081"/>
      <c r="AB137" s="1081"/>
      <c r="AC137" s="1081"/>
      <c r="AD137" s="1081"/>
      <c r="AE137" s="1082"/>
      <c r="AF137" s="1082"/>
      <c r="AG137" s="1082"/>
      <c r="AH137" s="1082"/>
      <c r="AI137" s="1082"/>
      <c r="AJ137" s="1082"/>
      <c r="AK137" s="1082"/>
      <c r="AL137" s="1082"/>
      <c r="AM137" s="1082"/>
      <c r="AN137" s="1082"/>
      <c r="AO137" s="1082"/>
      <c r="AP137" s="1082"/>
      <c r="AQ137" s="1082"/>
      <c r="AR137" s="1082"/>
      <c r="AS137" s="1082"/>
      <c r="AT137" s="1082"/>
      <c r="AU137" s="1082"/>
      <c r="AV137" s="1082"/>
      <c r="AW137" s="1082"/>
      <c r="AX137" s="1082"/>
      <c r="AY137" s="1082"/>
      <c r="AZ137" s="1082"/>
    </row>
    <row r="138" spans="1:52">
      <c r="A138" s="1081"/>
      <c r="B138" s="1081"/>
      <c r="C138" s="1081"/>
      <c r="D138" s="1081"/>
      <c r="E138" s="1081"/>
      <c r="F138" s="1081"/>
      <c r="G138" s="1081"/>
      <c r="H138" s="1081"/>
      <c r="I138" s="1081"/>
      <c r="J138" s="1081"/>
      <c r="K138" s="1081"/>
      <c r="L138" s="1081"/>
      <c r="M138" s="1081"/>
      <c r="N138" s="1081"/>
      <c r="O138" s="1081"/>
      <c r="P138" s="1081"/>
      <c r="Q138" s="1081"/>
      <c r="R138" s="1081"/>
      <c r="S138" s="1081"/>
      <c r="T138" s="1081"/>
      <c r="U138" s="1081"/>
      <c r="V138" s="1081"/>
      <c r="W138" s="1081"/>
      <c r="X138" s="1081"/>
      <c r="Y138" s="1081"/>
      <c r="Z138" s="1081"/>
      <c r="AA138" s="1081"/>
      <c r="AB138" s="1081"/>
      <c r="AC138" s="1081"/>
      <c r="AD138" s="1081"/>
      <c r="AE138" s="1082"/>
      <c r="AF138" s="1082"/>
      <c r="AG138" s="1082"/>
      <c r="AH138" s="1082"/>
      <c r="AI138" s="1082"/>
      <c r="AJ138" s="1082"/>
      <c r="AK138" s="1082"/>
      <c r="AL138" s="1082"/>
      <c r="AM138" s="1082"/>
      <c r="AN138" s="1082"/>
      <c r="AO138" s="1082"/>
      <c r="AP138" s="1082"/>
      <c r="AQ138" s="1082"/>
      <c r="AR138" s="1082"/>
      <c r="AS138" s="1082"/>
      <c r="AT138" s="1082"/>
      <c r="AU138" s="1082"/>
      <c r="AV138" s="1082"/>
      <c r="AW138" s="1082"/>
      <c r="AX138" s="1082"/>
      <c r="AY138" s="1082"/>
      <c r="AZ138" s="1082"/>
    </row>
    <row r="139" spans="1:52">
      <c r="A139" s="1081"/>
      <c r="B139" s="1081"/>
      <c r="C139" s="1081"/>
      <c r="D139" s="1081"/>
      <c r="E139" s="1081"/>
      <c r="F139" s="1081"/>
      <c r="G139" s="1081"/>
      <c r="H139" s="1081"/>
      <c r="I139" s="1081"/>
      <c r="J139" s="1081"/>
      <c r="K139" s="1081"/>
      <c r="L139" s="1081"/>
      <c r="M139" s="1081"/>
      <c r="N139" s="1081"/>
      <c r="O139" s="1081"/>
      <c r="P139" s="1081"/>
      <c r="Q139" s="1081"/>
      <c r="R139" s="1081"/>
      <c r="S139" s="1081"/>
      <c r="T139" s="1081"/>
      <c r="U139" s="1081"/>
      <c r="V139" s="1081"/>
      <c r="W139" s="1081"/>
      <c r="X139" s="1081"/>
      <c r="Y139" s="1081"/>
      <c r="Z139" s="1081"/>
      <c r="AA139" s="1081"/>
      <c r="AB139" s="1081"/>
      <c r="AC139" s="1081"/>
      <c r="AD139" s="1081"/>
      <c r="AE139" s="1082"/>
      <c r="AF139" s="1082"/>
      <c r="AG139" s="1082"/>
      <c r="AH139" s="1082"/>
      <c r="AI139" s="1082"/>
      <c r="AJ139" s="1082"/>
      <c r="AK139" s="1082"/>
      <c r="AL139" s="1082"/>
      <c r="AM139" s="1082"/>
      <c r="AN139" s="1082"/>
      <c r="AO139" s="1082"/>
      <c r="AP139" s="1082"/>
      <c r="AQ139" s="1082"/>
      <c r="AR139" s="1082"/>
      <c r="AS139" s="1082"/>
      <c r="AT139" s="1082"/>
      <c r="AU139" s="1082"/>
      <c r="AV139" s="1082"/>
      <c r="AW139" s="1082"/>
      <c r="AX139" s="1082"/>
      <c r="AY139" s="1082"/>
      <c r="AZ139" s="1082"/>
    </row>
    <row r="140" spans="1:52">
      <c r="A140" s="1081"/>
      <c r="B140" s="1081"/>
      <c r="C140" s="1081"/>
      <c r="D140" s="1081"/>
      <c r="E140" s="1081"/>
      <c r="F140" s="1081"/>
      <c r="G140" s="1081"/>
      <c r="H140" s="1081"/>
      <c r="I140" s="1081"/>
      <c r="J140" s="1081"/>
      <c r="K140" s="1081"/>
      <c r="L140" s="1081"/>
      <c r="M140" s="1081"/>
      <c r="N140" s="1081"/>
      <c r="O140" s="1081"/>
      <c r="P140" s="1081"/>
      <c r="Q140" s="1081"/>
      <c r="R140" s="1081"/>
      <c r="S140" s="1081"/>
      <c r="T140" s="1081"/>
      <c r="U140" s="1081"/>
      <c r="V140" s="1081"/>
      <c r="W140" s="1081"/>
      <c r="X140" s="1081"/>
      <c r="Y140" s="1081"/>
      <c r="Z140" s="1081"/>
      <c r="AA140" s="1081"/>
      <c r="AB140" s="1081"/>
      <c r="AC140" s="1081"/>
      <c r="AD140" s="1081"/>
      <c r="AE140" s="1082"/>
      <c r="AF140" s="1082"/>
      <c r="AG140" s="1082"/>
      <c r="AH140" s="1082"/>
      <c r="AI140" s="1082"/>
      <c r="AJ140" s="1082"/>
      <c r="AK140" s="1082"/>
      <c r="AL140" s="1082"/>
      <c r="AM140" s="1082"/>
      <c r="AN140" s="1082"/>
      <c r="AO140" s="1082"/>
      <c r="AP140" s="1082"/>
      <c r="AQ140" s="1082"/>
      <c r="AR140" s="1082"/>
      <c r="AS140" s="1082"/>
      <c r="AT140" s="1082"/>
      <c r="AU140" s="1082"/>
      <c r="AV140" s="1082"/>
      <c r="AW140" s="1082"/>
      <c r="AX140" s="1082"/>
      <c r="AY140" s="1082"/>
      <c r="AZ140" s="1082"/>
    </row>
    <row r="141" spans="1:52">
      <c r="A141" s="1081"/>
      <c r="B141" s="1081"/>
      <c r="C141" s="1081"/>
      <c r="D141" s="1081"/>
      <c r="E141" s="1081"/>
      <c r="F141" s="1081"/>
      <c r="G141" s="1081"/>
      <c r="H141" s="1081"/>
      <c r="I141" s="1081"/>
      <c r="J141" s="1081"/>
      <c r="K141" s="1081"/>
      <c r="L141" s="1081"/>
      <c r="M141" s="1081"/>
      <c r="N141" s="1081"/>
      <c r="O141" s="1081"/>
      <c r="P141" s="1081"/>
      <c r="Q141" s="1081"/>
      <c r="R141" s="1081"/>
      <c r="S141" s="1081"/>
      <c r="T141" s="1081"/>
      <c r="U141" s="1081"/>
      <c r="V141" s="1081"/>
      <c r="W141" s="1081"/>
      <c r="X141" s="1081"/>
      <c r="Y141" s="1081"/>
      <c r="Z141" s="1081"/>
      <c r="AA141" s="1081"/>
      <c r="AB141" s="1081"/>
      <c r="AC141" s="1081"/>
      <c r="AD141" s="1081"/>
      <c r="AE141" s="1082"/>
      <c r="AF141" s="1082"/>
      <c r="AG141" s="1082"/>
      <c r="AH141" s="1082"/>
      <c r="AI141" s="1082"/>
      <c r="AJ141" s="1082"/>
      <c r="AK141" s="1082"/>
      <c r="AL141" s="1082"/>
      <c r="AM141" s="1082"/>
      <c r="AN141" s="1082"/>
      <c r="AO141" s="1082"/>
      <c r="AP141" s="1082"/>
      <c r="AQ141" s="1082"/>
      <c r="AR141" s="1082"/>
      <c r="AS141" s="1082"/>
      <c r="AT141" s="1082"/>
      <c r="AU141" s="1082"/>
      <c r="AV141" s="1082"/>
      <c r="AW141" s="1082"/>
      <c r="AX141" s="1082"/>
      <c r="AY141" s="1082"/>
      <c r="AZ141" s="1082"/>
    </row>
    <row r="142" spans="1:52">
      <c r="A142" s="1081"/>
      <c r="B142" s="1081"/>
      <c r="C142" s="1081"/>
      <c r="D142" s="1081"/>
      <c r="E142" s="1081"/>
      <c r="F142" s="1081"/>
      <c r="G142" s="1081"/>
      <c r="H142" s="1081"/>
      <c r="I142" s="1081"/>
      <c r="J142" s="1081"/>
      <c r="K142" s="1081"/>
      <c r="L142" s="1081"/>
      <c r="M142" s="1081"/>
      <c r="N142" s="1081"/>
      <c r="O142" s="1081"/>
      <c r="P142" s="1081"/>
      <c r="Q142" s="1081"/>
      <c r="R142" s="1081"/>
      <c r="S142" s="1081"/>
      <c r="T142" s="1081"/>
      <c r="U142" s="1081"/>
      <c r="V142" s="1081"/>
      <c r="W142" s="1081"/>
      <c r="X142" s="1081"/>
      <c r="Y142" s="1081"/>
      <c r="Z142" s="1081"/>
      <c r="AA142" s="1081"/>
      <c r="AB142" s="1081"/>
      <c r="AC142" s="1081"/>
      <c r="AD142" s="1081"/>
      <c r="AE142" s="1082"/>
      <c r="AF142" s="1082"/>
      <c r="AG142" s="1082"/>
      <c r="AH142" s="1082"/>
      <c r="AI142" s="1082"/>
      <c r="AJ142" s="1082"/>
      <c r="AK142" s="1082"/>
      <c r="AL142" s="1082"/>
      <c r="AM142" s="1082"/>
      <c r="AN142" s="1082"/>
      <c r="AO142" s="1082"/>
      <c r="AP142" s="1082"/>
      <c r="AQ142" s="1082"/>
      <c r="AR142" s="1082"/>
      <c r="AS142" s="1082"/>
      <c r="AT142" s="1082"/>
      <c r="AU142" s="1082"/>
      <c r="AV142" s="1082"/>
      <c r="AW142" s="1082"/>
      <c r="AX142" s="1082"/>
      <c r="AY142" s="1082"/>
      <c r="AZ142" s="1082"/>
    </row>
    <row r="143" spans="1:52">
      <c r="A143" s="1081"/>
      <c r="B143" s="1081"/>
      <c r="C143" s="1081"/>
      <c r="D143" s="1081"/>
      <c r="E143" s="1081"/>
      <c r="F143" s="1081"/>
      <c r="G143" s="1081"/>
      <c r="H143" s="1081"/>
      <c r="I143" s="1081"/>
      <c r="J143" s="1081"/>
      <c r="K143" s="1081"/>
      <c r="L143" s="1081"/>
      <c r="M143" s="1081"/>
      <c r="N143" s="1081"/>
      <c r="O143" s="1081"/>
      <c r="P143" s="1081"/>
      <c r="Q143" s="1081"/>
      <c r="R143" s="1081"/>
      <c r="S143" s="1081"/>
      <c r="T143" s="1081"/>
      <c r="U143" s="1081"/>
      <c r="V143" s="1081"/>
      <c r="W143" s="1081"/>
      <c r="X143" s="1081"/>
      <c r="Y143" s="1081"/>
      <c r="Z143" s="1081"/>
      <c r="AA143" s="1081"/>
      <c r="AB143" s="1081"/>
      <c r="AC143" s="1081"/>
      <c r="AD143" s="1081"/>
      <c r="AE143" s="1082"/>
      <c r="AF143" s="1082"/>
      <c r="AG143" s="1082"/>
      <c r="AH143" s="1082"/>
      <c r="AI143" s="1082"/>
      <c r="AJ143" s="1082"/>
      <c r="AK143" s="1082"/>
      <c r="AL143" s="1082"/>
      <c r="AM143" s="1082"/>
      <c r="AN143" s="1082"/>
      <c r="AO143" s="1082"/>
      <c r="AP143" s="1082"/>
      <c r="AQ143" s="1082"/>
      <c r="AR143" s="1082"/>
      <c r="AS143" s="1082"/>
      <c r="AT143" s="1082"/>
      <c r="AU143" s="1082"/>
      <c r="AV143" s="1082"/>
      <c r="AW143" s="1082"/>
      <c r="AX143" s="1082"/>
      <c r="AY143" s="1082"/>
      <c r="AZ143" s="1082"/>
    </row>
    <row r="144" spans="1:52">
      <c r="A144" s="1081"/>
      <c r="B144" s="1081"/>
      <c r="C144" s="1081"/>
      <c r="D144" s="1081"/>
      <c r="E144" s="1081"/>
      <c r="F144" s="1081"/>
      <c r="G144" s="1081"/>
      <c r="H144" s="1081"/>
      <c r="I144" s="1081"/>
      <c r="J144" s="1081"/>
      <c r="K144" s="1081"/>
      <c r="L144" s="1081"/>
      <c r="M144" s="1081"/>
      <c r="N144" s="1081"/>
      <c r="O144" s="1081"/>
      <c r="P144" s="1081"/>
      <c r="Q144" s="1081"/>
      <c r="R144" s="1081"/>
      <c r="S144" s="1081"/>
      <c r="T144" s="1081"/>
      <c r="U144" s="1081"/>
      <c r="V144" s="1081"/>
      <c r="W144" s="1081"/>
      <c r="X144" s="1081"/>
      <c r="Y144" s="1081"/>
      <c r="Z144" s="1081"/>
      <c r="AA144" s="1081"/>
      <c r="AB144" s="1081"/>
      <c r="AC144" s="1081"/>
      <c r="AD144" s="1081"/>
      <c r="AE144" s="1082"/>
      <c r="AF144" s="1082"/>
      <c r="AG144" s="1082"/>
      <c r="AH144" s="1082"/>
      <c r="AI144" s="1082"/>
      <c r="AJ144" s="1082"/>
      <c r="AK144" s="1082"/>
      <c r="AL144" s="1082"/>
      <c r="AM144" s="1082"/>
      <c r="AN144" s="1082"/>
      <c r="AO144" s="1082"/>
      <c r="AP144" s="1082"/>
      <c r="AQ144" s="1082"/>
      <c r="AR144" s="1082"/>
      <c r="AS144" s="1082"/>
      <c r="AT144" s="1082"/>
      <c r="AU144" s="1082"/>
      <c r="AV144" s="1082"/>
      <c r="AW144" s="1082"/>
      <c r="AX144" s="1082"/>
      <c r="AY144" s="1082"/>
      <c r="AZ144" s="1082"/>
    </row>
    <row r="145" spans="1:52">
      <c r="A145" s="1081"/>
      <c r="B145" s="1081"/>
      <c r="C145" s="1081"/>
      <c r="D145" s="1081"/>
      <c r="E145" s="1081"/>
      <c r="F145" s="1081"/>
      <c r="G145" s="1081"/>
      <c r="H145" s="1081"/>
      <c r="I145" s="1081"/>
      <c r="J145" s="1081"/>
      <c r="K145" s="1081"/>
      <c r="L145" s="1081"/>
      <c r="M145" s="1081"/>
      <c r="N145" s="1081"/>
      <c r="O145" s="1081"/>
      <c r="P145" s="1081"/>
      <c r="Q145" s="1081"/>
      <c r="R145" s="1081"/>
      <c r="S145" s="1081"/>
      <c r="T145" s="1081"/>
      <c r="U145" s="1081"/>
      <c r="V145" s="1081"/>
      <c r="W145" s="1081"/>
      <c r="X145" s="1081"/>
      <c r="Y145" s="1081"/>
      <c r="Z145" s="1081"/>
      <c r="AA145" s="1081"/>
      <c r="AB145" s="1081"/>
      <c r="AC145" s="1081"/>
      <c r="AD145" s="1081"/>
      <c r="AE145" s="1082"/>
      <c r="AF145" s="1082"/>
      <c r="AG145" s="1082"/>
      <c r="AH145" s="1082"/>
      <c r="AI145" s="1082"/>
      <c r="AJ145" s="1082"/>
      <c r="AK145" s="1082"/>
      <c r="AL145" s="1082"/>
      <c r="AM145" s="1082"/>
      <c r="AN145" s="1082"/>
      <c r="AO145" s="1082"/>
      <c r="AP145" s="1082"/>
      <c r="AQ145" s="1082"/>
      <c r="AR145" s="1082"/>
      <c r="AS145" s="1082"/>
      <c r="AT145" s="1082"/>
      <c r="AU145" s="1082"/>
      <c r="AV145" s="1082"/>
      <c r="AW145" s="1082"/>
      <c r="AX145" s="1082"/>
      <c r="AY145" s="1082"/>
      <c r="AZ145" s="1082"/>
    </row>
    <row r="146" spans="1:52">
      <c r="A146" s="1081"/>
      <c r="B146" s="1081"/>
      <c r="C146" s="1081"/>
      <c r="D146" s="1081"/>
      <c r="E146" s="1081"/>
      <c r="F146" s="1081"/>
      <c r="G146" s="1081"/>
      <c r="H146" s="1081"/>
      <c r="I146" s="1081"/>
      <c r="J146" s="1081"/>
      <c r="K146" s="1081"/>
      <c r="L146" s="1081"/>
      <c r="M146" s="1081"/>
      <c r="N146" s="1081"/>
      <c r="O146" s="1081"/>
      <c r="P146" s="1081"/>
      <c r="Q146" s="1081"/>
      <c r="R146" s="1081"/>
      <c r="S146" s="1081"/>
      <c r="T146" s="1081"/>
      <c r="U146" s="1081"/>
      <c r="V146" s="1081"/>
      <c r="W146" s="1081"/>
      <c r="X146" s="1081"/>
      <c r="Y146" s="1081"/>
      <c r="Z146" s="1081"/>
      <c r="AA146" s="1081"/>
      <c r="AB146" s="1081"/>
      <c r="AC146" s="1081"/>
      <c r="AD146" s="1081"/>
      <c r="AE146" s="1082"/>
      <c r="AF146" s="1082"/>
      <c r="AG146" s="1082"/>
      <c r="AH146" s="1082"/>
      <c r="AI146" s="1082"/>
      <c r="AJ146" s="1082"/>
      <c r="AK146" s="1082"/>
      <c r="AL146" s="1082"/>
      <c r="AM146" s="1082"/>
      <c r="AN146" s="1082"/>
      <c r="AO146" s="1082"/>
      <c r="AP146" s="1082"/>
      <c r="AQ146" s="1082"/>
      <c r="AR146" s="1082"/>
      <c r="AS146" s="1082"/>
      <c r="AT146" s="1082"/>
      <c r="AU146" s="1082"/>
      <c r="AV146" s="1082"/>
      <c r="AW146" s="1082"/>
      <c r="AX146" s="1082"/>
      <c r="AY146" s="1082"/>
      <c r="AZ146" s="1082"/>
    </row>
    <row r="147" spans="1:52">
      <c r="A147" s="1081"/>
      <c r="B147" s="1081"/>
      <c r="C147" s="1081"/>
      <c r="D147" s="1081"/>
      <c r="E147" s="1081"/>
      <c r="F147" s="1081"/>
      <c r="G147" s="1081"/>
      <c r="H147" s="1081"/>
      <c r="I147" s="1081"/>
      <c r="J147" s="1081"/>
      <c r="K147" s="1081"/>
      <c r="L147" s="1081"/>
      <c r="M147" s="1081"/>
      <c r="N147" s="1081"/>
      <c r="O147" s="1081"/>
      <c r="P147" s="1081"/>
      <c r="Q147" s="1081"/>
      <c r="R147" s="1081"/>
      <c r="S147" s="1081"/>
      <c r="T147" s="1081"/>
      <c r="U147" s="1081"/>
      <c r="V147" s="1081"/>
      <c r="W147" s="1081"/>
      <c r="X147" s="1081"/>
      <c r="Y147" s="1081"/>
      <c r="Z147" s="1081"/>
      <c r="AA147" s="1081"/>
      <c r="AB147" s="1081"/>
      <c r="AC147" s="1081"/>
      <c r="AD147" s="1081"/>
      <c r="AE147" s="1082"/>
      <c r="AF147" s="1082"/>
      <c r="AG147" s="1082"/>
      <c r="AH147" s="1082"/>
      <c r="AI147" s="1082"/>
      <c r="AJ147" s="1082"/>
      <c r="AK147" s="1082"/>
      <c r="AL147" s="1082"/>
      <c r="AM147" s="1082"/>
      <c r="AN147" s="1082"/>
      <c r="AO147" s="1082"/>
      <c r="AP147" s="1082"/>
      <c r="AQ147" s="1082"/>
      <c r="AR147" s="1082"/>
      <c r="AS147" s="1082"/>
      <c r="AT147" s="1082"/>
      <c r="AU147" s="1082"/>
      <c r="AV147" s="1082"/>
      <c r="AW147" s="1082"/>
      <c r="AX147" s="1082"/>
      <c r="AY147" s="1082"/>
      <c r="AZ147" s="1082"/>
    </row>
    <row r="148" spans="1:52">
      <c r="A148" s="1081"/>
      <c r="B148" s="1081"/>
      <c r="C148" s="1081"/>
      <c r="D148" s="1081"/>
      <c r="E148" s="1081"/>
      <c r="F148" s="1081"/>
      <c r="G148" s="1081"/>
      <c r="H148" s="1081"/>
      <c r="I148" s="1081"/>
      <c r="J148" s="1081"/>
      <c r="K148" s="1081"/>
      <c r="L148" s="1081"/>
      <c r="M148" s="1081"/>
      <c r="N148" s="1081"/>
      <c r="O148" s="1081"/>
      <c r="P148" s="1081"/>
      <c r="Q148" s="1081"/>
      <c r="R148" s="1081"/>
      <c r="S148" s="1081"/>
      <c r="T148" s="1081"/>
      <c r="U148" s="1081"/>
      <c r="V148" s="1081"/>
      <c r="W148" s="1081"/>
      <c r="X148" s="1081"/>
      <c r="Y148" s="1081"/>
      <c r="Z148" s="1081"/>
      <c r="AA148" s="1081"/>
      <c r="AB148" s="1081"/>
      <c r="AC148" s="1081"/>
      <c r="AD148" s="1081"/>
      <c r="AE148" s="1082"/>
      <c r="AF148" s="1082"/>
      <c r="AG148" s="1082"/>
      <c r="AH148" s="1082"/>
      <c r="AI148" s="1082"/>
      <c r="AJ148" s="1082"/>
      <c r="AK148" s="1082"/>
      <c r="AL148" s="1082"/>
      <c r="AM148" s="1082"/>
      <c r="AN148" s="1082"/>
      <c r="AO148" s="1082"/>
      <c r="AP148" s="1082"/>
      <c r="AQ148" s="1082"/>
      <c r="AR148" s="1082"/>
      <c r="AS148" s="1082"/>
      <c r="AT148" s="1082"/>
      <c r="AU148" s="1082"/>
      <c r="AV148" s="1082"/>
      <c r="AW148" s="1082"/>
      <c r="AX148" s="1082"/>
      <c r="AY148" s="1082"/>
      <c r="AZ148" s="1082"/>
    </row>
    <row r="149" spans="1:52">
      <c r="A149" s="1081"/>
      <c r="B149" s="1081"/>
      <c r="C149" s="1081"/>
      <c r="D149" s="1081"/>
      <c r="E149" s="1081"/>
      <c r="F149" s="1081"/>
      <c r="G149" s="1081"/>
      <c r="H149" s="1081"/>
      <c r="I149" s="1081"/>
      <c r="J149" s="1081"/>
      <c r="K149" s="1081"/>
      <c r="L149" s="1081"/>
      <c r="M149" s="1081"/>
      <c r="N149" s="1081"/>
      <c r="O149" s="1081"/>
      <c r="P149" s="1081"/>
      <c r="Q149" s="1081"/>
      <c r="R149" s="1081"/>
      <c r="S149" s="1081"/>
      <c r="T149" s="1081"/>
      <c r="U149" s="1081"/>
      <c r="V149" s="1081"/>
      <c r="W149" s="1081"/>
      <c r="X149" s="1081"/>
      <c r="Y149" s="1081"/>
      <c r="Z149" s="1081"/>
      <c r="AA149" s="1081"/>
      <c r="AB149" s="1081"/>
      <c r="AC149" s="1081"/>
      <c r="AD149" s="1081"/>
      <c r="AE149" s="1082"/>
      <c r="AF149" s="1082"/>
      <c r="AG149" s="1082"/>
      <c r="AH149" s="1082"/>
      <c r="AI149" s="1082"/>
      <c r="AJ149" s="1082"/>
      <c r="AK149" s="1082"/>
      <c r="AL149" s="1082"/>
      <c r="AM149" s="1082"/>
      <c r="AN149" s="1082"/>
      <c r="AO149" s="1082"/>
      <c r="AP149" s="1082"/>
      <c r="AQ149" s="1082"/>
      <c r="AR149" s="1082"/>
      <c r="AS149" s="1082"/>
      <c r="AT149" s="1082"/>
      <c r="AU149" s="1082"/>
      <c r="AV149" s="1082"/>
      <c r="AW149" s="1082"/>
      <c r="AX149" s="1082"/>
      <c r="AY149" s="1082"/>
      <c r="AZ149" s="1082"/>
    </row>
    <row r="150" spans="1:52">
      <c r="A150" s="1081"/>
      <c r="B150" s="1081"/>
      <c r="C150" s="1081"/>
      <c r="D150" s="1081"/>
      <c r="E150" s="1081"/>
      <c r="F150" s="1081"/>
      <c r="G150" s="1081"/>
      <c r="H150" s="1081"/>
      <c r="I150" s="1081"/>
      <c r="J150" s="1081"/>
      <c r="K150" s="1081"/>
      <c r="L150" s="1081"/>
      <c r="M150" s="1081"/>
      <c r="N150" s="1081"/>
      <c r="O150" s="1081"/>
      <c r="P150" s="1081"/>
      <c r="Q150" s="1081"/>
      <c r="R150" s="1081"/>
      <c r="S150" s="1081"/>
      <c r="T150" s="1081"/>
      <c r="U150" s="1081"/>
      <c r="V150" s="1081"/>
      <c r="W150" s="1081"/>
      <c r="X150" s="1081"/>
      <c r="Y150" s="1081"/>
      <c r="Z150" s="1081"/>
      <c r="AA150" s="1081"/>
      <c r="AB150" s="1081"/>
      <c r="AC150" s="1081"/>
      <c r="AD150" s="1081"/>
      <c r="AE150" s="1082"/>
      <c r="AF150" s="1082"/>
      <c r="AG150" s="1082"/>
      <c r="AH150" s="1082"/>
      <c r="AI150" s="1082"/>
      <c r="AJ150" s="1082"/>
      <c r="AK150" s="1082"/>
      <c r="AL150" s="1082"/>
      <c r="AM150" s="1082"/>
      <c r="AN150" s="1082"/>
      <c r="AO150" s="1082"/>
      <c r="AP150" s="1082"/>
      <c r="AQ150" s="1082"/>
      <c r="AR150" s="1082"/>
      <c r="AS150" s="1082"/>
      <c r="AT150" s="1082"/>
      <c r="AU150" s="1082"/>
      <c r="AV150" s="1082"/>
      <c r="AW150" s="1082"/>
      <c r="AX150" s="1082"/>
      <c r="AY150" s="1082"/>
      <c r="AZ150" s="1082"/>
    </row>
    <row r="151" spans="1:52">
      <c r="A151" s="1081"/>
      <c r="B151" s="1081"/>
      <c r="C151" s="1081"/>
      <c r="D151" s="1081"/>
      <c r="E151" s="1081"/>
      <c r="F151" s="1081"/>
      <c r="G151" s="1081"/>
      <c r="H151" s="1081"/>
      <c r="I151" s="1081"/>
      <c r="J151" s="1081"/>
      <c r="K151" s="1081"/>
      <c r="L151" s="1081"/>
      <c r="M151" s="1081"/>
      <c r="N151" s="1081"/>
      <c r="O151" s="1081"/>
      <c r="P151" s="1081"/>
      <c r="Q151" s="1081"/>
      <c r="R151" s="1081"/>
      <c r="S151" s="1081"/>
      <c r="T151" s="1081"/>
      <c r="U151" s="1081"/>
      <c r="V151" s="1081"/>
      <c r="W151" s="1081"/>
      <c r="X151" s="1081"/>
      <c r="Y151" s="1081"/>
      <c r="Z151" s="1081"/>
      <c r="AA151" s="1081"/>
      <c r="AB151" s="1081"/>
      <c r="AC151" s="1081"/>
      <c r="AD151" s="1081"/>
      <c r="AE151" s="1082"/>
      <c r="AF151" s="1082"/>
      <c r="AG151" s="1082"/>
      <c r="AH151" s="1082"/>
      <c r="AI151" s="1082"/>
      <c r="AJ151" s="1082"/>
      <c r="AK151" s="1082"/>
      <c r="AL151" s="1082"/>
      <c r="AM151" s="1082"/>
      <c r="AN151" s="1082"/>
      <c r="AO151" s="1082"/>
      <c r="AP151" s="1082"/>
      <c r="AQ151" s="1082"/>
      <c r="AR151" s="1082"/>
      <c r="AS151" s="1082"/>
      <c r="AT151" s="1082"/>
      <c r="AU151" s="1082"/>
      <c r="AV151" s="1082"/>
      <c r="AW151" s="1082"/>
      <c r="AX151" s="1082"/>
      <c r="AY151" s="1082"/>
      <c r="AZ151" s="1082"/>
    </row>
    <row r="152" spans="1:52">
      <c r="A152" s="1082"/>
      <c r="B152" s="1082"/>
      <c r="C152" s="1082"/>
      <c r="D152" s="1082"/>
      <c r="E152" s="1082"/>
      <c r="F152" s="1082"/>
      <c r="G152" s="1082"/>
      <c r="H152" s="1082"/>
      <c r="I152" s="1082"/>
      <c r="J152" s="1082"/>
      <c r="K152" s="1082"/>
      <c r="L152" s="1082"/>
      <c r="M152" s="1082"/>
      <c r="N152" s="1082"/>
      <c r="O152" s="1082"/>
      <c r="P152" s="1082"/>
      <c r="Q152" s="1082"/>
      <c r="R152" s="1082"/>
      <c r="S152" s="1082"/>
      <c r="T152" s="1082"/>
      <c r="U152" s="1082"/>
      <c r="V152" s="1082"/>
      <c r="W152" s="1082"/>
      <c r="X152" s="1082"/>
      <c r="Y152" s="1082"/>
      <c r="Z152" s="1082"/>
      <c r="AA152" s="1082"/>
      <c r="AB152" s="1082"/>
      <c r="AC152" s="1082"/>
      <c r="AD152" s="1082"/>
      <c r="AE152" s="1082"/>
      <c r="AF152" s="1082"/>
      <c r="AG152" s="1082"/>
      <c r="AH152" s="1082"/>
      <c r="AI152" s="1082"/>
      <c r="AJ152" s="1082"/>
      <c r="AK152" s="1082"/>
      <c r="AL152" s="1082"/>
      <c r="AM152" s="1082"/>
      <c r="AN152" s="1082"/>
      <c r="AO152" s="1082"/>
      <c r="AP152" s="1082"/>
      <c r="AQ152" s="1082"/>
      <c r="AR152" s="1082"/>
      <c r="AS152" s="1082"/>
      <c r="AT152" s="1082"/>
      <c r="AU152" s="1082"/>
      <c r="AV152" s="1082"/>
      <c r="AW152" s="1082"/>
      <c r="AX152" s="1082"/>
      <c r="AY152" s="1082"/>
      <c r="AZ152" s="1082"/>
    </row>
    <row r="153" spans="1:52">
      <c r="A153" s="1082"/>
      <c r="B153" s="1082"/>
      <c r="C153" s="1082"/>
      <c r="D153" s="1082"/>
      <c r="E153" s="1082"/>
      <c r="F153" s="1082"/>
      <c r="G153" s="1082"/>
      <c r="H153" s="1082"/>
      <c r="I153" s="1082"/>
      <c r="J153" s="1082"/>
      <c r="K153" s="1082"/>
      <c r="L153" s="1082"/>
      <c r="M153" s="1082"/>
      <c r="N153" s="1082"/>
      <c r="O153" s="1082"/>
      <c r="P153" s="1082"/>
      <c r="Q153" s="1082"/>
      <c r="R153" s="1082"/>
      <c r="S153" s="1082"/>
      <c r="T153" s="1082"/>
      <c r="U153" s="1082"/>
      <c r="V153" s="1082"/>
      <c r="W153" s="1082"/>
      <c r="X153" s="1082"/>
      <c r="Y153" s="1082"/>
      <c r="Z153" s="1082"/>
      <c r="AA153" s="1082"/>
      <c r="AB153" s="1082"/>
      <c r="AC153" s="1082"/>
      <c r="AD153" s="1082"/>
      <c r="AE153" s="1082"/>
      <c r="AF153" s="1082"/>
      <c r="AG153" s="1082"/>
      <c r="AH153" s="1082"/>
      <c r="AI153" s="1082"/>
      <c r="AJ153" s="1082"/>
      <c r="AK153" s="1082"/>
      <c r="AL153" s="1082"/>
      <c r="AM153" s="1082"/>
      <c r="AN153" s="1082"/>
      <c r="AO153" s="1082"/>
      <c r="AP153" s="1082"/>
      <c r="AQ153" s="1082"/>
      <c r="AR153" s="1082"/>
      <c r="AS153" s="1082"/>
      <c r="AT153" s="1082"/>
      <c r="AU153" s="1082"/>
      <c r="AV153" s="1082"/>
      <c r="AW153" s="1082"/>
      <c r="AX153" s="1082"/>
      <c r="AY153" s="1082"/>
      <c r="AZ153" s="1082"/>
    </row>
    <row r="154" spans="1:52">
      <c r="A154" s="1082"/>
      <c r="B154" s="1082"/>
      <c r="C154" s="1082"/>
      <c r="D154" s="1082"/>
      <c r="E154" s="1082"/>
      <c r="F154" s="1082"/>
      <c r="G154" s="1082"/>
      <c r="H154" s="1082"/>
      <c r="I154" s="1082"/>
      <c r="J154" s="1082"/>
      <c r="K154" s="1082"/>
      <c r="L154" s="1082"/>
      <c r="M154" s="1082"/>
      <c r="N154" s="1082"/>
      <c r="O154" s="1082"/>
      <c r="P154" s="1082"/>
      <c r="Q154" s="1082"/>
      <c r="R154" s="1082"/>
      <c r="S154" s="1082"/>
      <c r="T154" s="1082"/>
      <c r="U154" s="1082"/>
      <c r="V154" s="1082"/>
      <c r="W154" s="1082"/>
      <c r="X154" s="1082"/>
      <c r="Y154" s="1082"/>
      <c r="Z154" s="1082"/>
      <c r="AA154" s="1082"/>
      <c r="AB154" s="1082"/>
      <c r="AC154" s="1082"/>
      <c r="AD154" s="1082"/>
      <c r="AE154" s="1082"/>
      <c r="AF154" s="1082"/>
      <c r="AG154" s="1082"/>
      <c r="AH154" s="1082"/>
      <c r="AI154" s="1082"/>
      <c r="AJ154" s="1082"/>
      <c r="AK154" s="1082"/>
      <c r="AL154" s="1082"/>
      <c r="AM154" s="1082"/>
      <c r="AN154" s="1082"/>
      <c r="AO154" s="1082"/>
      <c r="AP154" s="1082"/>
      <c r="AQ154" s="1082"/>
      <c r="AR154" s="1082"/>
      <c r="AS154" s="1082"/>
      <c r="AT154" s="1082"/>
      <c r="AU154" s="1082"/>
      <c r="AV154" s="1082"/>
      <c r="AW154" s="1082"/>
      <c r="AX154" s="1082"/>
      <c r="AY154" s="1082"/>
      <c r="AZ154" s="1082"/>
    </row>
    <row r="155" spans="1:52">
      <c r="A155" s="1082"/>
      <c r="B155" s="1082"/>
      <c r="C155" s="1082"/>
      <c r="D155" s="1082"/>
      <c r="E155" s="1082"/>
      <c r="F155" s="1082"/>
      <c r="G155" s="1082"/>
      <c r="H155" s="1082"/>
      <c r="I155" s="1082"/>
      <c r="J155" s="1082"/>
      <c r="K155" s="1082"/>
      <c r="L155" s="1082"/>
      <c r="M155" s="1082"/>
      <c r="N155" s="1082"/>
      <c r="O155" s="1082"/>
      <c r="P155" s="1082"/>
      <c r="Q155" s="1082"/>
      <c r="R155" s="1082"/>
      <c r="S155" s="1082"/>
      <c r="T155" s="1082"/>
      <c r="U155" s="1082"/>
      <c r="V155" s="1082"/>
      <c r="W155" s="1082"/>
      <c r="X155" s="1082"/>
      <c r="Y155" s="1082"/>
      <c r="Z155" s="1082"/>
      <c r="AA155" s="1082"/>
      <c r="AB155" s="1082"/>
      <c r="AC155" s="1082"/>
      <c r="AD155" s="1082"/>
      <c r="AE155" s="1082"/>
      <c r="AF155" s="1082"/>
      <c r="AG155" s="1082"/>
      <c r="AH155" s="1082"/>
      <c r="AI155" s="1082"/>
      <c r="AJ155" s="1082"/>
      <c r="AK155" s="1082"/>
      <c r="AL155" s="1082"/>
      <c r="AM155" s="1082"/>
      <c r="AN155" s="1082"/>
      <c r="AO155" s="1082"/>
      <c r="AP155" s="1082"/>
      <c r="AQ155" s="1082"/>
      <c r="AR155" s="1082"/>
      <c r="AS155" s="1082"/>
      <c r="AT155" s="1082"/>
      <c r="AU155" s="1082"/>
      <c r="AV155" s="1082"/>
      <c r="AW155" s="1082"/>
      <c r="AX155" s="1082"/>
      <c r="AY155" s="1082"/>
      <c r="AZ155" s="1082"/>
    </row>
    <row r="156" spans="1:52">
      <c r="A156" s="1082"/>
      <c r="B156" s="1082"/>
      <c r="C156" s="1082"/>
      <c r="D156" s="1082"/>
      <c r="E156" s="1082"/>
      <c r="F156" s="1082"/>
      <c r="G156" s="1082"/>
      <c r="H156" s="1082"/>
      <c r="I156" s="1082"/>
      <c r="J156" s="1082"/>
      <c r="K156" s="1082"/>
      <c r="L156" s="1082"/>
      <c r="M156" s="1082"/>
      <c r="N156" s="1082"/>
      <c r="O156" s="1082"/>
      <c r="P156" s="1082"/>
      <c r="Q156" s="1082"/>
      <c r="R156" s="1082"/>
      <c r="S156" s="1082"/>
      <c r="T156" s="1082"/>
      <c r="U156" s="1082"/>
      <c r="V156" s="1082"/>
      <c r="W156" s="1082"/>
      <c r="X156" s="1082"/>
      <c r="Y156" s="1082"/>
      <c r="Z156" s="1082"/>
      <c r="AA156" s="1082"/>
      <c r="AB156" s="1082"/>
      <c r="AC156" s="1082"/>
      <c r="AD156" s="1082"/>
      <c r="AE156" s="1082"/>
      <c r="AF156" s="1082"/>
      <c r="AG156" s="1082"/>
      <c r="AH156" s="1082"/>
      <c r="AI156" s="1082"/>
      <c r="AJ156" s="1082"/>
      <c r="AK156" s="1082"/>
      <c r="AL156" s="1082"/>
      <c r="AM156" s="1082"/>
      <c r="AN156" s="1082"/>
      <c r="AO156" s="1082"/>
      <c r="AP156" s="1082"/>
      <c r="AQ156" s="1082"/>
      <c r="AR156" s="1082"/>
      <c r="AS156" s="1082"/>
      <c r="AT156" s="1082"/>
      <c r="AU156" s="1082"/>
      <c r="AV156" s="1082"/>
      <c r="AW156" s="1082"/>
      <c r="AX156" s="1082"/>
      <c r="AY156" s="1082"/>
      <c r="AZ156" s="1082"/>
    </row>
    <row r="157" spans="1:52">
      <c r="A157" s="1082"/>
      <c r="B157" s="1082"/>
      <c r="C157" s="1082"/>
      <c r="D157" s="1082"/>
      <c r="E157" s="1082"/>
      <c r="F157" s="1082"/>
      <c r="G157" s="1082"/>
      <c r="H157" s="1082"/>
      <c r="I157" s="1082"/>
      <c r="J157" s="1082"/>
      <c r="K157" s="1082"/>
      <c r="L157" s="1082"/>
      <c r="M157" s="1082"/>
      <c r="N157" s="1082"/>
      <c r="O157" s="1082"/>
      <c r="P157" s="1082"/>
      <c r="Q157" s="1082"/>
      <c r="R157" s="1082"/>
      <c r="S157" s="1082"/>
      <c r="T157" s="1082"/>
      <c r="U157" s="1082"/>
      <c r="V157" s="1082"/>
      <c r="W157" s="1082"/>
      <c r="X157" s="1082"/>
      <c r="Y157" s="1082"/>
      <c r="Z157" s="1082"/>
      <c r="AA157" s="1082"/>
      <c r="AB157" s="1082"/>
      <c r="AC157" s="1082"/>
      <c r="AD157" s="1082"/>
      <c r="AE157" s="1082"/>
      <c r="AF157" s="1082"/>
      <c r="AG157" s="1082"/>
      <c r="AH157" s="1082"/>
      <c r="AI157" s="1082"/>
      <c r="AJ157" s="1082"/>
      <c r="AK157" s="1082"/>
      <c r="AL157" s="1082"/>
      <c r="AM157" s="1082"/>
      <c r="AN157" s="1082"/>
      <c r="AO157" s="1082"/>
      <c r="AP157" s="1082"/>
      <c r="AQ157" s="1082"/>
      <c r="AR157" s="1082"/>
      <c r="AS157" s="1082"/>
      <c r="AT157" s="1082"/>
      <c r="AU157" s="1082"/>
      <c r="AV157" s="1082"/>
      <c r="AW157" s="1082"/>
      <c r="AX157" s="1082"/>
      <c r="AY157" s="1082"/>
      <c r="AZ157" s="1082"/>
    </row>
  </sheetData>
  <sheetProtection sheet="1" objects="1" scenarios="1"/>
  <mergeCells count="66">
    <mergeCell ref="B8:F8"/>
    <mergeCell ref="B10:D10"/>
    <mergeCell ref="E59:J59"/>
    <mergeCell ref="I40:J40"/>
    <mergeCell ref="C47:E47"/>
    <mergeCell ref="D24:F24"/>
    <mergeCell ref="G8:L8"/>
    <mergeCell ref="G10:J10"/>
    <mergeCell ref="K15:L17"/>
    <mergeCell ref="I15:J17"/>
    <mergeCell ref="K14:L14"/>
    <mergeCell ref="I14:J14"/>
    <mergeCell ref="G13:J13"/>
    <mergeCell ref="G9:L9"/>
    <mergeCell ref="G11:J11"/>
    <mergeCell ref="K10:L10"/>
    <mergeCell ref="B2:L2"/>
    <mergeCell ref="C19:D19"/>
    <mergeCell ref="B4:L4"/>
    <mergeCell ref="B3:L3"/>
    <mergeCell ref="F61:J61"/>
    <mergeCell ref="I42:J42"/>
    <mergeCell ref="D52:F52"/>
    <mergeCell ref="D60:F60"/>
    <mergeCell ref="B17:D17"/>
    <mergeCell ref="B12:L12"/>
    <mergeCell ref="E11:F11"/>
    <mergeCell ref="G14:H14"/>
    <mergeCell ref="B14:D14"/>
    <mergeCell ref="B5:F5"/>
    <mergeCell ref="G5:L5"/>
    <mergeCell ref="B6:F6"/>
    <mergeCell ref="G6:L6"/>
    <mergeCell ref="G7:L7"/>
    <mergeCell ref="B7:F7"/>
    <mergeCell ref="I41:J41"/>
    <mergeCell ref="D54:F54"/>
    <mergeCell ref="I47:J47"/>
    <mergeCell ref="I43:J43"/>
    <mergeCell ref="G47:H47"/>
    <mergeCell ref="I44:J44"/>
    <mergeCell ref="K13:L13"/>
    <mergeCell ref="B9:F9"/>
    <mergeCell ref="E10:F10"/>
    <mergeCell ref="B11:D11"/>
    <mergeCell ref="G15:H17"/>
    <mergeCell ref="B18:L18"/>
    <mergeCell ref="C26:F26"/>
    <mergeCell ref="D58:E58"/>
    <mergeCell ref="I48:J48"/>
    <mergeCell ref="I36:J36"/>
    <mergeCell ref="C45:E45"/>
    <mergeCell ref="G48:H48"/>
    <mergeCell ref="D53:F53"/>
    <mergeCell ref="K11:L11"/>
    <mergeCell ref="B13:D13"/>
    <mergeCell ref="D55:F55"/>
    <mergeCell ref="D56:F56"/>
    <mergeCell ref="C35:F35"/>
    <mergeCell ref="C27:F27"/>
    <mergeCell ref="B15:D15"/>
    <mergeCell ref="B16:D16"/>
    <mergeCell ref="D22:F22"/>
    <mergeCell ref="D21:F21"/>
    <mergeCell ref="D20:F20"/>
    <mergeCell ref="D23:F23"/>
  </mergeCells>
  <printOptions horizontalCentered="1" verticalCentered="1"/>
  <pageMargins left="0.19685039370078741" right="0.11811023622047245" top="0.11811023622047245" bottom="0.11811023622047245" header="0.11811023622047245" footer="0.11811023622047245"/>
  <pageSetup paperSize="9" scale="90"/>
  <headerFooter alignWithMargins="0"/>
  <drawing r:id="rId1"/>
</worksheet>
</file>

<file path=xl/worksheets/sheet6.xml><?xml version="1.0" encoding="utf-8"?>
<worksheet xmlns="http://schemas.openxmlformats.org/spreadsheetml/2006/main" xmlns:r="http://schemas.openxmlformats.org/officeDocument/2006/relationships">
  <sheetPr>
    <tabColor rgb="FF1F4A7E"/>
    <pageSetUpPr fitToPage="1"/>
  </sheetPr>
  <dimension ref="A1:AZ167"/>
  <sheetViews>
    <sheetView showGridLines="0" showRowColHeaders="0" workbookViewId="0">
      <selection activeCell="U14" sqref="U14"/>
    </sheetView>
  </sheetViews>
  <sheetFormatPr defaultColWidth="9.42578125" defaultRowHeight="15"/>
  <cols>
    <col min="1" max="1" width="4.7109375" style="766" customWidth="1"/>
    <col min="2" max="2" width="4" style="766" customWidth="1"/>
    <col min="3" max="3" width="3.42578125" style="766" customWidth="1"/>
    <col min="4" max="4" width="5" style="766" customWidth="1"/>
    <col min="5" max="5" width="11.7109375" style="766" customWidth="1"/>
    <col min="6" max="6" width="14" style="766" customWidth="1"/>
    <col min="7" max="7" width="13.7109375" style="766" customWidth="1"/>
    <col min="8" max="8" width="13" style="766" customWidth="1"/>
    <col min="9" max="9" width="3.28515625" style="766" customWidth="1"/>
    <col min="10" max="10" width="11" style="766" customWidth="1"/>
    <col min="11" max="11" width="10" style="766" customWidth="1"/>
    <col min="12" max="12" width="3.42578125" style="766" customWidth="1"/>
    <col min="13" max="13" width="13" style="766" customWidth="1"/>
    <col min="14" max="17" width="9.42578125" style="766"/>
    <col min="18" max="18" width="10.140625" style="766" customWidth="1"/>
    <col min="19" max="16384" width="9.42578125" style="766"/>
  </cols>
  <sheetData>
    <row r="1" spans="1:52">
      <c r="A1" s="770"/>
      <c r="B1" s="770"/>
      <c r="C1" s="770"/>
      <c r="D1" s="770"/>
      <c r="E1" s="770"/>
      <c r="F1" s="770"/>
      <c r="G1" s="770"/>
      <c r="H1" s="770"/>
      <c r="I1" s="770"/>
      <c r="J1" s="770"/>
      <c r="K1" s="770"/>
      <c r="L1" s="770"/>
      <c r="M1" s="770"/>
      <c r="N1" s="770"/>
      <c r="O1" s="770"/>
      <c r="P1" s="770"/>
      <c r="Q1" s="770"/>
      <c r="R1" s="770"/>
      <c r="S1" s="770"/>
      <c r="T1" s="770"/>
      <c r="U1" s="770"/>
      <c r="V1" s="770"/>
      <c r="W1" s="770"/>
      <c r="X1" s="770"/>
      <c r="Y1" s="770"/>
      <c r="Z1" s="770"/>
      <c r="AA1" s="770"/>
      <c r="AB1" s="770"/>
      <c r="AC1" s="770"/>
      <c r="AD1" s="770"/>
      <c r="AE1" s="770"/>
      <c r="AF1" s="770"/>
      <c r="AG1" s="770"/>
      <c r="AH1" s="770"/>
      <c r="AI1" s="770"/>
      <c r="AJ1" s="770"/>
      <c r="AK1" s="770"/>
      <c r="AL1" s="770"/>
      <c r="AM1" s="770"/>
      <c r="AN1" s="770"/>
      <c r="AO1" s="770"/>
      <c r="AP1" s="770"/>
      <c r="AQ1" s="770"/>
      <c r="AR1" s="770"/>
      <c r="AS1" s="770"/>
      <c r="AT1" s="770"/>
      <c r="AU1" s="770"/>
      <c r="AV1" s="770"/>
      <c r="AW1" s="1209"/>
      <c r="AX1" s="1209"/>
      <c r="AY1" s="1209"/>
      <c r="AZ1" s="1209"/>
    </row>
    <row r="2" spans="1:52">
      <c r="A2" s="770"/>
      <c r="B2" s="1210"/>
      <c r="C2" s="1211" t="s">
        <v>267</v>
      </c>
      <c r="D2" s="1212" t="str">
        <f>IF(DATA!CF182=1,"NPS U/s 80CCD (1)","NPS U/s 80CCD 2(B)")</f>
        <v>NPS U/s 80CCD (1)</v>
      </c>
      <c r="E2" s="1211"/>
      <c r="F2" s="1211"/>
      <c r="G2" s="1211"/>
      <c r="H2" s="1211"/>
      <c r="I2" s="1211"/>
      <c r="J2" s="1213"/>
      <c r="K2" s="1213"/>
      <c r="L2" s="1211"/>
      <c r="M2" s="1214"/>
      <c r="N2" s="770"/>
      <c r="O2" s="770"/>
      <c r="P2" s="770"/>
      <c r="Q2" s="770"/>
      <c r="R2" s="770"/>
      <c r="S2" s="770"/>
      <c r="T2" s="770"/>
      <c r="U2" s="770"/>
      <c r="V2" s="770"/>
      <c r="W2" s="770"/>
      <c r="X2" s="770"/>
      <c r="Y2" s="770"/>
      <c r="Z2" s="770"/>
      <c r="AA2" s="770"/>
      <c r="AB2" s="770"/>
      <c r="AC2" s="770"/>
      <c r="AD2" s="770"/>
      <c r="AE2" s="770"/>
      <c r="AF2" s="770"/>
      <c r="AG2" s="770"/>
      <c r="AH2" s="770"/>
      <c r="AI2" s="770"/>
      <c r="AJ2" s="770"/>
      <c r="AK2" s="770"/>
      <c r="AL2" s="770"/>
      <c r="AM2" s="770"/>
      <c r="AN2" s="770"/>
      <c r="AO2" s="770"/>
      <c r="AP2" s="770"/>
      <c r="AQ2" s="770"/>
      <c r="AR2" s="770"/>
      <c r="AS2" s="770"/>
      <c r="AT2" s="770"/>
      <c r="AU2" s="770"/>
      <c r="AV2" s="770"/>
      <c r="AW2" s="1209"/>
      <c r="AX2" s="1209"/>
      <c r="AY2" s="1209"/>
      <c r="AZ2" s="1209"/>
    </row>
    <row r="3" spans="1:52" ht="14.25" customHeight="1">
      <c r="A3" s="770"/>
      <c r="B3" s="1215"/>
      <c r="C3" s="1216"/>
      <c r="D3" s="1217" t="str">
        <f>'Annexure -I I'!D47</f>
        <v xml:space="preserve">National Pension Scheme U/s 80CCD (1B) </v>
      </c>
      <c r="E3" s="1216"/>
      <c r="F3" s="1216"/>
      <c r="G3" s="1216"/>
      <c r="H3" s="1216"/>
      <c r="I3" s="1216" t="s">
        <v>264</v>
      </c>
      <c r="J3" s="1218">
        <f>IF(DATA!AH49=1,0,IF(DATA!AH49=1,0,'Annexure -I I'!K47))</f>
        <v>0</v>
      </c>
      <c r="K3" s="1218">
        <f>IF(DATA!AH49=1,0,IF(DATA!AH49=1,0,'Annexure -I I'!L47))</f>
        <v>0</v>
      </c>
      <c r="L3" s="1219"/>
      <c r="M3" s="1220"/>
      <c r="N3" s="770"/>
      <c r="O3" s="770"/>
      <c r="P3" s="770"/>
      <c r="Q3" s="770"/>
      <c r="R3" s="770"/>
      <c r="S3" s="770"/>
      <c r="T3" s="770"/>
      <c r="U3" s="770"/>
      <c r="V3" s="770"/>
      <c r="W3" s="770"/>
      <c r="X3" s="770"/>
      <c r="Y3" s="770"/>
      <c r="Z3" s="770"/>
      <c r="AA3" s="770"/>
      <c r="AB3" s="770"/>
      <c r="AC3" s="770"/>
      <c r="AD3" s="770"/>
      <c r="AE3" s="770"/>
      <c r="AF3" s="770"/>
      <c r="AG3" s="770"/>
      <c r="AH3" s="770"/>
      <c r="AI3" s="770"/>
      <c r="AJ3" s="770"/>
      <c r="AK3" s="770"/>
      <c r="AL3" s="770"/>
      <c r="AM3" s="770"/>
      <c r="AN3" s="770"/>
      <c r="AO3" s="770"/>
      <c r="AP3" s="770"/>
      <c r="AQ3" s="770"/>
      <c r="AR3" s="770"/>
      <c r="AS3" s="770"/>
      <c r="AT3" s="770"/>
      <c r="AU3" s="770"/>
      <c r="AV3" s="770"/>
      <c r="AW3" s="1209"/>
      <c r="AX3" s="1209"/>
      <c r="AY3" s="1209"/>
      <c r="AZ3" s="1209"/>
    </row>
    <row r="4" spans="1:52">
      <c r="A4" s="770"/>
      <c r="B4" s="1215"/>
      <c r="C4" s="1216"/>
      <c r="D4" s="1216"/>
      <c r="E4" s="1216"/>
      <c r="F4" s="1216" t="s">
        <v>562</v>
      </c>
      <c r="G4" s="1216"/>
      <c r="H4" s="1216"/>
      <c r="I4" s="1216"/>
      <c r="J4" s="1218"/>
      <c r="K4" s="1221"/>
      <c r="L4" s="1222" t="s">
        <v>264</v>
      </c>
      <c r="M4" s="1223">
        <f>IF(DATA!AH49=1,0,'Annexure -I I'!N50)</f>
        <v>150000</v>
      </c>
      <c r="N4" s="770"/>
      <c r="O4" s="770"/>
      <c r="P4" s="770"/>
      <c r="Q4" s="770"/>
      <c r="R4" s="770"/>
      <c r="S4" s="770"/>
      <c r="T4" s="770"/>
      <c r="U4" s="770"/>
      <c r="V4" s="770"/>
      <c r="W4" s="770"/>
      <c r="X4" s="770"/>
      <c r="Y4" s="770"/>
      <c r="Z4" s="770"/>
      <c r="AA4" s="770"/>
      <c r="AB4" s="770"/>
      <c r="AC4" s="770"/>
      <c r="AD4" s="770"/>
      <c r="AE4" s="770"/>
      <c r="AF4" s="770"/>
      <c r="AG4" s="770"/>
      <c r="AH4" s="770"/>
      <c r="AI4" s="770"/>
      <c r="AJ4" s="770"/>
      <c r="AK4" s="770"/>
      <c r="AL4" s="770"/>
      <c r="AM4" s="770"/>
      <c r="AN4" s="770"/>
      <c r="AO4" s="770"/>
      <c r="AP4" s="770"/>
      <c r="AQ4" s="770"/>
      <c r="AR4" s="770"/>
      <c r="AS4" s="770"/>
      <c r="AT4" s="770"/>
      <c r="AU4" s="770"/>
      <c r="AV4" s="770"/>
      <c r="AW4" s="1209"/>
      <c r="AX4" s="1209"/>
      <c r="AY4" s="1209"/>
      <c r="AZ4" s="1209"/>
    </row>
    <row r="5" spans="1:52" ht="4.5" customHeight="1">
      <c r="A5" s="770"/>
      <c r="B5" s="1215"/>
      <c r="C5" s="1216"/>
      <c r="D5" s="1216"/>
      <c r="E5" s="1216"/>
      <c r="F5" s="1216"/>
      <c r="G5" s="1216"/>
      <c r="H5" s="1216"/>
      <c r="I5" s="1216"/>
      <c r="J5" s="1218"/>
      <c r="K5" s="1218"/>
      <c r="L5" s="1219"/>
      <c r="M5" s="1220"/>
      <c r="N5" s="770"/>
      <c r="O5" s="770"/>
      <c r="P5" s="770"/>
      <c r="Q5" s="770"/>
      <c r="R5" s="770"/>
      <c r="S5" s="770"/>
      <c r="T5" s="770"/>
      <c r="U5" s="770"/>
      <c r="V5" s="770"/>
      <c r="W5" s="770"/>
      <c r="X5" s="770"/>
      <c r="Y5" s="770"/>
      <c r="Z5" s="770"/>
      <c r="AA5" s="770"/>
      <c r="AB5" s="770"/>
      <c r="AC5" s="770"/>
      <c r="AD5" s="770"/>
      <c r="AE5" s="770"/>
      <c r="AF5" s="770"/>
      <c r="AG5" s="770"/>
      <c r="AH5" s="770"/>
      <c r="AI5" s="770"/>
      <c r="AJ5" s="770"/>
      <c r="AK5" s="770"/>
      <c r="AL5" s="770"/>
      <c r="AM5" s="770"/>
      <c r="AN5" s="770"/>
      <c r="AO5" s="770"/>
      <c r="AP5" s="770"/>
      <c r="AQ5" s="770"/>
      <c r="AR5" s="770"/>
      <c r="AS5" s="770"/>
      <c r="AT5" s="770"/>
      <c r="AU5" s="770"/>
      <c r="AV5" s="770"/>
      <c r="AW5" s="1209"/>
      <c r="AX5" s="1209"/>
      <c r="AY5" s="1209"/>
      <c r="AZ5" s="1209"/>
    </row>
    <row r="6" spans="1:52">
      <c r="A6" s="770"/>
      <c r="B6" s="1224" t="s">
        <v>317</v>
      </c>
      <c r="C6" s="2200" t="s">
        <v>318</v>
      </c>
      <c r="D6" s="2200"/>
      <c r="E6" s="2200"/>
      <c r="F6" s="2200"/>
      <c r="G6" s="2200"/>
      <c r="H6" s="1225"/>
      <c r="I6" s="1225"/>
      <c r="J6" s="1226" t="s">
        <v>248</v>
      </c>
      <c r="K6" s="1226" t="s">
        <v>311</v>
      </c>
      <c r="L6" s="1227"/>
      <c r="M6" s="1228"/>
      <c r="N6" s="770"/>
      <c r="O6" s="770"/>
      <c r="P6" s="770"/>
      <c r="Q6" s="770"/>
      <c r="R6" s="770"/>
      <c r="S6" s="770"/>
      <c r="T6" s="770"/>
      <c r="U6" s="770"/>
      <c r="V6" s="770"/>
      <c r="W6" s="770"/>
      <c r="X6" s="770"/>
      <c r="Y6" s="770"/>
      <c r="Z6" s="770"/>
      <c r="AA6" s="770"/>
      <c r="AB6" s="770"/>
      <c r="AC6" s="770"/>
      <c r="AD6" s="770"/>
      <c r="AE6" s="770"/>
      <c r="AF6" s="770"/>
      <c r="AG6" s="770"/>
      <c r="AH6" s="770"/>
      <c r="AI6" s="770"/>
      <c r="AJ6" s="770"/>
      <c r="AK6" s="770"/>
      <c r="AL6" s="770"/>
      <c r="AM6" s="770"/>
      <c r="AN6" s="770"/>
      <c r="AO6" s="770"/>
      <c r="AP6" s="770"/>
      <c r="AQ6" s="770"/>
      <c r="AR6" s="770"/>
      <c r="AS6" s="770"/>
      <c r="AT6" s="770"/>
      <c r="AU6" s="770"/>
      <c r="AV6" s="770"/>
      <c r="AW6" s="1209"/>
      <c r="AX6" s="1209"/>
      <c r="AY6" s="1209"/>
      <c r="AZ6" s="1209"/>
    </row>
    <row r="7" spans="1:52">
      <c r="A7" s="770"/>
      <c r="B7" s="1229"/>
      <c r="C7" s="2209" t="s">
        <v>834</v>
      </c>
      <c r="D7" s="2209"/>
      <c r="E7" s="2209"/>
      <c r="F7" s="2209"/>
      <c r="G7" s="2209"/>
      <c r="H7" s="1230"/>
      <c r="I7" s="1230"/>
      <c r="J7" s="1231" t="s">
        <v>295</v>
      </c>
      <c r="K7" s="1231" t="s">
        <v>295</v>
      </c>
      <c r="L7" s="1232"/>
      <c r="M7" s="1233"/>
      <c r="N7" s="770"/>
      <c r="O7" s="770"/>
      <c r="P7" s="770"/>
      <c r="Q7" s="770"/>
      <c r="R7" s="770"/>
      <c r="S7" s="770"/>
      <c r="T7" s="770"/>
      <c r="U7" s="770"/>
      <c r="V7" s="770"/>
      <c r="W7" s="770"/>
      <c r="X7" s="770"/>
      <c r="Y7" s="770"/>
      <c r="Z7" s="770"/>
      <c r="AA7" s="770"/>
      <c r="AB7" s="770"/>
      <c r="AC7" s="770"/>
      <c r="AD7" s="770"/>
      <c r="AE7" s="770"/>
      <c r="AF7" s="770"/>
      <c r="AG7" s="770"/>
      <c r="AH7" s="770"/>
      <c r="AI7" s="770"/>
      <c r="AJ7" s="770"/>
      <c r="AK7" s="770"/>
      <c r="AL7" s="770"/>
      <c r="AM7" s="770"/>
      <c r="AN7" s="770"/>
      <c r="AO7" s="770"/>
      <c r="AP7" s="770"/>
      <c r="AQ7" s="770"/>
      <c r="AR7" s="770"/>
      <c r="AS7" s="770"/>
      <c r="AT7" s="770"/>
      <c r="AU7" s="770"/>
      <c r="AV7" s="770"/>
      <c r="AW7" s="1209"/>
      <c r="AX7" s="1209"/>
      <c r="AY7" s="1209"/>
      <c r="AZ7" s="1209"/>
    </row>
    <row r="8" spans="1:52" ht="14.1" customHeight="1">
      <c r="A8" s="770"/>
      <c r="B8" s="1234"/>
      <c r="C8" s="2202" t="s">
        <v>121</v>
      </c>
      <c r="D8" s="2202"/>
      <c r="E8" s="2204" t="s">
        <v>382</v>
      </c>
      <c r="F8" s="2204"/>
      <c r="G8" s="2204"/>
      <c r="H8" s="1170"/>
      <c r="I8" s="1235" t="s">
        <v>264</v>
      </c>
      <c r="J8" s="1236">
        <f>IF(DATA!AH49=1,0,Bill!AF25)</f>
        <v>150</v>
      </c>
      <c r="K8" s="1236">
        <f>J8</f>
        <v>150</v>
      </c>
      <c r="L8" s="1232"/>
      <c r="M8" s="1233"/>
      <c r="N8" s="770"/>
      <c r="O8" s="770"/>
      <c r="P8" s="770"/>
      <c r="Q8" s="770"/>
      <c r="R8" s="770"/>
      <c r="S8" s="770"/>
      <c r="T8" s="770"/>
      <c r="U8" s="770"/>
      <c r="V8" s="770"/>
      <c r="W8" s="770"/>
      <c r="X8" s="770"/>
      <c r="Y8" s="770"/>
      <c r="Z8" s="770"/>
      <c r="AA8" s="770"/>
      <c r="AB8" s="770"/>
      <c r="AC8" s="770"/>
      <c r="AD8" s="770"/>
      <c r="AE8" s="770"/>
      <c r="AF8" s="770"/>
      <c r="AG8" s="770"/>
      <c r="AH8" s="770"/>
      <c r="AI8" s="770"/>
      <c r="AJ8" s="770"/>
      <c r="AK8" s="770"/>
      <c r="AL8" s="770"/>
      <c r="AM8" s="770"/>
      <c r="AN8" s="770"/>
      <c r="AO8" s="770"/>
      <c r="AP8" s="770"/>
      <c r="AQ8" s="770"/>
      <c r="AR8" s="770"/>
      <c r="AS8" s="770"/>
      <c r="AT8" s="770"/>
      <c r="AU8" s="770"/>
      <c r="AV8" s="770"/>
      <c r="AW8" s="1209"/>
      <c r="AX8" s="1209"/>
      <c r="AY8" s="1209"/>
      <c r="AZ8" s="1209"/>
    </row>
    <row r="9" spans="1:52" ht="14.1" customHeight="1">
      <c r="A9" s="770"/>
      <c r="B9" s="1234"/>
      <c r="C9" s="2201" t="str">
        <f>'Annexure -I I'!D30</f>
        <v>24B</v>
      </c>
      <c r="D9" s="2201"/>
      <c r="E9" s="2210" t="str">
        <f>DATA!BO189</f>
        <v>Interest of Housing Loan Section 24</v>
      </c>
      <c r="F9" s="2210"/>
      <c r="G9" s="2210"/>
      <c r="H9" s="2210"/>
      <c r="I9" s="1235" t="s">
        <v>264</v>
      </c>
      <c r="J9" s="1236">
        <f>IF(DATA!AH49=1,0,IF(DATA!AH49=1,0,DATA!G33))</f>
        <v>0</v>
      </c>
      <c r="K9" s="1236">
        <f>IF(DATA!AH49=1,0,IF(DATA!AH49=1,0,DATA!BP192))</f>
        <v>0</v>
      </c>
      <c r="L9" s="1232"/>
      <c r="M9" s="1233"/>
      <c r="N9" s="770"/>
      <c r="O9" s="770"/>
      <c r="P9" s="770"/>
      <c r="Q9" s="770"/>
      <c r="R9" s="770"/>
      <c r="S9" s="770"/>
      <c r="T9" s="770"/>
      <c r="U9" s="770"/>
      <c r="V9" s="770"/>
      <c r="W9" s="770"/>
      <c r="X9" s="770"/>
      <c r="Y9" s="770"/>
      <c r="Z9" s="770"/>
      <c r="AA9" s="770"/>
      <c r="AB9" s="770"/>
      <c r="AC9" s="770"/>
      <c r="AD9" s="770"/>
      <c r="AE9" s="770"/>
      <c r="AF9" s="770"/>
      <c r="AG9" s="770"/>
      <c r="AH9" s="770"/>
      <c r="AI9" s="770"/>
      <c r="AJ9" s="770"/>
      <c r="AK9" s="770"/>
      <c r="AL9" s="770"/>
      <c r="AM9" s="770"/>
      <c r="AN9" s="770"/>
      <c r="AO9" s="770"/>
      <c r="AP9" s="770"/>
      <c r="AQ9" s="770"/>
      <c r="AR9" s="770"/>
      <c r="AS9" s="770"/>
      <c r="AT9" s="770"/>
      <c r="AU9" s="770"/>
      <c r="AV9" s="770"/>
      <c r="AW9" s="1209"/>
      <c r="AX9" s="1209"/>
      <c r="AY9" s="1209"/>
      <c r="AZ9" s="1209"/>
    </row>
    <row r="10" spans="1:52" ht="14.1" customHeight="1">
      <c r="A10" s="770"/>
      <c r="B10" s="1234"/>
      <c r="C10" s="2201" t="str">
        <f>DATA!BL211</f>
        <v>80EE</v>
      </c>
      <c r="D10" s="2201"/>
      <c r="E10" s="2206" t="str">
        <f>DATA!BO190</f>
        <v>Interest of Housing Loan 80EE</v>
      </c>
      <c r="F10" s="2206"/>
      <c r="G10" s="2206"/>
      <c r="H10" s="2206"/>
      <c r="I10" s="1235" t="s">
        <v>264</v>
      </c>
      <c r="J10" s="1236">
        <f>IF(DATA!AH49=1,0,IF(DATA!AH49=1,0,DATA!G34))</f>
        <v>0</v>
      </c>
      <c r="K10" s="1236">
        <f>IF(DATA!AH49=1,0,IF(DATA!AH49=1,0,'Annexure -I I'!K28))</f>
        <v>0</v>
      </c>
      <c r="L10" s="1232"/>
      <c r="M10" s="1233"/>
      <c r="N10" s="770"/>
      <c r="O10" s="770"/>
      <c r="P10" s="770"/>
      <c r="Q10" s="770"/>
      <c r="R10" s="770"/>
      <c r="S10" s="770"/>
      <c r="T10" s="770"/>
      <c r="U10" s="770"/>
      <c r="V10" s="770"/>
      <c r="W10" s="770"/>
      <c r="X10" s="770"/>
      <c r="Y10" s="770"/>
      <c r="Z10" s="770"/>
      <c r="AA10" s="770"/>
      <c r="AB10" s="770"/>
      <c r="AC10" s="770"/>
      <c r="AD10" s="770"/>
      <c r="AE10" s="770"/>
      <c r="AF10" s="770"/>
      <c r="AG10" s="770"/>
      <c r="AH10" s="770"/>
      <c r="AI10" s="770"/>
      <c r="AJ10" s="770"/>
      <c r="AK10" s="770"/>
      <c r="AL10" s="770"/>
      <c r="AM10" s="770"/>
      <c r="AN10" s="770"/>
      <c r="AO10" s="770"/>
      <c r="AP10" s="770"/>
      <c r="AQ10" s="770"/>
      <c r="AR10" s="770"/>
      <c r="AS10" s="770"/>
      <c r="AT10" s="770"/>
      <c r="AU10" s="770"/>
      <c r="AV10" s="770"/>
      <c r="AW10" s="1209"/>
      <c r="AX10" s="1209"/>
      <c r="AY10" s="1209"/>
      <c r="AZ10" s="1209"/>
    </row>
    <row r="11" spans="1:52" ht="14.1" customHeight="1">
      <c r="A11" s="770"/>
      <c r="B11" s="1234"/>
      <c r="C11" s="2201" t="str">
        <f>DATA!BL212</f>
        <v>80EEA</v>
      </c>
      <c r="D11" s="2201"/>
      <c r="E11" s="2206" t="str">
        <f>DATA!BO191</f>
        <v>Interest of HBA Loan 80EEA</v>
      </c>
      <c r="F11" s="2206"/>
      <c r="G11" s="2206"/>
      <c r="H11" s="2206"/>
      <c r="I11" s="1235" t="s">
        <v>264</v>
      </c>
      <c r="J11" s="1236">
        <f>IF(DATA!AH49=1,0,IF(DATA!AH49=1,0,DATA!G35))</f>
        <v>0</v>
      </c>
      <c r="K11" s="1236">
        <f>IF(DATA!AH49=1,0,'Annexure -I I'!K29)</f>
        <v>0</v>
      </c>
      <c r="L11" s="1232"/>
      <c r="M11" s="1233"/>
      <c r="N11" s="770"/>
      <c r="O11" s="770"/>
      <c r="P11" s="770"/>
      <c r="Q11" s="770"/>
      <c r="R11" s="770"/>
      <c r="S11" s="770"/>
      <c r="T11" s="770"/>
      <c r="U11" s="770"/>
      <c r="V11" s="770"/>
      <c r="W11" s="770"/>
      <c r="X11" s="770"/>
      <c r="Y11" s="770"/>
      <c r="Z11" s="770"/>
      <c r="AA11" s="770"/>
      <c r="AB11" s="770"/>
      <c r="AC11" s="770"/>
      <c r="AD11" s="770"/>
      <c r="AE11" s="770"/>
      <c r="AF11" s="770"/>
      <c r="AG11" s="770"/>
      <c r="AH11" s="770"/>
      <c r="AI11" s="770"/>
      <c r="AJ11" s="770"/>
      <c r="AK11" s="770"/>
      <c r="AL11" s="770"/>
      <c r="AM11" s="770"/>
      <c r="AN11" s="770"/>
      <c r="AO11" s="770"/>
      <c r="AP11" s="770"/>
      <c r="AQ11" s="770"/>
      <c r="AR11" s="770"/>
      <c r="AS11" s="770"/>
      <c r="AT11" s="770"/>
      <c r="AU11" s="770"/>
      <c r="AV11" s="770"/>
      <c r="AW11" s="1209"/>
      <c r="AX11" s="1209"/>
      <c r="AY11" s="1209"/>
      <c r="AZ11" s="1209"/>
    </row>
    <row r="12" spans="1:52" ht="14.1" customHeight="1">
      <c r="A12" s="770"/>
      <c r="B12" s="1234"/>
      <c r="C12" s="2202" t="str">
        <f>'Annexure -I I'!D31</f>
        <v>80U</v>
      </c>
      <c r="D12" s="2203"/>
      <c r="E12" s="2206" t="str">
        <f>'Annexure -I I'!E31</f>
        <v>Disabled Person (PH)-above 40% disability ( Rule 11A)</v>
      </c>
      <c r="F12" s="2206"/>
      <c r="G12" s="2206"/>
      <c r="H12" s="2206"/>
      <c r="I12" s="1235" t="s">
        <v>264</v>
      </c>
      <c r="J12" s="1237">
        <f>IF(DATA!AH49=1,0,DATA!G36)</f>
        <v>0</v>
      </c>
      <c r="K12" s="1238">
        <f>IF(DATA!AH49=1,0,IF(DATA!AH49=1,0,DATA!BL225))</f>
        <v>0</v>
      </c>
      <c r="L12" s="1232"/>
      <c r="M12" s="1233"/>
      <c r="N12" s="770"/>
      <c r="O12" s="770"/>
      <c r="P12" s="770"/>
      <c r="Q12" s="770"/>
      <c r="R12" s="770"/>
      <c r="S12" s="770"/>
      <c r="T12" s="770"/>
      <c r="U12" s="770"/>
      <c r="V12" s="770"/>
      <c r="W12" s="770"/>
      <c r="X12" s="770"/>
      <c r="Y12" s="770"/>
      <c r="Z12" s="770"/>
      <c r="AA12" s="770"/>
      <c r="AB12" s="770"/>
      <c r="AC12" s="770"/>
      <c r="AD12" s="770"/>
      <c r="AE12" s="770"/>
      <c r="AF12" s="770"/>
      <c r="AG12" s="770"/>
      <c r="AH12" s="770"/>
      <c r="AI12" s="770"/>
      <c r="AJ12" s="770"/>
      <c r="AK12" s="770"/>
      <c r="AL12" s="770"/>
      <c r="AM12" s="770"/>
      <c r="AN12" s="770"/>
      <c r="AO12" s="770"/>
      <c r="AP12" s="770"/>
      <c r="AQ12" s="770"/>
      <c r="AR12" s="770"/>
      <c r="AS12" s="770"/>
      <c r="AT12" s="770"/>
      <c r="AU12" s="770"/>
      <c r="AV12" s="770"/>
      <c r="AW12" s="1209"/>
      <c r="AX12" s="1209"/>
      <c r="AY12" s="1209"/>
      <c r="AZ12" s="1209"/>
    </row>
    <row r="13" spans="1:52" ht="14.1" customHeight="1">
      <c r="A13" s="770"/>
      <c r="B13" s="1234"/>
      <c r="C13" s="2202" t="s">
        <v>119</v>
      </c>
      <c r="D13" s="2203"/>
      <c r="E13" s="1239" t="s">
        <v>540</v>
      </c>
      <c r="F13" s="1239"/>
      <c r="G13" s="1239"/>
      <c r="H13" s="1239"/>
      <c r="I13" s="1235" t="s">
        <v>264</v>
      </c>
      <c r="J13" s="1240">
        <f>IF(DATA!AH49=1,0,IF(DATA!AH49=1,0,Bill!AG25))</f>
        <v>3600</v>
      </c>
      <c r="K13" s="1241">
        <f>IF(DATA!AH49=1,0,IF(DATA!AH49=1,0,Bill!AG25))</f>
        <v>3600</v>
      </c>
      <c r="L13" s="1232"/>
      <c r="M13" s="1233"/>
      <c r="N13" s="770"/>
      <c r="O13" s="770"/>
      <c r="P13" s="770"/>
      <c r="Q13" s="770"/>
      <c r="R13" s="770"/>
      <c r="S13" s="770"/>
      <c r="T13" s="770"/>
      <c r="U13" s="770"/>
      <c r="V13" s="770"/>
      <c r="W13" s="770"/>
      <c r="X13" s="770"/>
      <c r="Y13" s="770"/>
      <c r="Z13" s="770"/>
      <c r="AA13" s="770"/>
      <c r="AB13" s="770"/>
      <c r="AC13" s="770"/>
      <c r="AD13" s="770"/>
      <c r="AE13" s="770"/>
      <c r="AF13" s="770"/>
      <c r="AG13" s="770"/>
      <c r="AH13" s="770"/>
      <c r="AI13" s="770"/>
      <c r="AJ13" s="770"/>
      <c r="AK13" s="770"/>
      <c r="AL13" s="770"/>
      <c r="AM13" s="770"/>
      <c r="AN13" s="770"/>
      <c r="AO13" s="770"/>
      <c r="AP13" s="770"/>
      <c r="AQ13" s="770"/>
      <c r="AR13" s="770"/>
      <c r="AS13" s="770"/>
      <c r="AT13" s="770"/>
      <c r="AU13" s="770"/>
      <c r="AV13" s="770"/>
      <c r="AW13" s="1209"/>
      <c r="AX13" s="1209"/>
      <c r="AY13" s="1209"/>
      <c r="AZ13" s="1209"/>
    </row>
    <row r="14" spans="1:52">
      <c r="A14" s="770"/>
      <c r="B14" s="1234"/>
      <c r="C14" s="2207" t="s">
        <v>898</v>
      </c>
      <c r="D14" s="2208"/>
      <c r="E14" s="2208"/>
      <c r="F14" s="2208"/>
      <c r="G14" s="2208"/>
      <c r="H14" s="2208"/>
      <c r="I14" s="1235" t="s">
        <v>264</v>
      </c>
      <c r="J14" s="1240">
        <f>IF(DATA!AH49=1,0,'Annexure -I I'!K33)</f>
        <v>0</v>
      </c>
      <c r="K14" s="1241">
        <f>IF(DATA!AH49=1,0,J14)</f>
        <v>0</v>
      </c>
      <c r="L14" s="1232"/>
      <c r="M14" s="1233"/>
      <c r="N14" s="770"/>
      <c r="O14" s="770"/>
      <c r="P14" s="770"/>
      <c r="Q14" s="770"/>
      <c r="R14" s="770"/>
      <c r="S14" s="770"/>
      <c r="T14" s="770"/>
      <c r="U14" s="770"/>
      <c r="V14" s="770"/>
      <c r="W14" s="770"/>
      <c r="X14" s="770"/>
      <c r="Y14" s="770"/>
      <c r="Z14" s="770"/>
      <c r="AA14" s="770"/>
      <c r="AB14" s="770"/>
      <c r="AC14" s="770"/>
      <c r="AD14" s="770"/>
      <c r="AE14" s="770"/>
      <c r="AF14" s="770"/>
      <c r="AG14" s="770"/>
      <c r="AH14" s="770"/>
      <c r="AI14" s="770"/>
      <c r="AJ14" s="770"/>
      <c r="AK14" s="770"/>
      <c r="AL14" s="770"/>
      <c r="AM14" s="770"/>
      <c r="AN14" s="770"/>
      <c r="AO14" s="770"/>
      <c r="AP14" s="770"/>
      <c r="AQ14" s="770"/>
      <c r="AR14" s="770"/>
      <c r="AS14" s="770"/>
      <c r="AT14" s="770"/>
      <c r="AU14" s="770"/>
      <c r="AV14" s="770"/>
      <c r="AW14" s="1209"/>
      <c r="AX14" s="1209"/>
      <c r="AY14" s="1209"/>
      <c r="AZ14" s="1209"/>
    </row>
    <row r="15" spans="1:52">
      <c r="A15" s="770"/>
      <c r="B15" s="1229"/>
      <c r="C15" s="1242"/>
      <c r="D15" s="1242"/>
      <c r="E15" s="1242"/>
      <c r="F15" s="1242"/>
      <c r="G15" s="2205" t="s">
        <v>319</v>
      </c>
      <c r="H15" s="2205"/>
      <c r="I15" s="2205"/>
      <c r="J15" s="2205"/>
      <c r="K15" s="2205"/>
      <c r="L15" s="1243" t="s">
        <v>264</v>
      </c>
      <c r="M15" s="1244">
        <f>SUM(K8:K14)</f>
        <v>3750</v>
      </c>
      <c r="N15" s="770"/>
      <c r="O15" s="770"/>
      <c r="P15" s="770"/>
      <c r="Q15" s="770"/>
      <c r="R15" s="770"/>
      <c r="S15" s="770"/>
      <c r="T15" s="770"/>
      <c r="U15" s="770"/>
      <c r="V15" s="770"/>
      <c r="W15" s="770"/>
      <c r="X15" s="770"/>
      <c r="Y15" s="770"/>
      <c r="Z15" s="770"/>
      <c r="AA15" s="770"/>
      <c r="AB15" s="770"/>
      <c r="AC15" s="770"/>
      <c r="AD15" s="770"/>
      <c r="AE15" s="770"/>
      <c r="AF15" s="770"/>
      <c r="AG15" s="770"/>
      <c r="AH15" s="770"/>
      <c r="AI15" s="770"/>
      <c r="AJ15" s="770"/>
      <c r="AK15" s="770"/>
      <c r="AL15" s="770"/>
      <c r="AM15" s="770"/>
      <c r="AN15" s="770"/>
      <c r="AO15" s="770"/>
      <c r="AP15" s="770"/>
      <c r="AQ15" s="770"/>
      <c r="AR15" s="770"/>
      <c r="AS15" s="770"/>
      <c r="AT15" s="770"/>
      <c r="AU15" s="770"/>
      <c r="AV15" s="770"/>
      <c r="AW15" s="1209"/>
      <c r="AX15" s="1209"/>
      <c r="AY15" s="1209"/>
      <c r="AZ15" s="1209"/>
    </row>
    <row r="16" spans="1:52" s="1245" customFormat="1" ht="14.25" customHeight="1">
      <c r="A16" s="1246"/>
      <c r="B16" s="1247">
        <v>10</v>
      </c>
      <c r="C16" s="2212" t="s">
        <v>836</v>
      </c>
      <c r="D16" s="2213"/>
      <c r="E16" s="2213"/>
      <c r="F16" s="2213"/>
      <c r="G16" s="2213"/>
      <c r="H16" s="2213"/>
      <c r="I16" s="1248"/>
      <c r="J16" s="1249"/>
      <c r="K16" s="1250"/>
      <c r="L16" s="1251" t="s">
        <v>264</v>
      </c>
      <c r="M16" s="1252">
        <f>'Annexure -I I'!N50+'Form-16 Back'!M15</f>
        <v>153750</v>
      </c>
      <c r="N16" s="1246"/>
      <c r="O16" s="1246"/>
      <c r="P16" s="1246"/>
      <c r="Q16" s="1246"/>
      <c r="R16" s="1246"/>
      <c r="S16" s="1246"/>
      <c r="T16" s="1246"/>
      <c r="U16" s="1246"/>
      <c r="V16" s="1246"/>
      <c r="W16" s="1246"/>
      <c r="X16" s="1246"/>
      <c r="Y16" s="1246"/>
      <c r="Z16" s="1246"/>
      <c r="AA16" s="1246"/>
      <c r="AB16" s="1246"/>
      <c r="AC16" s="1246"/>
      <c r="AD16" s="1246"/>
      <c r="AE16" s="1246"/>
      <c r="AF16" s="1246"/>
      <c r="AG16" s="1246"/>
      <c r="AH16" s="1246"/>
      <c r="AI16" s="1246"/>
      <c r="AJ16" s="1246"/>
      <c r="AK16" s="1246"/>
      <c r="AL16" s="1246"/>
      <c r="AM16" s="1246"/>
      <c r="AN16" s="1246"/>
      <c r="AO16" s="1246"/>
      <c r="AP16" s="1246"/>
      <c r="AQ16" s="1246"/>
      <c r="AR16" s="1246"/>
      <c r="AS16" s="1246"/>
      <c r="AT16" s="1246"/>
      <c r="AU16" s="1246"/>
      <c r="AV16" s="1246"/>
      <c r="AW16" s="1253"/>
      <c r="AX16" s="1253"/>
      <c r="AY16" s="1253"/>
      <c r="AZ16" s="1253"/>
    </row>
    <row r="17" spans="1:52" ht="7.5" customHeight="1">
      <c r="A17" s="770"/>
      <c r="B17" s="1254"/>
      <c r="C17" s="1255"/>
      <c r="D17" s="1255"/>
      <c r="E17" s="1255"/>
      <c r="F17" s="1255"/>
      <c r="G17" s="1255"/>
      <c r="H17" s="1255"/>
      <c r="I17" s="1255"/>
      <c r="J17" s="1255"/>
      <c r="K17" s="1256"/>
      <c r="L17" s="1232"/>
      <c r="M17" s="1257"/>
      <c r="N17" s="770"/>
      <c r="O17" s="770"/>
      <c r="P17" s="770"/>
      <c r="Q17" s="770"/>
      <c r="R17" s="770"/>
      <c r="S17" s="770"/>
      <c r="T17" s="770"/>
      <c r="U17" s="770"/>
      <c r="V17" s="770"/>
      <c r="W17" s="770"/>
      <c r="X17" s="770"/>
      <c r="Y17" s="770"/>
      <c r="Z17" s="770"/>
      <c r="AA17" s="770"/>
      <c r="AB17" s="770"/>
      <c r="AC17" s="770"/>
      <c r="AD17" s="770"/>
      <c r="AE17" s="770"/>
      <c r="AF17" s="770"/>
      <c r="AG17" s="770"/>
      <c r="AH17" s="770"/>
      <c r="AI17" s="770"/>
      <c r="AJ17" s="770"/>
      <c r="AK17" s="770"/>
      <c r="AL17" s="770"/>
      <c r="AM17" s="770"/>
      <c r="AN17" s="770"/>
      <c r="AO17" s="770"/>
      <c r="AP17" s="770"/>
      <c r="AQ17" s="770"/>
      <c r="AR17" s="770"/>
      <c r="AS17" s="770"/>
      <c r="AT17" s="770"/>
      <c r="AU17" s="770"/>
      <c r="AV17" s="770"/>
      <c r="AW17" s="1209"/>
      <c r="AX17" s="1209"/>
      <c r="AY17" s="1209"/>
      <c r="AZ17" s="1209"/>
    </row>
    <row r="18" spans="1:52">
      <c r="A18" s="770"/>
      <c r="B18" s="1254">
        <v>11</v>
      </c>
      <c r="C18" s="2211" t="s">
        <v>926</v>
      </c>
      <c r="D18" s="2211"/>
      <c r="E18" s="2211"/>
      <c r="F18" s="2211"/>
      <c r="G18" s="2211"/>
      <c r="H18" s="2211"/>
      <c r="I18" s="1258"/>
      <c r="J18" s="1255"/>
      <c r="K18" s="1256"/>
      <c r="L18" s="1259" t="s">
        <v>264</v>
      </c>
      <c r="M18" s="1260">
        <f>'Annexure -I I'!L50</f>
        <v>1057680</v>
      </c>
      <c r="N18" s="770"/>
      <c r="O18" s="933"/>
      <c r="P18" s="770"/>
      <c r="Q18" s="770"/>
      <c r="R18" s="770"/>
      <c r="S18" s="770"/>
      <c r="T18" s="770"/>
      <c r="U18" s="770"/>
      <c r="V18" s="770"/>
      <c r="W18" s="770"/>
      <c r="X18" s="770"/>
      <c r="Y18" s="770"/>
      <c r="Z18" s="770"/>
      <c r="AA18" s="770"/>
      <c r="AB18" s="770"/>
      <c r="AC18" s="770"/>
      <c r="AD18" s="770"/>
      <c r="AE18" s="770"/>
      <c r="AF18" s="770"/>
      <c r="AG18" s="770"/>
      <c r="AH18" s="770"/>
      <c r="AI18" s="770"/>
      <c r="AJ18" s="770"/>
      <c r="AK18" s="770"/>
      <c r="AL18" s="770"/>
      <c r="AM18" s="770"/>
      <c r="AN18" s="770"/>
      <c r="AO18" s="770"/>
      <c r="AP18" s="770"/>
      <c r="AQ18" s="770"/>
      <c r="AR18" s="770"/>
      <c r="AS18" s="770"/>
      <c r="AT18" s="770"/>
      <c r="AU18" s="770"/>
      <c r="AV18" s="770"/>
      <c r="AW18" s="1209"/>
      <c r="AX18" s="1209"/>
      <c r="AY18" s="1209"/>
      <c r="AZ18" s="1209"/>
    </row>
    <row r="19" spans="1:52">
      <c r="A19" s="770"/>
      <c r="B19" s="1254"/>
      <c r="C19" s="2051" t="s">
        <v>282</v>
      </c>
      <c r="D19" s="2051"/>
      <c r="E19" s="2051"/>
      <c r="F19" s="2051"/>
      <c r="G19" s="2051"/>
      <c r="H19" s="2051"/>
      <c r="I19" s="1261"/>
      <c r="J19" s="2223" t="str">
        <f>'Annexure -I I'!J51</f>
        <v>Tax   Rs.  807680</v>
      </c>
      <c r="K19" s="2224"/>
      <c r="L19" s="1259"/>
      <c r="M19" s="1262"/>
      <c r="N19" s="770"/>
      <c r="O19" s="770"/>
      <c r="P19" s="770"/>
      <c r="Q19" s="770"/>
      <c r="R19" s="770"/>
      <c r="S19" s="770"/>
      <c r="T19" s="770"/>
      <c r="U19" s="770"/>
      <c r="V19" s="770"/>
      <c r="W19" s="770"/>
      <c r="X19" s="770"/>
      <c r="Y19" s="770"/>
      <c r="Z19" s="770"/>
      <c r="AA19" s="770"/>
      <c r="AB19" s="770"/>
      <c r="AC19" s="770"/>
      <c r="AD19" s="770"/>
      <c r="AE19" s="770"/>
      <c r="AF19" s="770"/>
      <c r="AG19" s="770"/>
      <c r="AH19" s="770"/>
      <c r="AI19" s="770"/>
      <c r="AJ19" s="770"/>
      <c r="AK19" s="770"/>
      <c r="AL19" s="770"/>
      <c r="AM19" s="770"/>
      <c r="AN19" s="770"/>
      <c r="AO19" s="770"/>
      <c r="AP19" s="770"/>
      <c r="AQ19" s="770"/>
      <c r="AR19" s="770"/>
      <c r="AS19" s="770"/>
      <c r="AT19" s="770"/>
      <c r="AU19" s="770"/>
      <c r="AV19" s="770"/>
      <c r="AW19" s="1209"/>
      <c r="AX19" s="1209"/>
      <c r="AY19" s="1209"/>
      <c r="AZ19" s="1209"/>
    </row>
    <row r="20" spans="1:52">
      <c r="A20" s="770"/>
      <c r="B20" s="1254"/>
      <c r="C20" s="1263" t="s">
        <v>265</v>
      </c>
      <c r="D20" s="2055" t="s">
        <v>531</v>
      </c>
      <c r="E20" s="2055"/>
      <c r="F20" s="2055"/>
      <c r="G20" s="2055"/>
      <c r="H20" s="992"/>
      <c r="I20" s="858"/>
      <c r="J20" s="1264"/>
      <c r="K20" s="1265"/>
      <c r="L20" s="1259" t="s">
        <v>264</v>
      </c>
      <c r="M20" s="1262" t="s">
        <v>283</v>
      </c>
      <c r="N20" s="770"/>
      <c r="O20" s="770"/>
      <c r="P20" s="770"/>
      <c r="Q20" s="770"/>
      <c r="R20" s="770"/>
      <c r="S20" s="770"/>
      <c r="T20" s="770"/>
      <c r="U20" s="770"/>
      <c r="V20" s="770"/>
      <c r="W20" s="770"/>
      <c r="X20" s="770"/>
      <c r="Y20" s="770"/>
      <c r="Z20" s="770"/>
      <c r="AA20" s="770"/>
      <c r="AB20" s="770"/>
      <c r="AC20" s="770"/>
      <c r="AD20" s="770"/>
      <c r="AE20" s="770"/>
      <c r="AF20" s="770"/>
      <c r="AG20" s="770"/>
      <c r="AH20" s="770"/>
      <c r="AI20" s="770"/>
      <c r="AJ20" s="770"/>
      <c r="AK20" s="770"/>
      <c r="AL20" s="770"/>
      <c r="AM20" s="770"/>
      <c r="AN20" s="770"/>
      <c r="AO20" s="770"/>
      <c r="AP20" s="770"/>
      <c r="AQ20" s="770"/>
      <c r="AR20" s="770"/>
      <c r="AS20" s="770"/>
      <c r="AT20" s="770"/>
      <c r="AU20" s="770"/>
      <c r="AV20" s="770"/>
      <c r="AW20" s="1209"/>
      <c r="AX20" s="1209"/>
      <c r="AY20" s="1209"/>
      <c r="AZ20" s="1209"/>
    </row>
    <row r="21" spans="1:52">
      <c r="A21" s="770"/>
      <c r="B21" s="1254"/>
      <c r="C21" s="1263" t="s">
        <v>267</v>
      </c>
      <c r="D21" s="2129" t="str">
        <f>'Annexure -I I'!D53</f>
        <v xml:space="preserve">2,50,001/- to 5,00,000/- 5%  </v>
      </c>
      <c r="E21" s="2129"/>
      <c r="F21" s="2129"/>
      <c r="G21" s="2129"/>
      <c r="H21" s="1000" t="str">
        <f>'Annexure -I I'!H53</f>
        <v>( 250000  @  5% )</v>
      </c>
      <c r="I21" s="858"/>
      <c r="J21" s="1264"/>
      <c r="K21" s="1265"/>
      <c r="L21" s="1259" t="s">
        <v>264</v>
      </c>
      <c r="M21" s="1262">
        <f>'Annexure -I I'!L53</f>
        <v>12500</v>
      </c>
      <c r="N21" s="770"/>
      <c r="O21" s="770"/>
      <c r="P21" s="770"/>
      <c r="Q21" s="770"/>
      <c r="R21" s="770"/>
      <c r="S21" s="770"/>
      <c r="T21" s="770"/>
      <c r="U21" s="770"/>
      <c r="V21" s="770"/>
      <c r="W21" s="770"/>
      <c r="X21" s="770"/>
      <c r="Y21" s="770"/>
      <c r="Z21" s="770"/>
      <c r="AA21" s="770"/>
      <c r="AB21" s="770"/>
      <c r="AC21" s="770"/>
      <c r="AD21" s="770"/>
      <c r="AE21" s="770"/>
      <c r="AF21" s="770"/>
      <c r="AG21" s="770"/>
      <c r="AH21" s="770"/>
      <c r="AI21" s="770"/>
      <c r="AJ21" s="770"/>
      <c r="AK21" s="770"/>
      <c r="AL21" s="770"/>
      <c r="AM21" s="770"/>
      <c r="AN21" s="770"/>
      <c r="AO21" s="770"/>
      <c r="AP21" s="770"/>
      <c r="AQ21" s="770"/>
      <c r="AR21" s="770"/>
      <c r="AS21" s="770"/>
      <c r="AT21" s="770"/>
      <c r="AU21" s="770"/>
      <c r="AV21" s="770"/>
      <c r="AW21" s="1209"/>
      <c r="AX21" s="1209"/>
      <c r="AY21" s="1209"/>
      <c r="AZ21" s="1209"/>
    </row>
    <row r="22" spans="1:52">
      <c r="A22" s="770"/>
      <c r="B22" s="1254"/>
      <c r="C22" s="1263" t="s">
        <v>268</v>
      </c>
      <c r="D22" s="1266" t="str">
        <f>'Annexure -I I'!D54</f>
        <v xml:space="preserve">5,00,001/- to 10,00,000/- 20% </v>
      </c>
      <c r="E22" s="1266"/>
      <c r="F22" s="1266"/>
      <c r="G22" s="1266"/>
      <c r="H22" s="1006" t="str">
        <f>'Annexure -I I'!H54</f>
        <v>( 500000  @  20% )</v>
      </c>
      <c r="I22" s="1007"/>
      <c r="J22" s="1264"/>
      <c r="K22" s="1265"/>
      <c r="L22" s="1259" t="s">
        <v>264</v>
      </c>
      <c r="M22" s="1262">
        <f>'Annexure -I I'!L54</f>
        <v>100000</v>
      </c>
      <c r="N22" s="770"/>
      <c r="O22" s="770"/>
      <c r="P22" s="770"/>
      <c r="Q22" s="770"/>
      <c r="R22" s="770"/>
      <c r="S22" s="770"/>
      <c r="T22" s="770"/>
      <c r="U22" s="770"/>
      <c r="V22" s="770"/>
      <c r="W22" s="770"/>
      <c r="X22" s="770"/>
      <c r="Y22" s="770"/>
      <c r="Z22" s="770"/>
      <c r="AA22" s="770"/>
      <c r="AB22" s="770"/>
      <c r="AC22" s="770"/>
      <c r="AD22" s="770"/>
      <c r="AE22" s="770"/>
      <c r="AF22" s="770"/>
      <c r="AG22" s="770"/>
      <c r="AH22" s="770"/>
      <c r="AI22" s="770"/>
      <c r="AJ22" s="770"/>
      <c r="AK22" s="770"/>
      <c r="AL22" s="770"/>
      <c r="AM22" s="770"/>
      <c r="AN22" s="770"/>
      <c r="AO22" s="770"/>
      <c r="AP22" s="770"/>
      <c r="AQ22" s="770"/>
      <c r="AR22" s="770"/>
      <c r="AS22" s="770"/>
      <c r="AT22" s="770"/>
      <c r="AU22" s="770"/>
      <c r="AV22" s="770"/>
      <c r="AW22" s="1209"/>
      <c r="AX22" s="1209"/>
      <c r="AY22" s="1209"/>
      <c r="AZ22" s="1209"/>
    </row>
    <row r="23" spans="1:52">
      <c r="A23" s="770"/>
      <c r="B23" s="1254"/>
      <c r="C23" s="1263" t="s">
        <v>278</v>
      </c>
      <c r="D23" s="2075" t="str">
        <f>'Annexure -I I'!D55</f>
        <v xml:space="preserve">10,00,001/ Above - 30% </v>
      </c>
      <c r="E23" s="2075"/>
      <c r="F23" s="2075"/>
      <c r="G23" s="2075"/>
      <c r="H23" s="1006" t="str">
        <f>'Annexure -I I'!H55</f>
        <v>( 57680  @  30% )</v>
      </c>
      <c r="I23" s="1007"/>
      <c r="J23" s="1264"/>
      <c r="K23" s="1265"/>
      <c r="L23" s="1259" t="s">
        <v>264</v>
      </c>
      <c r="M23" s="1262">
        <f>'Annexure -I I'!L55</f>
        <v>17304.000000000004</v>
      </c>
      <c r="N23" s="770"/>
      <c r="O23" s="770"/>
      <c r="P23" s="770"/>
      <c r="Q23" s="770"/>
      <c r="R23" s="770"/>
      <c r="S23" s="770"/>
      <c r="T23" s="770"/>
      <c r="U23" s="770"/>
      <c r="V23" s="770"/>
      <c r="W23" s="770"/>
      <c r="X23" s="770"/>
      <c r="Y23" s="770"/>
      <c r="Z23" s="770"/>
      <c r="AA23" s="770"/>
      <c r="AB23" s="770"/>
      <c r="AC23" s="770"/>
      <c r="AD23" s="770"/>
      <c r="AE23" s="770"/>
      <c r="AF23" s="770"/>
      <c r="AG23" s="770"/>
      <c r="AH23" s="770"/>
      <c r="AI23" s="770"/>
      <c r="AJ23" s="770"/>
      <c r="AK23" s="770"/>
      <c r="AL23" s="770"/>
      <c r="AM23" s="770"/>
      <c r="AN23" s="770"/>
      <c r="AO23" s="770"/>
      <c r="AP23" s="770"/>
      <c r="AQ23" s="770"/>
      <c r="AR23" s="770"/>
      <c r="AS23" s="770"/>
      <c r="AT23" s="770"/>
      <c r="AU23" s="770"/>
      <c r="AV23" s="770"/>
      <c r="AW23" s="1209"/>
      <c r="AX23" s="1209"/>
      <c r="AY23" s="1209"/>
      <c r="AZ23" s="1209"/>
    </row>
    <row r="24" spans="1:52">
      <c r="A24" s="770"/>
      <c r="B24" s="1254"/>
      <c r="C24" s="991" t="s">
        <v>279</v>
      </c>
      <c r="D24" s="1267" t="str">
        <f>'Annexure -I I'!D56</f>
        <v/>
      </c>
      <c r="E24" s="1267"/>
      <c r="F24" s="1267"/>
      <c r="G24" s="1267"/>
      <c r="H24" s="1006" t="str">
        <f>'Annexure -I I'!H56</f>
        <v/>
      </c>
      <c r="I24" s="1007"/>
      <c r="J24" s="1264"/>
      <c r="K24" s="1265"/>
      <c r="L24" s="1259" t="s">
        <v>264</v>
      </c>
      <c r="M24" s="1262">
        <f>'Annexure -I I'!L56</f>
        <v>0</v>
      </c>
      <c r="N24" s="770"/>
      <c r="O24" s="770"/>
      <c r="P24" s="770"/>
      <c r="Q24" s="770"/>
      <c r="R24" s="770"/>
      <c r="S24" s="770"/>
      <c r="T24" s="770"/>
      <c r="U24" s="770"/>
      <c r="V24" s="770"/>
      <c r="W24" s="770"/>
      <c r="X24" s="770"/>
      <c r="Y24" s="770"/>
      <c r="Z24" s="770"/>
      <c r="AA24" s="770"/>
      <c r="AB24" s="770"/>
      <c r="AC24" s="770"/>
      <c r="AD24" s="770"/>
      <c r="AE24" s="770"/>
      <c r="AF24" s="770"/>
      <c r="AG24" s="770"/>
      <c r="AH24" s="770"/>
      <c r="AI24" s="770"/>
      <c r="AJ24" s="770"/>
      <c r="AK24" s="770"/>
      <c r="AL24" s="770"/>
      <c r="AM24" s="770"/>
      <c r="AN24" s="770"/>
      <c r="AO24" s="770"/>
      <c r="AP24" s="770"/>
      <c r="AQ24" s="770"/>
      <c r="AR24" s="770"/>
      <c r="AS24" s="770"/>
      <c r="AT24" s="770"/>
      <c r="AU24" s="770"/>
      <c r="AV24" s="770"/>
      <c r="AW24" s="1209"/>
      <c r="AX24" s="1209"/>
      <c r="AY24" s="1209"/>
      <c r="AZ24" s="1209"/>
    </row>
    <row r="25" spans="1:52">
      <c r="A25" s="770"/>
      <c r="B25" s="1254"/>
      <c r="C25" s="991" t="s">
        <v>280</v>
      </c>
      <c r="D25" s="1267" t="str">
        <f>'Annexure -I I'!D57</f>
        <v/>
      </c>
      <c r="E25" s="1267"/>
      <c r="F25" s="1267"/>
      <c r="G25" s="1267"/>
      <c r="H25" s="1006" t="str">
        <f>'Annexure -I I'!H57</f>
        <v/>
      </c>
      <c r="I25" s="1007"/>
      <c r="J25" s="1264"/>
      <c r="K25" s="1265"/>
      <c r="L25" s="1259" t="s">
        <v>264</v>
      </c>
      <c r="M25" s="1262">
        <f>'Annexure -I I'!L57</f>
        <v>0</v>
      </c>
      <c r="N25" s="770"/>
      <c r="O25" s="770"/>
      <c r="P25" s="770"/>
      <c r="Q25" s="770"/>
      <c r="R25" s="770"/>
      <c r="S25" s="770"/>
      <c r="T25" s="770"/>
      <c r="U25" s="770"/>
      <c r="V25" s="770"/>
      <c r="W25" s="770"/>
      <c r="X25" s="770"/>
      <c r="Y25" s="770"/>
      <c r="Z25" s="770"/>
      <c r="AA25" s="770"/>
      <c r="AB25" s="770"/>
      <c r="AC25" s="770"/>
      <c r="AD25" s="770"/>
      <c r="AE25" s="770"/>
      <c r="AF25" s="770"/>
      <c r="AG25" s="770"/>
      <c r="AH25" s="770"/>
      <c r="AI25" s="770"/>
      <c r="AJ25" s="770"/>
      <c r="AK25" s="770"/>
      <c r="AL25" s="770"/>
      <c r="AM25" s="770"/>
      <c r="AN25" s="770"/>
      <c r="AO25" s="770"/>
      <c r="AP25" s="770"/>
      <c r="AQ25" s="770"/>
      <c r="AR25" s="770"/>
      <c r="AS25" s="770"/>
      <c r="AT25" s="770"/>
      <c r="AU25" s="770"/>
      <c r="AV25" s="770"/>
      <c r="AW25" s="1209"/>
      <c r="AX25" s="1209"/>
      <c r="AY25" s="1209"/>
      <c r="AZ25" s="1209"/>
    </row>
    <row r="26" spans="1:52">
      <c r="A26" s="770"/>
      <c r="B26" s="1254"/>
      <c r="C26" s="991" t="s">
        <v>274</v>
      </c>
      <c r="D26" s="1267" t="str">
        <f>'Annexure -I I'!D58</f>
        <v/>
      </c>
      <c r="E26" s="1267"/>
      <c r="F26" s="1267"/>
      <c r="G26" s="1267"/>
      <c r="H26" s="1006" t="str">
        <f>'Annexure -I I'!H58</f>
        <v/>
      </c>
      <c r="I26" s="1007"/>
      <c r="J26" s="1264"/>
      <c r="K26" s="1265"/>
      <c r="L26" s="1259" t="s">
        <v>264</v>
      </c>
      <c r="M26" s="1262">
        <f>'Annexure -I I'!L58</f>
        <v>0</v>
      </c>
      <c r="N26" s="770"/>
      <c r="O26" s="770"/>
      <c r="P26" s="770"/>
      <c r="Q26" s="770"/>
      <c r="R26" s="770"/>
      <c r="S26" s="770"/>
      <c r="T26" s="770"/>
      <c r="U26" s="770"/>
      <c r="V26" s="770"/>
      <c r="W26" s="770"/>
      <c r="X26" s="770"/>
      <c r="Y26" s="770"/>
      <c r="Z26" s="770"/>
      <c r="AA26" s="770"/>
      <c r="AB26" s="770"/>
      <c r="AC26" s="770"/>
      <c r="AD26" s="770"/>
      <c r="AE26" s="770"/>
      <c r="AF26" s="770"/>
      <c r="AG26" s="770"/>
      <c r="AH26" s="770"/>
      <c r="AI26" s="770"/>
      <c r="AJ26" s="770"/>
      <c r="AK26" s="770"/>
      <c r="AL26" s="770"/>
      <c r="AM26" s="770"/>
      <c r="AN26" s="770"/>
      <c r="AO26" s="770"/>
      <c r="AP26" s="770"/>
      <c r="AQ26" s="770"/>
      <c r="AR26" s="770"/>
      <c r="AS26" s="770"/>
      <c r="AT26" s="770"/>
      <c r="AU26" s="770"/>
      <c r="AV26" s="770"/>
      <c r="AW26" s="1209"/>
      <c r="AX26" s="1209"/>
      <c r="AY26" s="1209"/>
      <c r="AZ26" s="1209"/>
    </row>
    <row r="27" spans="1:52">
      <c r="A27" s="770"/>
      <c r="B27" s="1254">
        <v>12</v>
      </c>
      <c r="C27" s="2222" t="s">
        <v>320</v>
      </c>
      <c r="D27" s="2222"/>
      <c r="E27" s="2222"/>
      <c r="F27" s="2222"/>
      <c r="G27" s="2222"/>
      <c r="H27" s="2222"/>
      <c r="I27" s="1258"/>
      <c r="J27" s="1255"/>
      <c r="K27" s="1265"/>
      <c r="L27" s="1259"/>
      <c r="M27" s="1268"/>
      <c r="N27" s="770"/>
      <c r="O27" s="770"/>
      <c r="P27" s="770"/>
      <c r="Q27" s="770"/>
      <c r="R27" s="770"/>
      <c r="S27" s="770"/>
      <c r="T27" s="770"/>
      <c r="U27" s="770"/>
      <c r="V27" s="770"/>
      <c r="W27" s="770"/>
      <c r="X27" s="770"/>
      <c r="Y27" s="770"/>
      <c r="Z27" s="770"/>
      <c r="AA27" s="770"/>
      <c r="AB27" s="770"/>
      <c r="AC27" s="770"/>
      <c r="AD27" s="770"/>
      <c r="AE27" s="770"/>
      <c r="AF27" s="770"/>
      <c r="AG27" s="770"/>
      <c r="AH27" s="770"/>
      <c r="AI27" s="770"/>
      <c r="AJ27" s="770"/>
      <c r="AK27" s="770"/>
      <c r="AL27" s="770"/>
      <c r="AM27" s="770"/>
      <c r="AN27" s="770"/>
      <c r="AO27" s="770"/>
      <c r="AP27" s="770"/>
      <c r="AQ27" s="770"/>
      <c r="AR27" s="770"/>
      <c r="AS27" s="770"/>
      <c r="AT27" s="770"/>
      <c r="AU27" s="770"/>
      <c r="AV27" s="770"/>
      <c r="AW27" s="1209"/>
      <c r="AX27" s="1209"/>
      <c r="AY27" s="1209"/>
      <c r="AZ27" s="1209"/>
    </row>
    <row r="28" spans="1:52">
      <c r="A28" s="770"/>
      <c r="B28" s="1254">
        <v>13</v>
      </c>
      <c r="C28" s="2225" t="s">
        <v>821</v>
      </c>
      <c r="D28" s="2226"/>
      <c r="E28" s="2226"/>
      <c r="F28" s="2226"/>
      <c r="G28" s="2226"/>
      <c r="H28" s="2226"/>
      <c r="I28" s="1269"/>
      <c r="J28" s="1255"/>
      <c r="K28" s="1256"/>
      <c r="L28" s="1259" t="s">
        <v>264</v>
      </c>
      <c r="M28" s="1270">
        <f>'Annexure -I I'!L59</f>
        <v>0</v>
      </c>
      <c r="N28" s="770"/>
      <c r="O28" s="770"/>
      <c r="P28" s="770"/>
      <c r="Q28" s="770"/>
      <c r="R28" s="770"/>
      <c r="S28" s="770"/>
      <c r="T28" s="770"/>
      <c r="U28" s="770"/>
      <c r="V28" s="770"/>
      <c r="W28" s="770"/>
      <c r="X28" s="770"/>
      <c r="Y28" s="770"/>
      <c r="Z28" s="770"/>
      <c r="AA28" s="770"/>
      <c r="AB28" s="770"/>
      <c r="AC28" s="770"/>
      <c r="AD28" s="770"/>
      <c r="AE28" s="770"/>
      <c r="AF28" s="770"/>
      <c r="AG28" s="770"/>
      <c r="AH28" s="770"/>
      <c r="AI28" s="770"/>
      <c r="AJ28" s="770"/>
      <c r="AK28" s="770"/>
      <c r="AL28" s="770"/>
      <c r="AM28" s="770"/>
      <c r="AN28" s="770"/>
      <c r="AO28" s="770"/>
      <c r="AP28" s="770"/>
      <c r="AQ28" s="770"/>
      <c r="AR28" s="770"/>
      <c r="AS28" s="770"/>
      <c r="AT28" s="770"/>
      <c r="AU28" s="770"/>
      <c r="AV28" s="770"/>
      <c r="AW28" s="1209"/>
      <c r="AX28" s="1209"/>
      <c r="AY28" s="1209"/>
      <c r="AZ28" s="1209"/>
    </row>
    <row r="29" spans="1:52">
      <c r="A29" s="770"/>
      <c r="B29" s="1254">
        <v>14</v>
      </c>
      <c r="C29" s="2229" t="s">
        <v>701</v>
      </c>
      <c r="D29" s="2230"/>
      <c r="E29" s="2230"/>
      <c r="F29" s="2230"/>
      <c r="G29" s="2230"/>
      <c r="H29" s="2230"/>
      <c r="I29" s="1258"/>
      <c r="J29" s="1255"/>
      <c r="K29" s="1256"/>
      <c r="L29" s="1259" t="s">
        <v>264</v>
      </c>
      <c r="M29" s="1268">
        <f>'Annexure -I I'!L60</f>
        <v>129804</v>
      </c>
      <c r="N29" s="770"/>
      <c r="O29" s="770"/>
      <c r="P29" s="770"/>
      <c r="Q29" s="770"/>
      <c r="R29" s="770"/>
      <c r="S29" s="770"/>
      <c r="T29" s="770"/>
      <c r="U29" s="770"/>
      <c r="V29" s="770"/>
      <c r="W29" s="770"/>
      <c r="X29" s="770"/>
      <c r="Y29" s="770"/>
      <c r="Z29" s="770"/>
      <c r="AA29" s="770"/>
      <c r="AB29" s="770"/>
      <c r="AC29" s="770"/>
      <c r="AD29" s="770"/>
      <c r="AE29" s="770"/>
      <c r="AF29" s="770"/>
      <c r="AG29" s="770"/>
      <c r="AH29" s="770"/>
      <c r="AI29" s="770"/>
      <c r="AJ29" s="770"/>
      <c r="AK29" s="770"/>
      <c r="AL29" s="770"/>
      <c r="AM29" s="770"/>
      <c r="AN29" s="770"/>
      <c r="AO29" s="770"/>
      <c r="AP29" s="770"/>
      <c r="AQ29" s="770"/>
      <c r="AR29" s="770"/>
      <c r="AS29" s="770"/>
      <c r="AT29" s="770"/>
      <c r="AU29" s="770"/>
      <c r="AV29" s="770"/>
      <c r="AW29" s="1209"/>
      <c r="AX29" s="1209"/>
      <c r="AY29" s="1209"/>
      <c r="AZ29" s="1209"/>
    </row>
    <row r="30" spans="1:52">
      <c r="A30" s="770"/>
      <c r="B30" s="1254">
        <v>15</v>
      </c>
      <c r="C30" s="1271" t="s">
        <v>822</v>
      </c>
      <c r="D30" s="1272"/>
      <c r="E30" s="1272"/>
      <c r="F30" s="1272"/>
      <c r="G30" s="1272"/>
      <c r="H30" s="1272"/>
      <c r="I30" s="1273"/>
      <c r="J30" s="1255"/>
      <c r="K30" s="1256"/>
      <c r="L30" s="1259" t="s">
        <v>264</v>
      </c>
      <c r="M30" s="1274" t="str">
        <f>'Annexure -I I'!L61</f>
        <v xml:space="preserve">     5192</v>
      </c>
      <c r="N30" s="770"/>
      <c r="O30" s="770"/>
      <c r="P30" s="770"/>
      <c r="Q30" s="770"/>
      <c r="R30" s="770"/>
      <c r="S30" s="770"/>
      <c r="T30" s="770"/>
      <c r="U30" s="770"/>
      <c r="V30" s="770"/>
      <c r="W30" s="770"/>
      <c r="X30" s="770"/>
      <c r="Y30" s="770"/>
      <c r="Z30" s="770"/>
      <c r="AA30" s="770"/>
      <c r="AB30" s="770"/>
      <c r="AC30" s="770"/>
      <c r="AD30" s="770"/>
      <c r="AE30" s="770"/>
      <c r="AF30" s="770"/>
      <c r="AG30" s="770"/>
      <c r="AH30" s="770"/>
      <c r="AI30" s="770"/>
      <c r="AJ30" s="770"/>
      <c r="AK30" s="770"/>
      <c r="AL30" s="770"/>
      <c r="AM30" s="770"/>
      <c r="AN30" s="770"/>
      <c r="AO30" s="770"/>
      <c r="AP30" s="770"/>
      <c r="AQ30" s="770"/>
      <c r="AR30" s="770"/>
      <c r="AS30" s="770"/>
      <c r="AT30" s="770"/>
      <c r="AU30" s="770"/>
      <c r="AV30" s="770"/>
      <c r="AW30" s="1209"/>
      <c r="AX30" s="1209"/>
      <c r="AY30" s="1209"/>
      <c r="AZ30" s="1209"/>
    </row>
    <row r="31" spans="1:52" hidden="1">
      <c r="A31" s="770"/>
      <c r="B31" s="1254"/>
      <c r="C31" s="1275"/>
      <c r="D31" s="1276"/>
      <c r="E31" s="1276"/>
      <c r="F31" s="1276"/>
      <c r="G31" s="1276"/>
      <c r="H31" s="1276"/>
      <c r="I31" s="1277"/>
      <c r="J31" s="1255"/>
      <c r="K31" s="1256"/>
      <c r="L31" s="1259"/>
      <c r="M31" s="1274"/>
      <c r="N31" s="770"/>
      <c r="O31" s="770"/>
      <c r="P31" s="770"/>
      <c r="Q31" s="770"/>
      <c r="R31" s="770"/>
      <c r="S31" s="770"/>
      <c r="T31" s="770"/>
      <c r="U31" s="770"/>
      <c r="V31" s="770"/>
      <c r="W31" s="770"/>
      <c r="X31" s="770"/>
      <c r="Y31" s="770"/>
      <c r="Z31" s="770"/>
      <c r="AA31" s="770"/>
      <c r="AB31" s="770"/>
      <c r="AC31" s="770"/>
      <c r="AD31" s="770"/>
      <c r="AE31" s="770"/>
      <c r="AF31" s="770"/>
      <c r="AG31" s="770"/>
      <c r="AH31" s="770"/>
      <c r="AI31" s="770"/>
      <c r="AJ31" s="770"/>
      <c r="AK31" s="770"/>
      <c r="AL31" s="770"/>
      <c r="AM31" s="770"/>
      <c r="AN31" s="770"/>
      <c r="AO31" s="770"/>
      <c r="AP31" s="770"/>
      <c r="AQ31" s="770"/>
      <c r="AR31" s="770"/>
      <c r="AS31" s="770"/>
      <c r="AT31" s="770"/>
      <c r="AU31" s="770"/>
      <c r="AV31" s="770"/>
      <c r="AW31" s="1209"/>
      <c r="AX31" s="1209"/>
      <c r="AY31" s="1209"/>
      <c r="AZ31" s="1209"/>
    </row>
    <row r="32" spans="1:52">
      <c r="A32" s="770"/>
      <c r="B32" s="1254">
        <v>16</v>
      </c>
      <c r="C32" s="1278" t="s">
        <v>837</v>
      </c>
      <c r="D32" s="1273"/>
      <c r="E32" s="1273"/>
      <c r="F32" s="1273"/>
      <c r="G32" s="1273"/>
      <c r="H32" s="1273"/>
      <c r="I32" s="1273"/>
      <c r="J32" s="1255"/>
      <c r="K32" s="1256"/>
      <c r="L32" s="1259" t="s">
        <v>264</v>
      </c>
      <c r="M32" s="1279">
        <f>'Annexure -I I'!L63</f>
        <v>134996</v>
      </c>
      <c r="N32" s="770"/>
      <c r="O32" s="770"/>
      <c r="P32" s="770"/>
      <c r="Q32" s="770"/>
      <c r="R32" s="770"/>
      <c r="S32" s="770"/>
      <c r="T32" s="770"/>
      <c r="U32" s="770"/>
      <c r="V32" s="770"/>
      <c r="W32" s="770"/>
      <c r="X32" s="770"/>
      <c r="Y32" s="770"/>
      <c r="Z32" s="770"/>
      <c r="AA32" s="770"/>
      <c r="AB32" s="770"/>
      <c r="AC32" s="770"/>
      <c r="AD32" s="770"/>
      <c r="AE32" s="770"/>
      <c r="AF32" s="770"/>
      <c r="AG32" s="770"/>
      <c r="AH32" s="770"/>
      <c r="AI32" s="770"/>
      <c r="AJ32" s="770"/>
      <c r="AK32" s="770"/>
      <c r="AL32" s="770"/>
      <c r="AM32" s="770"/>
      <c r="AN32" s="770"/>
      <c r="AO32" s="770"/>
      <c r="AP32" s="770"/>
      <c r="AQ32" s="770"/>
      <c r="AR32" s="770"/>
      <c r="AS32" s="770"/>
      <c r="AT32" s="770"/>
      <c r="AU32" s="770"/>
      <c r="AV32" s="770"/>
      <c r="AW32" s="1209"/>
      <c r="AX32" s="1209"/>
      <c r="AY32" s="1209"/>
      <c r="AZ32" s="1209"/>
    </row>
    <row r="33" spans="1:52">
      <c r="A33" s="770"/>
      <c r="B33" s="1254">
        <v>17</v>
      </c>
      <c r="C33" s="1280" t="s">
        <v>712</v>
      </c>
      <c r="D33" s="1273"/>
      <c r="E33" s="1273"/>
      <c r="F33" s="1273"/>
      <c r="G33" s="1273"/>
      <c r="H33" s="1273"/>
      <c r="I33" s="1273"/>
      <c r="J33" s="1255"/>
      <c r="K33" s="1256"/>
      <c r="L33" s="1259" t="s">
        <v>264</v>
      </c>
      <c r="M33" s="1279"/>
      <c r="N33" s="770"/>
      <c r="O33" s="770"/>
      <c r="P33" s="770"/>
      <c r="Q33" s="770"/>
      <c r="R33" s="770"/>
      <c r="S33" s="770"/>
      <c r="T33" s="770"/>
      <c r="U33" s="770"/>
      <c r="V33" s="770"/>
      <c r="W33" s="770"/>
      <c r="X33" s="770"/>
      <c r="Y33" s="770"/>
      <c r="Z33" s="770"/>
      <c r="AA33" s="770"/>
      <c r="AB33" s="770"/>
      <c r="AC33" s="770"/>
      <c r="AD33" s="770"/>
      <c r="AE33" s="770"/>
      <c r="AF33" s="770"/>
      <c r="AG33" s="770"/>
      <c r="AH33" s="770"/>
      <c r="AI33" s="770"/>
      <c r="AJ33" s="770"/>
      <c r="AK33" s="770"/>
      <c r="AL33" s="770"/>
      <c r="AM33" s="770"/>
      <c r="AN33" s="770"/>
      <c r="AO33" s="770"/>
      <c r="AP33" s="770"/>
      <c r="AQ33" s="770"/>
      <c r="AR33" s="770"/>
      <c r="AS33" s="770"/>
      <c r="AT33" s="770"/>
      <c r="AU33" s="770"/>
      <c r="AV33" s="770"/>
      <c r="AW33" s="1209"/>
      <c r="AX33" s="1209"/>
      <c r="AY33" s="1209"/>
      <c r="AZ33" s="1209"/>
    </row>
    <row r="34" spans="1:52">
      <c r="A34" s="770"/>
      <c r="B34" s="1254"/>
      <c r="C34" s="1280" t="s">
        <v>711</v>
      </c>
      <c r="D34" s="1278"/>
      <c r="E34" s="1278"/>
      <c r="F34" s="1278"/>
      <c r="G34" s="1278"/>
      <c r="H34" s="1278"/>
      <c r="I34" s="1278"/>
      <c r="J34" s="1255"/>
      <c r="K34" s="1256"/>
      <c r="L34" s="1259" t="s">
        <v>264</v>
      </c>
      <c r="M34" s="1279">
        <f>'Annexure -I I'!L65</f>
        <v>92000</v>
      </c>
      <c r="N34" s="770"/>
      <c r="O34" s="770"/>
      <c r="P34" s="770"/>
      <c r="Q34" s="770"/>
      <c r="R34" s="770"/>
      <c r="S34" s="770"/>
      <c r="T34" s="770"/>
      <c r="U34" s="770"/>
      <c r="V34" s="770"/>
      <c r="W34" s="770"/>
      <c r="X34" s="770"/>
      <c r="Y34" s="770"/>
      <c r="Z34" s="770"/>
      <c r="AA34" s="770"/>
      <c r="AB34" s="770"/>
      <c r="AC34" s="770"/>
      <c r="AD34" s="770"/>
      <c r="AE34" s="770"/>
      <c r="AF34" s="770"/>
      <c r="AG34" s="770"/>
      <c r="AH34" s="770"/>
      <c r="AI34" s="770"/>
      <c r="AJ34" s="770"/>
      <c r="AK34" s="770"/>
      <c r="AL34" s="770"/>
      <c r="AM34" s="770"/>
      <c r="AN34" s="770"/>
      <c r="AO34" s="770"/>
      <c r="AP34" s="770"/>
      <c r="AQ34" s="770"/>
      <c r="AR34" s="770"/>
      <c r="AS34" s="770"/>
      <c r="AT34" s="770"/>
      <c r="AU34" s="770"/>
      <c r="AV34" s="770"/>
      <c r="AW34" s="1209"/>
      <c r="AX34" s="1209"/>
      <c r="AY34" s="1209"/>
      <c r="AZ34" s="1209"/>
    </row>
    <row r="35" spans="1:52">
      <c r="A35" s="770"/>
      <c r="B35" s="1254">
        <v>18</v>
      </c>
      <c r="C35" s="2211" t="s">
        <v>778</v>
      </c>
      <c r="D35" s="2211"/>
      <c r="E35" s="2211"/>
      <c r="F35" s="2211"/>
      <c r="G35" s="2211"/>
      <c r="H35" s="2211"/>
      <c r="I35" s="1258"/>
      <c r="J35" s="1255"/>
      <c r="K35" s="1256"/>
      <c r="L35" s="1259" t="s">
        <v>264</v>
      </c>
      <c r="M35" s="1268">
        <f>'Annexure -I I'!L64</f>
        <v>0</v>
      </c>
      <c r="N35" s="770"/>
      <c r="O35" s="770"/>
      <c r="P35" s="770"/>
      <c r="Q35" s="770"/>
      <c r="R35" s="770"/>
      <c r="S35" s="770"/>
      <c r="T35" s="770"/>
      <c r="U35" s="770"/>
      <c r="V35" s="770"/>
      <c r="W35" s="770"/>
      <c r="X35" s="770"/>
      <c r="Y35" s="770"/>
      <c r="Z35" s="770"/>
      <c r="AA35" s="770"/>
      <c r="AB35" s="770"/>
      <c r="AC35" s="770"/>
      <c r="AD35" s="770"/>
      <c r="AE35" s="770"/>
      <c r="AF35" s="770"/>
      <c r="AG35" s="770"/>
      <c r="AH35" s="770"/>
      <c r="AI35" s="770"/>
      <c r="AJ35" s="770"/>
      <c r="AK35" s="770"/>
      <c r="AL35" s="770"/>
      <c r="AM35" s="770"/>
      <c r="AN35" s="770"/>
      <c r="AO35" s="770"/>
      <c r="AP35" s="770"/>
      <c r="AQ35" s="770"/>
      <c r="AR35" s="770"/>
      <c r="AS35" s="770"/>
      <c r="AT35" s="770"/>
      <c r="AU35" s="770"/>
      <c r="AV35" s="770"/>
      <c r="AW35" s="1209"/>
      <c r="AX35" s="1209"/>
      <c r="AY35" s="1209"/>
      <c r="AZ35" s="1209"/>
    </row>
    <row r="36" spans="1:52" hidden="1">
      <c r="A36" s="770"/>
      <c r="B36" s="1254">
        <v>20</v>
      </c>
      <c r="C36" s="2230" t="s">
        <v>321</v>
      </c>
      <c r="D36" s="2230"/>
      <c r="E36" s="2230"/>
      <c r="F36" s="2230"/>
      <c r="G36" s="2230"/>
      <c r="H36" s="2230"/>
      <c r="I36" s="1273"/>
      <c r="J36" s="1255"/>
      <c r="K36" s="1256"/>
      <c r="L36" s="1259" t="s">
        <v>264</v>
      </c>
      <c r="M36" s="1268"/>
      <c r="N36" s="770"/>
      <c r="O36" s="770"/>
      <c r="P36" s="770"/>
      <c r="Q36" s="770"/>
      <c r="R36" s="770"/>
      <c r="S36" s="770"/>
      <c r="T36" s="770"/>
      <c r="U36" s="770"/>
      <c r="V36" s="770"/>
      <c r="W36" s="770"/>
      <c r="X36" s="770"/>
      <c r="Y36" s="770"/>
      <c r="Z36" s="770"/>
      <c r="AA36" s="770"/>
      <c r="AB36" s="770"/>
      <c r="AC36" s="770"/>
      <c r="AD36" s="770"/>
      <c r="AE36" s="770"/>
      <c r="AF36" s="770"/>
      <c r="AG36" s="770"/>
      <c r="AH36" s="770"/>
      <c r="AI36" s="770"/>
      <c r="AJ36" s="770"/>
      <c r="AK36" s="770"/>
      <c r="AL36" s="770"/>
      <c r="AM36" s="770"/>
      <c r="AN36" s="770"/>
      <c r="AO36" s="770"/>
      <c r="AP36" s="770"/>
      <c r="AQ36" s="770"/>
      <c r="AR36" s="770"/>
      <c r="AS36" s="770"/>
      <c r="AT36" s="770"/>
      <c r="AU36" s="770"/>
      <c r="AV36" s="770"/>
      <c r="AW36" s="1209"/>
      <c r="AX36" s="1209"/>
      <c r="AY36" s="1209"/>
      <c r="AZ36" s="1209"/>
    </row>
    <row r="37" spans="1:52" hidden="1">
      <c r="A37" s="770"/>
      <c r="B37" s="1254">
        <v>21</v>
      </c>
      <c r="C37" s="1275" t="s">
        <v>322</v>
      </c>
      <c r="D37" s="1281"/>
      <c r="E37" s="1281"/>
      <c r="F37" s="1281"/>
      <c r="G37" s="1281"/>
      <c r="H37" s="1281"/>
      <c r="I37" s="1281"/>
      <c r="J37" s="1255"/>
      <c r="K37" s="1256"/>
      <c r="L37" s="1259" t="s">
        <v>264</v>
      </c>
      <c r="M37" s="1268"/>
      <c r="N37" s="770"/>
      <c r="O37" s="770"/>
      <c r="P37" s="770"/>
      <c r="Q37" s="770"/>
      <c r="R37" s="770"/>
      <c r="S37" s="770"/>
      <c r="T37" s="770"/>
      <c r="U37" s="770"/>
      <c r="V37" s="770"/>
      <c r="W37" s="770"/>
      <c r="X37" s="770"/>
      <c r="Y37" s="770"/>
      <c r="Z37" s="770"/>
      <c r="AA37" s="770"/>
      <c r="AB37" s="770"/>
      <c r="AC37" s="770"/>
      <c r="AD37" s="770"/>
      <c r="AE37" s="770"/>
      <c r="AF37" s="770"/>
      <c r="AG37" s="770"/>
      <c r="AH37" s="770"/>
      <c r="AI37" s="770"/>
      <c r="AJ37" s="770"/>
      <c r="AK37" s="770"/>
      <c r="AL37" s="770"/>
      <c r="AM37" s="770"/>
      <c r="AN37" s="770"/>
      <c r="AO37" s="770"/>
      <c r="AP37" s="770"/>
      <c r="AQ37" s="770"/>
      <c r="AR37" s="770"/>
      <c r="AS37" s="770"/>
      <c r="AT37" s="770"/>
      <c r="AU37" s="770"/>
      <c r="AV37" s="770"/>
      <c r="AW37" s="1209"/>
      <c r="AX37" s="1209"/>
      <c r="AY37" s="1209"/>
      <c r="AZ37" s="1209"/>
    </row>
    <row r="38" spans="1:52" ht="6" customHeight="1">
      <c r="A38" s="770"/>
      <c r="B38" s="1254"/>
      <c r="C38" s="1276"/>
      <c r="D38" s="1281"/>
      <c r="E38" s="1281"/>
      <c r="F38" s="1281"/>
      <c r="G38" s="1281"/>
      <c r="H38" s="1281"/>
      <c r="I38" s="1281"/>
      <c r="J38" s="1255"/>
      <c r="K38" s="1256"/>
      <c r="L38" s="856"/>
      <c r="M38" s="1257"/>
      <c r="N38" s="770"/>
      <c r="O38" s="770"/>
      <c r="P38" s="770"/>
      <c r="Q38" s="770"/>
      <c r="R38" s="770"/>
      <c r="S38" s="770"/>
      <c r="T38" s="770"/>
      <c r="U38" s="770"/>
      <c r="V38" s="770"/>
      <c r="W38" s="770"/>
      <c r="X38" s="770"/>
      <c r="Y38" s="770"/>
      <c r="Z38" s="770"/>
      <c r="AA38" s="770"/>
      <c r="AB38" s="770"/>
      <c r="AC38" s="770"/>
      <c r="AD38" s="770"/>
      <c r="AE38" s="770"/>
      <c r="AF38" s="770"/>
      <c r="AG38" s="770"/>
      <c r="AH38" s="770"/>
      <c r="AI38" s="770"/>
      <c r="AJ38" s="770"/>
      <c r="AK38" s="770"/>
      <c r="AL38" s="770"/>
      <c r="AM38" s="770"/>
      <c r="AN38" s="770"/>
      <c r="AO38" s="770"/>
      <c r="AP38" s="770"/>
      <c r="AQ38" s="770"/>
      <c r="AR38" s="770"/>
      <c r="AS38" s="770"/>
      <c r="AT38" s="770"/>
      <c r="AU38" s="770"/>
      <c r="AV38" s="770"/>
      <c r="AW38" s="1209"/>
      <c r="AX38" s="1209"/>
      <c r="AY38" s="1209"/>
      <c r="AZ38" s="1209"/>
    </row>
    <row r="39" spans="1:52" ht="17.25" customHeight="1">
      <c r="A39" s="770"/>
      <c r="B39" s="1282">
        <v>19</v>
      </c>
      <c r="C39" s="2219" t="str">
        <f>'Annexure -I I'!J67</f>
        <v>Net Tax to be Paid</v>
      </c>
      <c r="D39" s="2219"/>
      <c r="E39" s="2219"/>
      <c r="F39" s="2219"/>
      <c r="G39" s="2219"/>
      <c r="H39" s="1283"/>
      <c r="I39" s="1283"/>
      <c r="J39" s="1283"/>
      <c r="K39" s="1284"/>
      <c r="L39" s="1285" t="s">
        <v>264</v>
      </c>
      <c r="M39" s="1286">
        <f>'Annexure -I I'!L67</f>
        <v>42996</v>
      </c>
      <c r="N39" s="770"/>
      <c r="O39" s="770"/>
      <c r="P39" s="770"/>
      <c r="Q39" s="770"/>
      <c r="R39" s="770"/>
      <c r="S39" s="770"/>
      <c r="T39" s="770"/>
      <c r="U39" s="770"/>
      <c r="V39" s="770"/>
      <c r="W39" s="770"/>
      <c r="X39" s="770"/>
      <c r="Y39" s="770"/>
      <c r="Z39" s="770"/>
      <c r="AA39" s="770"/>
      <c r="AB39" s="770"/>
      <c r="AC39" s="770"/>
      <c r="AD39" s="770"/>
      <c r="AE39" s="770"/>
      <c r="AF39" s="770"/>
      <c r="AG39" s="770"/>
      <c r="AH39" s="770"/>
      <c r="AI39" s="770"/>
      <c r="AJ39" s="770"/>
      <c r="AK39" s="770"/>
      <c r="AL39" s="770"/>
      <c r="AM39" s="770"/>
      <c r="AN39" s="770"/>
      <c r="AO39" s="770"/>
      <c r="AP39" s="770"/>
      <c r="AQ39" s="770"/>
      <c r="AR39" s="770"/>
      <c r="AS39" s="770"/>
      <c r="AT39" s="770"/>
      <c r="AU39" s="770"/>
      <c r="AV39" s="770"/>
      <c r="AW39" s="1209"/>
      <c r="AX39" s="1209"/>
      <c r="AY39" s="1209"/>
      <c r="AZ39" s="1209"/>
    </row>
    <row r="40" spans="1:52" ht="1.5" customHeight="1">
      <c r="A40" s="770"/>
      <c r="B40" s="1287"/>
      <c r="C40" s="1255"/>
      <c r="D40" s="1255"/>
      <c r="E40" s="1255"/>
      <c r="F40" s="1255"/>
      <c r="G40" s="1255"/>
      <c r="H40" s="1255"/>
      <c r="I40" s="1255"/>
      <c r="J40" s="1255"/>
      <c r="K40" s="1255"/>
      <c r="L40" s="1255"/>
      <c r="M40" s="1288"/>
      <c r="N40" s="770"/>
      <c r="O40" s="770"/>
      <c r="P40" s="770"/>
      <c r="Q40" s="770"/>
      <c r="R40" s="770"/>
      <c r="S40" s="770"/>
      <c r="T40" s="770"/>
      <c r="U40" s="770"/>
      <c r="V40" s="770"/>
      <c r="W40" s="770"/>
      <c r="X40" s="770"/>
      <c r="Y40" s="770"/>
      <c r="Z40" s="770"/>
      <c r="AA40" s="770"/>
      <c r="AB40" s="770"/>
      <c r="AC40" s="770"/>
      <c r="AD40" s="770"/>
      <c r="AE40" s="770"/>
      <c r="AF40" s="770"/>
      <c r="AG40" s="770"/>
      <c r="AH40" s="770"/>
      <c r="AI40" s="770"/>
      <c r="AJ40" s="770"/>
      <c r="AK40" s="770"/>
      <c r="AL40" s="770"/>
      <c r="AM40" s="770"/>
      <c r="AN40" s="770"/>
      <c r="AO40" s="770"/>
      <c r="AP40" s="770"/>
      <c r="AQ40" s="770"/>
      <c r="AR40" s="770"/>
      <c r="AS40" s="770"/>
      <c r="AT40" s="770"/>
      <c r="AU40" s="770"/>
      <c r="AV40" s="770"/>
      <c r="AW40" s="1209"/>
      <c r="AX40" s="1209"/>
      <c r="AY40" s="1209"/>
      <c r="AZ40" s="1209"/>
    </row>
    <row r="41" spans="1:52">
      <c r="A41" s="770"/>
      <c r="B41" s="2214" t="s">
        <v>323</v>
      </c>
      <c r="C41" s="2214"/>
      <c r="D41" s="2214"/>
      <c r="E41" s="2214"/>
      <c r="F41" s="2214"/>
      <c r="G41" s="2214"/>
      <c r="H41" s="2214"/>
      <c r="I41" s="2214"/>
      <c r="J41" s="2214"/>
      <c r="K41" s="2214"/>
      <c r="L41" s="2214"/>
      <c r="M41" s="2214"/>
      <c r="N41" s="770"/>
      <c r="O41" s="770"/>
      <c r="P41" s="770"/>
      <c r="Q41" s="770"/>
      <c r="R41" s="770"/>
      <c r="S41" s="770"/>
      <c r="T41" s="770"/>
      <c r="U41" s="770"/>
      <c r="V41" s="770"/>
      <c r="W41" s="770"/>
      <c r="X41" s="770"/>
      <c r="Y41" s="770"/>
      <c r="Z41" s="770"/>
      <c r="AA41" s="770"/>
      <c r="AB41" s="770"/>
      <c r="AC41" s="770"/>
      <c r="AD41" s="770"/>
      <c r="AE41" s="770"/>
      <c r="AF41" s="770"/>
      <c r="AG41" s="770"/>
      <c r="AH41" s="770"/>
      <c r="AI41" s="770"/>
      <c r="AJ41" s="770"/>
      <c r="AK41" s="770"/>
      <c r="AL41" s="770"/>
      <c r="AM41" s="770"/>
      <c r="AN41" s="770"/>
      <c r="AO41" s="770"/>
      <c r="AP41" s="770"/>
      <c r="AQ41" s="770"/>
      <c r="AR41" s="770"/>
      <c r="AS41" s="770"/>
      <c r="AT41" s="770"/>
      <c r="AU41" s="770"/>
      <c r="AV41" s="770"/>
      <c r="AW41" s="1209"/>
      <c r="AX41" s="1209"/>
      <c r="AY41" s="1209"/>
      <c r="AZ41" s="1209"/>
    </row>
    <row r="42" spans="1:52">
      <c r="A42" s="770"/>
      <c r="B42" s="2235" t="s">
        <v>324</v>
      </c>
      <c r="C42" s="2235"/>
      <c r="D42" s="2235"/>
      <c r="E42" s="2235"/>
      <c r="F42" s="2235"/>
      <c r="G42" s="2235"/>
      <c r="H42" s="2235"/>
      <c r="I42" s="2235"/>
      <c r="J42" s="2235"/>
      <c r="K42" s="2235"/>
      <c r="L42" s="2235"/>
      <c r="M42" s="2235"/>
      <c r="N42" s="770"/>
      <c r="O42" s="770"/>
      <c r="P42" s="770"/>
      <c r="Q42" s="770"/>
      <c r="R42" s="770"/>
      <c r="S42" s="770"/>
      <c r="T42" s="770"/>
      <c r="U42" s="770"/>
      <c r="V42" s="770"/>
      <c r="W42" s="770"/>
      <c r="X42" s="770"/>
      <c r="Y42" s="770"/>
      <c r="Z42" s="770"/>
      <c r="AA42" s="770"/>
      <c r="AB42" s="770"/>
      <c r="AC42" s="770"/>
      <c r="AD42" s="770"/>
      <c r="AE42" s="770"/>
      <c r="AF42" s="770"/>
      <c r="AG42" s="770"/>
      <c r="AH42" s="770"/>
      <c r="AI42" s="770"/>
      <c r="AJ42" s="770"/>
      <c r="AK42" s="770"/>
      <c r="AL42" s="770"/>
      <c r="AM42" s="770"/>
      <c r="AN42" s="770"/>
      <c r="AO42" s="770"/>
      <c r="AP42" s="770"/>
      <c r="AQ42" s="770"/>
      <c r="AR42" s="770"/>
      <c r="AS42" s="770"/>
      <c r="AT42" s="770"/>
      <c r="AU42" s="770"/>
      <c r="AV42" s="770"/>
      <c r="AW42" s="1209"/>
      <c r="AX42" s="1209"/>
      <c r="AY42" s="1209"/>
      <c r="AZ42" s="1209"/>
    </row>
    <row r="43" spans="1:52" ht="4.5" customHeight="1">
      <c r="A43" s="770"/>
      <c r="B43" s="1287"/>
      <c r="C43" s="1255"/>
      <c r="D43" s="1255"/>
      <c r="E43" s="1255"/>
      <c r="F43" s="1255"/>
      <c r="G43" s="1255"/>
      <c r="H43" s="1255"/>
      <c r="I43" s="1255"/>
      <c r="J43" s="1255"/>
      <c r="K43" s="1255"/>
      <c r="L43" s="1255"/>
      <c r="M43" s="1288"/>
      <c r="N43" s="770"/>
      <c r="O43" s="770"/>
      <c r="P43" s="770"/>
      <c r="Q43" s="770"/>
      <c r="R43" s="770"/>
      <c r="S43" s="770"/>
      <c r="T43" s="770"/>
      <c r="U43" s="770"/>
      <c r="V43" s="770"/>
      <c r="W43" s="770"/>
      <c r="X43" s="770"/>
      <c r="Y43" s="770"/>
      <c r="Z43" s="770"/>
      <c r="AA43" s="770"/>
      <c r="AB43" s="770"/>
      <c r="AC43" s="770"/>
      <c r="AD43" s="770"/>
      <c r="AE43" s="770"/>
      <c r="AF43" s="770"/>
      <c r="AG43" s="770"/>
      <c r="AH43" s="770"/>
      <c r="AI43" s="770"/>
      <c r="AJ43" s="770"/>
      <c r="AK43" s="770"/>
      <c r="AL43" s="770"/>
      <c r="AM43" s="770"/>
      <c r="AN43" s="770"/>
      <c r="AO43" s="770"/>
      <c r="AP43" s="770"/>
      <c r="AQ43" s="770"/>
      <c r="AR43" s="770"/>
      <c r="AS43" s="770"/>
      <c r="AT43" s="770"/>
      <c r="AU43" s="770"/>
      <c r="AV43" s="770"/>
      <c r="AW43" s="1209"/>
      <c r="AX43" s="1209"/>
      <c r="AY43" s="1209"/>
      <c r="AZ43" s="1209"/>
    </row>
    <row r="44" spans="1:52">
      <c r="A44" s="770"/>
      <c r="B44" s="1289" t="s">
        <v>325</v>
      </c>
      <c r="C44" s="2227" t="s">
        <v>326</v>
      </c>
      <c r="D44" s="2228"/>
      <c r="E44" s="1290" t="s">
        <v>327</v>
      </c>
      <c r="F44" s="1291" t="s">
        <v>328</v>
      </c>
      <c r="G44" s="1290" t="s">
        <v>329</v>
      </c>
      <c r="H44" s="1292" t="s">
        <v>330</v>
      </c>
      <c r="I44" s="2227" t="s">
        <v>331</v>
      </c>
      <c r="J44" s="2228"/>
      <c r="K44" s="1291" t="s">
        <v>332</v>
      </c>
      <c r="L44" s="2233" t="s">
        <v>333</v>
      </c>
      <c r="M44" s="2234"/>
      <c r="N44" s="770"/>
      <c r="O44" s="770"/>
      <c r="P44" s="770"/>
      <c r="Q44" s="770"/>
      <c r="R44" s="770"/>
      <c r="S44" s="770"/>
      <c r="T44" s="770"/>
      <c r="U44" s="770"/>
      <c r="V44" s="770"/>
      <c r="W44" s="770"/>
      <c r="X44" s="770"/>
      <c r="Y44" s="770"/>
      <c r="Z44" s="770"/>
      <c r="AA44" s="770"/>
      <c r="AB44" s="770"/>
      <c r="AC44" s="770"/>
      <c r="AD44" s="770"/>
      <c r="AE44" s="770"/>
      <c r="AF44" s="770"/>
      <c r="AG44" s="770"/>
      <c r="AH44" s="770"/>
      <c r="AI44" s="770"/>
      <c r="AJ44" s="770"/>
      <c r="AK44" s="770"/>
      <c r="AL44" s="770"/>
      <c r="AM44" s="770"/>
      <c r="AN44" s="770"/>
      <c r="AO44" s="770"/>
      <c r="AP44" s="770"/>
      <c r="AQ44" s="770"/>
      <c r="AR44" s="770"/>
      <c r="AS44" s="770"/>
      <c r="AT44" s="770"/>
      <c r="AU44" s="770"/>
      <c r="AV44" s="770"/>
      <c r="AW44" s="1209"/>
      <c r="AX44" s="1209"/>
      <c r="AY44" s="1209"/>
      <c r="AZ44" s="1209"/>
    </row>
    <row r="45" spans="1:52">
      <c r="A45" s="770"/>
      <c r="B45" s="1293" t="s">
        <v>334</v>
      </c>
      <c r="C45" s="2236" t="s">
        <v>264</v>
      </c>
      <c r="D45" s="2237"/>
      <c r="E45" s="1294" t="s">
        <v>264</v>
      </c>
      <c r="F45" s="1295" t="s">
        <v>335</v>
      </c>
      <c r="G45" s="1294" t="s">
        <v>336</v>
      </c>
      <c r="H45" s="1296" t="s">
        <v>337</v>
      </c>
      <c r="I45" s="2236" t="s">
        <v>338</v>
      </c>
      <c r="J45" s="2237"/>
      <c r="K45" s="1295" t="s">
        <v>339</v>
      </c>
      <c r="L45" s="2238" t="s">
        <v>340</v>
      </c>
      <c r="M45" s="2239"/>
      <c r="N45" s="770"/>
      <c r="O45" s="770"/>
      <c r="P45" s="770"/>
      <c r="Q45" s="770"/>
      <c r="R45" s="770"/>
      <c r="S45" s="770"/>
      <c r="T45" s="770"/>
      <c r="U45" s="770"/>
      <c r="V45" s="770"/>
      <c r="W45" s="770"/>
      <c r="X45" s="770"/>
      <c r="Y45" s="770"/>
      <c r="Z45" s="770"/>
      <c r="AA45" s="770"/>
      <c r="AB45" s="770"/>
      <c r="AC45" s="770"/>
      <c r="AD45" s="770"/>
      <c r="AE45" s="770"/>
      <c r="AF45" s="770"/>
      <c r="AG45" s="770"/>
      <c r="AH45" s="770"/>
      <c r="AI45" s="770"/>
      <c r="AJ45" s="770"/>
      <c r="AK45" s="770"/>
      <c r="AL45" s="770"/>
      <c r="AM45" s="770"/>
      <c r="AN45" s="770"/>
      <c r="AO45" s="770"/>
      <c r="AP45" s="770"/>
      <c r="AQ45" s="770"/>
      <c r="AR45" s="770"/>
      <c r="AS45" s="770"/>
      <c r="AT45" s="770"/>
      <c r="AU45" s="770"/>
      <c r="AV45" s="770"/>
      <c r="AW45" s="1209"/>
      <c r="AX45" s="1209"/>
      <c r="AY45" s="1209"/>
      <c r="AZ45" s="1209"/>
    </row>
    <row r="46" spans="1:52">
      <c r="A46" s="770"/>
      <c r="B46" s="1297"/>
      <c r="C46" s="2231"/>
      <c r="D46" s="2232"/>
      <c r="E46" s="1298"/>
      <c r="F46" s="1299" t="s">
        <v>264</v>
      </c>
      <c r="G46" s="1298" t="s">
        <v>264</v>
      </c>
      <c r="H46" s="1300"/>
      <c r="I46" s="2231" t="s">
        <v>341</v>
      </c>
      <c r="J46" s="2232"/>
      <c r="K46" s="1299" t="s">
        <v>336</v>
      </c>
      <c r="L46" s="2217" t="s">
        <v>342</v>
      </c>
      <c r="M46" s="2218"/>
      <c r="N46" s="770"/>
      <c r="O46" s="770"/>
      <c r="P46" s="770"/>
      <c r="Q46" s="770"/>
      <c r="R46" s="770"/>
      <c r="S46" s="770"/>
      <c r="T46" s="770"/>
      <c r="U46" s="770"/>
      <c r="V46" s="770"/>
      <c r="W46" s="770"/>
      <c r="X46" s="770"/>
      <c r="Y46" s="770"/>
      <c r="Z46" s="770"/>
      <c r="AA46" s="770"/>
      <c r="AB46" s="770"/>
      <c r="AC46" s="770"/>
      <c r="AD46" s="770"/>
      <c r="AE46" s="770"/>
      <c r="AF46" s="770"/>
      <c r="AG46" s="770"/>
      <c r="AH46" s="770"/>
      <c r="AI46" s="770"/>
      <c r="AJ46" s="770"/>
      <c r="AK46" s="770"/>
      <c r="AL46" s="770"/>
      <c r="AM46" s="770"/>
      <c r="AN46" s="770"/>
      <c r="AO46" s="770"/>
      <c r="AP46" s="770"/>
      <c r="AQ46" s="770"/>
      <c r="AR46" s="770"/>
      <c r="AS46" s="770"/>
      <c r="AT46" s="770"/>
      <c r="AU46" s="770"/>
      <c r="AV46" s="770"/>
      <c r="AW46" s="1209"/>
      <c r="AX46" s="1209"/>
      <c r="AY46" s="1209"/>
      <c r="AZ46" s="1209"/>
    </row>
    <row r="47" spans="1:52" ht="12.95" customHeight="1">
      <c r="A47" s="770"/>
      <c r="B47" s="1301">
        <v>1</v>
      </c>
      <c r="C47" s="2215"/>
      <c r="D47" s="2215"/>
      <c r="E47" s="1302"/>
      <c r="F47" s="1302"/>
      <c r="G47" s="1302"/>
      <c r="H47" s="1302"/>
      <c r="I47" s="2220"/>
      <c r="J47" s="2221"/>
      <c r="K47" s="1302"/>
      <c r="L47" s="2215"/>
      <c r="M47" s="2216"/>
      <c r="N47" s="770"/>
      <c r="O47" s="770"/>
      <c r="P47" s="770"/>
      <c r="Q47" s="770"/>
      <c r="R47" s="770"/>
      <c r="S47" s="770"/>
      <c r="T47" s="770"/>
      <c r="U47" s="770"/>
      <c r="V47" s="770"/>
      <c r="W47" s="770"/>
      <c r="X47" s="770"/>
      <c r="Y47" s="770"/>
      <c r="Z47" s="770"/>
      <c r="AA47" s="770"/>
      <c r="AB47" s="770"/>
      <c r="AC47" s="770"/>
      <c r="AD47" s="770"/>
      <c r="AE47" s="770"/>
      <c r="AF47" s="770"/>
      <c r="AG47" s="770"/>
      <c r="AH47" s="770"/>
      <c r="AI47" s="770"/>
      <c r="AJ47" s="770"/>
      <c r="AK47" s="770"/>
      <c r="AL47" s="770"/>
      <c r="AM47" s="770"/>
      <c r="AN47" s="770"/>
      <c r="AO47" s="770"/>
      <c r="AP47" s="770"/>
      <c r="AQ47" s="770"/>
      <c r="AR47" s="770"/>
      <c r="AS47" s="770"/>
      <c r="AT47" s="770"/>
      <c r="AU47" s="770"/>
      <c r="AV47" s="770"/>
      <c r="AW47" s="1209"/>
      <c r="AX47" s="1209"/>
      <c r="AY47" s="1209"/>
      <c r="AZ47" s="1209"/>
    </row>
    <row r="48" spans="1:52" ht="12.95" customHeight="1">
      <c r="A48" s="770"/>
      <c r="B48" s="1301">
        <v>2</v>
      </c>
      <c r="C48" s="2215"/>
      <c r="D48" s="2215"/>
      <c r="E48" s="1302"/>
      <c r="F48" s="1302"/>
      <c r="G48" s="1302"/>
      <c r="H48" s="1302"/>
      <c r="I48" s="2220"/>
      <c r="J48" s="2221"/>
      <c r="K48" s="1302"/>
      <c r="L48" s="2215"/>
      <c r="M48" s="2216"/>
      <c r="N48" s="770"/>
      <c r="O48" s="770"/>
      <c r="P48" s="770"/>
      <c r="Q48" s="770"/>
      <c r="R48" s="770"/>
      <c r="S48" s="770"/>
      <c r="T48" s="770"/>
      <c r="U48" s="770"/>
      <c r="V48" s="770"/>
      <c r="W48" s="770"/>
      <c r="X48" s="770"/>
      <c r="Y48" s="770"/>
      <c r="Z48" s="770"/>
      <c r="AA48" s="770"/>
      <c r="AB48" s="770"/>
      <c r="AC48" s="770"/>
      <c r="AD48" s="770"/>
      <c r="AE48" s="770"/>
      <c r="AF48" s="770"/>
      <c r="AG48" s="770"/>
      <c r="AH48" s="770"/>
      <c r="AI48" s="770"/>
      <c r="AJ48" s="770"/>
      <c r="AK48" s="770"/>
      <c r="AL48" s="770"/>
      <c r="AM48" s="770"/>
      <c r="AN48" s="770"/>
      <c r="AO48" s="770"/>
      <c r="AP48" s="770"/>
      <c r="AQ48" s="770"/>
      <c r="AR48" s="770"/>
      <c r="AS48" s="770"/>
      <c r="AT48" s="770"/>
      <c r="AU48" s="770"/>
      <c r="AV48" s="770"/>
      <c r="AW48" s="1209"/>
      <c r="AX48" s="1209"/>
      <c r="AY48" s="1209"/>
      <c r="AZ48" s="1209"/>
    </row>
    <row r="49" spans="1:52" ht="12.95" customHeight="1">
      <c r="A49" s="770"/>
      <c r="B49" s="1301">
        <v>3</v>
      </c>
      <c r="C49" s="2215"/>
      <c r="D49" s="2215"/>
      <c r="E49" s="1302"/>
      <c r="F49" s="1302"/>
      <c r="G49" s="1302"/>
      <c r="H49" s="1302"/>
      <c r="I49" s="2220"/>
      <c r="J49" s="2221"/>
      <c r="K49" s="1302"/>
      <c r="L49" s="2215"/>
      <c r="M49" s="2216"/>
      <c r="N49" s="770"/>
      <c r="O49" s="770"/>
      <c r="P49" s="770"/>
      <c r="Q49" s="770"/>
      <c r="R49" s="770"/>
      <c r="S49" s="770"/>
      <c r="T49" s="770"/>
      <c r="U49" s="770"/>
      <c r="V49" s="770"/>
      <c r="W49" s="770"/>
      <c r="X49" s="770"/>
      <c r="Y49" s="770"/>
      <c r="Z49" s="770"/>
      <c r="AA49" s="770"/>
      <c r="AB49" s="770"/>
      <c r="AC49" s="770"/>
      <c r="AD49" s="770"/>
      <c r="AE49" s="770"/>
      <c r="AF49" s="770"/>
      <c r="AG49" s="770"/>
      <c r="AH49" s="770"/>
      <c r="AI49" s="770"/>
      <c r="AJ49" s="770"/>
      <c r="AK49" s="770"/>
      <c r="AL49" s="770"/>
      <c r="AM49" s="770"/>
      <c r="AN49" s="770"/>
      <c r="AO49" s="770"/>
      <c r="AP49" s="770"/>
      <c r="AQ49" s="770"/>
      <c r="AR49" s="770"/>
      <c r="AS49" s="770"/>
      <c r="AT49" s="770"/>
      <c r="AU49" s="770"/>
      <c r="AV49" s="770"/>
      <c r="AW49" s="1209"/>
      <c r="AX49" s="1209"/>
      <c r="AY49" s="1209"/>
      <c r="AZ49" s="1209"/>
    </row>
    <row r="50" spans="1:52" ht="12.95" customHeight="1">
      <c r="A50" s="770"/>
      <c r="B50" s="1301">
        <v>4</v>
      </c>
      <c r="C50" s="2215"/>
      <c r="D50" s="2215"/>
      <c r="E50" s="1302"/>
      <c r="F50" s="1302"/>
      <c r="G50" s="1302"/>
      <c r="H50" s="1302"/>
      <c r="I50" s="2220"/>
      <c r="J50" s="2221"/>
      <c r="K50" s="1302"/>
      <c r="L50" s="2215"/>
      <c r="M50" s="2216"/>
      <c r="N50" s="770"/>
      <c r="O50" s="770"/>
      <c r="P50" s="770"/>
      <c r="Q50" s="770"/>
      <c r="R50" s="770"/>
      <c r="S50" s="770"/>
      <c r="T50" s="770"/>
      <c r="U50" s="770"/>
      <c r="V50" s="770"/>
      <c r="W50" s="770"/>
      <c r="X50" s="770"/>
      <c r="Y50" s="770"/>
      <c r="Z50" s="770"/>
      <c r="AA50" s="770"/>
      <c r="AB50" s="770"/>
      <c r="AC50" s="770"/>
      <c r="AD50" s="770"/>
      <c r="AE50" s="770"/>
      <c r="AF50" s="770"/>
      <c r="AG50" s="770"/>
      <c r="AH50" s="770"/>
      <c r="AI50" s="770"/>
      <c r="AJ50" s="770"/>
      <c r="AK50" s="770"/>
      <c r="AL50" s="770"/>
      <c r="AM50" s="770"/>
      <c r="AN50" s="770"/>
      <c r="AO50" s="770"/>
      <c r="AP50" s="770"/>
      <c r="AQ50" s="770"/>
      <c r="AR50" s="770"/>
      <c r="AS50" s="770"/>
      <c r="AT50" s="770"/>
      <c r="AU50" s="770"/>
      <c r="AV50" s="770"/>
      <c r="AW50" s="1209"/>
      <c r="AX50" s="1209"/>
      <c r="AY50" s="1209"/>
      <c r="AZ50" s="1209"/>
    </row>
    <row r="51" spans="1:52" ht="12.95" customHeight="1">
      <c r="A51" s="770"/>
      <c r="B51" s="1301">
        <v>5</v>
      </c>
      <c r="C51" s="2215"/>
      <c r="D51" s="2215"/>
      <c r="E51" s="1302"/>
      <c r="F51" s="1302"/>
      <c r="G51" s="1302"/>
      <c r="H51" s="1302"/>
      <c r="I51" s="2220"/>
      <c r="J51" s="2221"/>
      <c r="K51" s="1302"/>
      <c r="L51" s="2215"/>
      <c r="M51" s="2216"/>
      <c r="N51" s="770"/>
      <c r="O51" s="770"/>
      <c r="P51" s="770"/>
      <c r="Q51" s="770"/>
      <c r="R51" s="770"/>
      <c r="S51" s="770"/>
      <c r="T51" s="770"/>
      <c r="U51" s="770"/>
      <c r="V51" s="770"/>
      <c r="W51" s="770"/>
      <c r="X51" s="770"/>
      <c r="Y51" s="770"/>
      <c r="Z51" s="770"/>
      <c r="AA51" s="770"/>
      <c r="AB51" s="770"/>
      <c r="AC51" s="770"/>
      <c r="AD51" s="770"/>
      <c r="AE51" s="770"/>
      <c r="AF51" s="770"/>
      <c r="AG51" s="770"/>
      <c r="AH51" s="770"/>
      <c r="AI51" s="770"/>
      <c r="AJ51" s="770"/>
      <c r="AK51" s="770"/>
      <c r="AL51" s="770"/>
      <c r="AM51" s="770"/>
      <c r="AN51" s="770"/>
      <c r="AO51" s="770"/>
      <c r="AP51" s="770"/>
      <c r="AQ51" s="770"/>
      <c r="AR51" s="770"/>
      <c r="AS51" s="770"/>
      <c r="AT51" s="770"/>
      <c r="AU51" s="770"/>
      <c r="AV51" s="770"/>
      <c r="AW51" s="1209"/>
      <c r="AX51" s="1209"/>
      <c r="AY51" s="1209"/>
      <c r="AZ51" s="1209"/>
    </row>
    <row r="52" spans="1:52" ht="12.95" customHeight="1">
      <c r="A52" s="770"/>
      <c r="B52" s="1301">
        <v>6</v>
      </c>
      <c r="C52" s="2215"/>
      <c r="D52" s="2215"/>
      <c r="E52" s="1302"/>
      <c r="F52" s="1302"/>
      <c r="G52" s="1302"/>
      <c r="H52" s="1302"/>
      <c r="I52" s="2220"/>
      <c r="J52" s="2221"/>
      <c r="K52" s="1302"/>
      <c r="L52" s="2215"/>
      <c r="M52" s="2216"/>
      <c r="N52" s="770"/>
      <c r="O52" s="770"/>
      <c r="P52" s="770"/>
      <c r="Q52" s="770"/>
      <c r="R52" s="770"/>
      <c r="S52" s="770"/>
      <c r="T52" s="770"/>
      <c r="U52" s="770"/>
      <c r="V52" s="770"/>
      <c r="W52" s="770"/>
      <c r="X52" s="770"/>
      <c r="Y52" s="770"/>
      <c r="Z52" s="770"/>
      <c r="AA52" s="770"/>
      <c r="AB52" s="770"/>
      <c r="AC52" s="770"/>
      <c r="AD52" s="770"/>
      <c r="AE52" s="770"/>
      <c r="AF52" s="770"/>
      <c r="AG52" s="770"/>
      <c r="AH52" s="770"/>
      <c r="AI52" s="770"/>
      <c r="AJ52" s="770"/>
      <c r="AK52" s="770"/>
      <c r="AL52" s="770"/>
      <c r="AM52" s="770"/>
      <c r="AN52" s="770"/>
      <c r="AO52" s="770"/>
      <c r="AP52" s="770"/>
      <c r="AQ52" s="770"/>
      <c r="AR52" s="770"/>
      <c r="AS52" s="770"/>
      <c r="AT52" s="770"/>
      <c r="AU52" s="770"/>
      <c r="AV52" s="770"/>
      <c r="AW52" s="1209"/>
      <c r="AX52" s="1209"/>
      <c r="AY52" s="1209"/>
      <c r="AZ52" s="1209"/>
    </row>
    <row r="53" spans="1:52" ht="12.95" customHeight="1">
      <c r="A53" s="770"/>
      <c r="B53" s="1301">
        <v>7</v>
      </c>
      <c r="C53" s="2215"/>
      <c r="D53" s="2215"/>
      <c r="E53" s="1302"/>
      <c r="F53" s="1302"/>
      <c r="G53" s="1302"/>
      <c r="H53" s="1302"/>
      <c r="I53" s="2220"/>
      <c r="J53" s="2221"/>
      <c r="K53" s="1302"/>
      <c r="L53" s="2215"/>
      <c r="M53" s="2216"/>
      <c r="N53" s="770"/>
      <c r="O53" s="770"/>
      <c r="P53" s="770"/>
      <c r="Q53" s="770"/>
      <c r="R53" s="770"/>
      <c r="S53" s="770"/>
      <c r="T53" s="770"/>
      <c r="U53" s="770"/>
      <c r="V53" s="770"/>
      <c r="W53" s="770"/>
      <c r="X53" s="770"/>
      <c r="Y53" s="770"/>
      <c r="Z53" s="770"/>
      <c r="AA53" s="770"/>
      <c r="AB53" s="770"/>
      <c r="AC53" s="770"/>
      <c r="AD53" s="770"/>
      <c r="AE53" s="770"/>
      <c r="AF53" s="770"/>
      <c r="AG53" s="770"/>
      <c r="AH53" s="770"/>
      <c r="AI53" s="770"/>
      <c r="AJ53" s="770"/>
      <c r="AK53" s="770"/>
      <c r="AL53" s="770"/>
      <c r="AM53" s="770"/>
      <c r="AN53" s="770"/>
      <c r="AO53" s="770"/>
      <c r="AP53" s="770"/>
      <c r="AQ53" s="770"/>
      <c r="AR53" s="770"/>
      <c r="AS53" s="770"/>
      <c r="AT53" s="770"/>
      <c r="AU53" s="770"/>
      <c r="AV53" s="770"/>
      <c r="AW53" s="1209"/>
      <c r="AX53" s="1209"/>
      <c r="AY53" s="1209"/>
      <c r="AZ53" s="1209"/>
    </row>
    <row r="54" spans="1:52" ht="12.95" customHeight="1">
      <c r="A54" s="770"/>
      <c r="B54" s="1301">
        <v>8</v>
      </c>
      <c r="C54" s="2215"/>
      <c r="D54" s="2215"/>
      <c r="E54" s="1302"/>
      <c r="F54" s="1302"/>
      <c r="G54" s="1302"/>
      <c r="H54" s="1302"/>
      <c r="I54" s="2220"/>
      <c r="J54" s="2221"/>
      <c r="K54" s="1302"/>
      <c r="L54" s="2215"/>
      <c r="M54" s="2216"/>
      <c r="N54" s="770"/>
      <c r="O54" s="770"/>
      <c r="P54" s="770"/>
      <c r="Q54" s="770"/>
      <c r="R54" s="770"/>
      <c r="S54" s="770"/>
      <c r="T54" s="770"/>
      <c r="U54" s="770"/>
      <c r="V54" s="770"/>
      <c r="W54" s="770"/>
      <c r="X54" s="770"/>
      <c r="Y54" s="770"/>
      <c r="Z54" s="770"/>
      <c r="AA54" s="770"/>
      <c r="AB54" s="770"/>
      <c r="AC54" s="770"/>
      <c r="AD54" s="770"/>
      <c r="AE54" s="770"/>
      <c r="AF54" s="770"/>
      <c r="AG54" s="770"/>
      <c r="AH54" s="770"/>
      <c r="AI54" s="770"/>
      <c r="AJ54" s="770"/>
      <c r="AK54" s="770"/>
      <c r="AL54" s="770"/>
      <c r="AM54" s="770"/>
      <c r="AN54" s="770"/>
      <c r="AO54" s="770"/>
      <c r="AP54" s="770"/>
      <c r="AQ54" s="770"/>
      <c r="AR54" s="770"/>
      <c r="AS54" s="770"/>
      <c r="AT54" s="770"/>
      <c r="AU54" s="770"/>
      <c r="AV54" s="770"/>
      <c r="AW54" s="1209"/>
      <c r="AX54" s="1209"/>
      <c r="AY54" s="1209"/>
      <c r="AZ54" s="1209"/>
    </row>
    <row r="55" spans="1:52" ht="12.95" customHeight="1">
      <c r="A55" s="770"/>
      <c r="B55" s="1301">
        <v>9</v>
      </c>
      <c r="C55" s="2215"/>
      <c r="D55" s="2215"/>
      <c r="E55" s="1302"/>
      <c r="F55" s="1302"/>
      <c r="G55" s="1302"/>
      <c r="H55" s="1302"/>
      <c r="I55" s="2220"/>
      <c r="J55" s="2221"/>
      <c r="K55" s="1302"/>
      <c r="L55" s="2215"/>
      <c r="M55" s="2216"/>
      <c r="N55" s="770"/>
      <c r="O55" s="1303"/>
      <c r="P55" s="770"/>
      <c r="Q55" s="770"/>
      <c r="R55" s="770"/>
      <c r="S55" s="770"/>
      <c r="T55" s="770"/>
      <c r="U55" s="770"/>
      <c r="V55" s="770"/>
      <c r="W55" s="770"/>
      <c r="X55" s="770"/>
      <c r="Y55" s="770"/>
      <c r="Z55" s="770"/>
      <c r="AA55" s="770"/>
      <c r="AB55" s="770"/>
      <c r="AC55" s="770"/>
      <c r="AD55" s="770"/>
      <c r="AE55" s="770"/>
      <c r="AF55" s="770"/>
      <c r="AG55" s="770"/>
      <c r="AH55" s="770"/>
      <c r="AI55" s="770"/>
      <c r="AJ55" s="770"/>
      <c r="AK55" s="770"/>
      <c r="AL55" s="770"/>
      <c r="AM55" s="770"/>
      <c r="AN55" s="770"/>
      <c r="AO55" s="770"/>
      <c r="AP55" s="770"/>
      <c r="AQ55" s="770"/>
      <c r="AR55" s="770"/>
      <c r="AS55" s="770"/>
      <c r="AT55" s="770"/>
      <c r="AU55" s="770"/>
      <c r="AV55" s="770"/>
      <c r="AW55" s="1209"/>
      <c r="AX55" s="1209"/>
      <c r="AY55" s="1209"/>
      <c r="AZ55" s="1209"/>
    </row>
    <row r="56" spans="1:52" ht="12.95" customHeight="1">
      <c r="A56" s="770"/>
      <c r="B56" s="1301">
        <v>10</v>
      </c>
      <c r="C56" s="2215"/>
      <c r="D56" s="2215"/>
      <c r="E56" s="1302"/>
      <c r="F56" s="1302"/>
      <c r="G56" s="1302"/>
      <c r="H56" s="1302"/>
      <c r="I56" s="2220"/>
      <c r="J56" s="2221"/>
      <c r="K56" s="1302"/>
      <c r="L56" s="2215"/>
      <c r="M56" s="2216"/>
      <c r="N56" s="770"/>
      <c r="O56" s="770"/>
      <c r="P56" s="770"/>
      <c r="Q56" s="770"/>
      <c r="R56" s="770"/>
      <c r="S56" s="770"/>
      <c r="T56" s="770"/>
      <c r="U56" s="770"/>
      <c r="V56" s="770"/>
      <c r="W56" s="770"/>
      <c r="X56" s="770"/>
      <c r="Y56" s="770"/>
      <c r="Z56" s="770"/>
      <c r="AA56" s="770"/>
      <c r="AB56" s="770"/>
      <c r="AC56" s="770"/>
      <c r="AD56" s="770"/>
      <c r="AE56" s="770"/>
      <c r="AF56" s="770"/>
      <c r="AG56" s="770"/>
      <c r="AH56" s="770"/>
      <c r="AI56" s="770"/>
      <c r="AJ56" s="770"/>
      <c r="AK56" s="770"/>
      <c r="AL56" s="770"/>
      <c r="AM56" s="770"/>
      <c r="AN56" s="770"/>
      <c r="AO56" s="770"/>
      <c r="AP56" s="770"/>
      <c r="AQ56" s="770"/>
      <c r="AR56" s="770"/>
      <c r="AS56" s="770"/>
      <c r="AT56" s="770"/>
      <c r="AU56" s="770"/>
      <c r="AV56" s="770"/>
      <c r="AW56" s="1209"/>
      <c r="AX56" s="1209"/>
      <c r="AY56" s="1209"/>
      <c r="AZ56" s="1209"/>
    </row>
    <row r="57" spans="1:52" ht="12.95" customHeight="1">
      <c r="A57" s="770"/>
      <c r="B57" s="1301">
        <v>11</v>
      </c>
      <c r="C57" s="2215"/>
      <c r="D57" s="2215"/>
      <c r="E57" s="1302"/>
      <c r="F57" s="1302"/>
      <c r="G57" s="1302"/>
      <c r="H57" s="1302"/>
      <c r="I57" s="2220"/>
      <c r="J57" s="2221"/>
      <c r="K57" s="1302"/>
      <c r="L57" s="2215"/>
      <c r="M57" s="2216"/>
      <c r="N57" s="770"/>
      <c r="O57" s="770"/>
      <c r="P57" s="770"/>
      <c r="Q57" s="770"/>
      <c r="R57" s="770"/>
      <c r="S57" s="770"/>
      <c r="T57" s="770"/>
      <c r="U57" s="770"/>
      <c r="V57" s="770"/>
      <c r="W57" s="770"/>
      <c r="X57" s="770"/>
      <c r="Y57" s="770"/>
      <c r="Z57" s="770"/>
      <c r="AA57" s="770"/>
      <c r="AB57" s="770"/>
      <c r="AC57" s="770"/>
      <c r="AD57" s="770"/>
      <c r="AE57" s="770"/>
      <c r="AF57" s="770"/>
      <c r="AG57" s="770"/>
      <c r="AH57" s="770"/>
      <c r="AI57" s="770"/>
      <c r="AJ57" s="770"/>
      <c r="AK57" s="770"/>
      <c r="AL57" s="770"/>
      <c r="AM57" s="770"/>
      <c r="AN57" s="770"/>
      <c r="AO57" s="770"/>
      <c r="AP57" s="770"/>
      <c r="AQ57" s="770"/>
      <c r="AR57" s="770"/>
      <c r="AS57" s="770"/>
      <c r="AT57" s="770"/>
      <c r="AU57" s="770"/>
      <c r="AV57" s="770"/>
      <c r="AW57" s="1209"/>
      <c r="AX57" s="1209"/>
      <c r="AY57" s="1209"/>
      <c r="AZ57" s="1209"/>
    </row>
    <row r="58" spans="1:52" ht="12.95" customHeight="1">
      <c r="A58" s="770"/>
      <c r="B58" s="1301">
        <v>12</v>
      </c>
      <c r="C58" s="2215"/>
      <c r="D58" s="2215"/>
      <c r="E58" s="1302"/>
      <c r="F58" s="1302"/>
      <c r="G58" s="1302"/>
      <c r="H58" s="1302"/>
      <c r="I58" s="2220"/>
      <c r="J58" s="2221"/>
      <c r="K58" s="1302"/>
      <c r="L58" s="2215"/>
      <c r="M58" s="2216"/>
      <c r="N58" s="770"/>
      <c r="O58" s="770"/>
      <c r="P58" s="770"/>
      <c r="Q58" s="770"/>
      <c r="R58" s="770"/>
      <c r="S58" s="770"/>
      <c r="T58" s="770"/>
      <c r="U58" s="770"/>
      <c r="V58" s="770"/>
      <c r="W58" s="770"/>
      <c r="X58" s="770"/>
      <c r="Y58" s="770"/>
      <c r="Z58" s="770"/>
      <c r="AA58" s="770"/>
      <c r="AB58" s="770"/>
      <c r="AC58" s="770"/>
      <c r="AD58" s="770"/>
      <c r="AE58" s="770"/>
      <c r="AF58" s="770"/>
      <c r="AG58" s="770"/>
      <c r="AH58" s="770"/>
      <c r="AI58" s="770"/>
      <c r="AJ58" s="770"/>
      <c r="AK58" s="770"/>
      <c r="AL58" s="770"/>
      <c r="AM58" s="770"/>
      <c r="AN58" s="770"/>
      <c r="AO58" s="770"/>
      <c r="AP58" s="770"/>
      <c r="AQ58" s="770"/>
      <c r="AR58" s="770"/>
      <c r="AS58" s="770"/>
      <c r="AT58" s="770"/>
      <c r="AU58" s="770"/>
      <c r="AV58" s="770"/>
      <c r="AW58" s="1209"/>
      <c r="AX58" s="1209"/>
      <c r="AY58" s="1209"/>
      <c r="AZ58" s="1209"/>
    </row>
    <row r="59" spans="1:52" ht="7.5" customHeight="1">
      <c r="A59" s="770"/>
      <c r="B59" s="1287"/>
      <c r="C59" s="1255"/>
      <c r="D59" s="1255"/>
      <c r="E59" s="1255"/>
      <c r="F59" s="1255"/>
      <c r="G59" s="1255"/>
      <c r="H59" s="1290"/>
      <c r="I59" s="1294"/>
      <c r="J59" s="1255"/>
      <c r="K59" s="1255"/>
      <c r="L59" s="1255"/>
      <c r="M59" s="1288"/>
      <c r="N59" s="770"/>
      <c r="O59" s="770"/>
      <c r="P59" s="770"/>
      <c r="Q59" s="770"/>
      <c r="R59" s="770"/>
      <c r="S59" s="770"/>
      <c r="T59" s="770"/>
      <c r="U59" s="770"/>
      <c r="V59" s="770"/>
      <c r="W59" s="770"/>
      <c r="X59" s="770"/>
      <c r="Y59" s="770"/>
      <c r="Z59" s="770"/>
      <c r="AA59" s="770"/>
      <c r="AB59" s="770"/>
      <c r="AC59" s="770"/>
      <c r="AD59" s="770"/>
      <c r="AE59" s="770"/>
      <c r="AF59" s="770"/>
      <c r="AG59" s="770"/>
      <c r="AH59" s="770"/>
      <c r="AI59" s="770"/>
      <c r="AJ59" s="770"/>
      <c r="AK59" s="770"/>
      <c r="AL59" s="770"/>
      <c r="AM59" s="770"/>
      <c r="AN59" s="770"/>
      <c r="AO59" s="770"/>
      <c r="AP59" s="770"/>
      <c r="AQ59" s="770"/>
      <c r="AR59" s="770"/>
      <c r="AS59" s="770"/>
      <c r="AT59" s="770"/>
      <c r="AU59" s="770"/>
      <c r="AV59" s="770"/>
      <c r="AW59" s="1209"/>
      <c r="AX59" s="1209"/>
      <c r="AY59" s="1209"/>
      <c r="AZ59" s="1209"/>
    </row>
    <row r="60" spans="1:52" ht="15.95" customHeight="1">
      <c r="A60" s="770"/>
      <c r="B60" s="1287"/>
      <c r="C60" s="1255"/>
      <c r="D60" s="1255"/>
      <c r="E60" s="1255"/>
      <c r="F60" s="1255"/>
      <c r="G60" s="1255"/>
      <c r="H60" s="1304"/>
      <c r="I60" s="1304"/>
      <c r="J60" s="1255"/>
      <c r="K60" s="1255"/>
      <c r="L60" s="1255"/>
      <c r="M60" s="1288"/>
      <c r="N60" s="770"/>
      <c r="O60" s="770"/>
      <c r="P60" s="770"/>
      <c r="Q60" s="770"/>
      <c r="R60" s="770"/>
      <c r="S60" s="770"/>
      <c r="T60" s="770"/>
      <c r="U60" s="770"/>
      <c r="V60" s="770"/>
      <c r="W60" s="770"/>
      <c r="X60" s="770"/>
      <c r="Y60" s="770"/>
      <c r="Z60" s="770"/>
      <c r="AA60" s="770"/>
      <c r="AB60" s="770"/>
      <c r="AC60" s="770"/>
      <c r="AD60" s="770"/>
      <c r="AE60" s="770"/>
      <c r="AF60" s="770"/>
      <c r="AG60" s="770"/>
      <c r="AH60" s="770"/>
      <c r="AI60" s="770"/>
      <c r="AJ60" s="770"/>
      <c r="AK60" s="770"/>
      <c r="AL60" s="770"/>
      <c r="AM60" s="770"/>
      <c r="AN60" s="770"/>
      <c r="AO60" s="770"/>
      <c r="AP60" s="770"/>
      <c r="AQ60" s="770"/>
      <c r="AR60" s="770"/>
      <c r="AS60" s="770"/>
      <c r="AT60" s="770"/>
      <c r="AU60" s="770"/>
      <c r="AV60" s="770"/>
      <c r="AW60" s="1209"/>
      <c r="AX60" s="1209"/>
      <c r="AY60" s="1209"/>
      <c r="AZ60" s="1209"/>
    </row>
    <row r="61" spans="1:52" ht="15.95" customHeight="1">
      <c r="A61" s="770"/>
      <c r="B61" s="1287"/>
      <c r="C61" s="1255"/>
      <c r="D61" s="1255"/>
      <c r="E61" s="1255"/>
      <c r="F61" s="1255"/>
      <c r="G61" s="1255"/>
      <c r="H61" s="1304"/>
      <c r="I61" s="1304"/>
      <c r="J61" s="1255"/>
      <c r="K61" s="1255"/>
      <c r="L61" s="1255"/>
      <c r="M61" s="1288"/>
      <c r="N61" s="770"/>
      <c r="O61" s="770"/>
      <c r="P61" s="770"/>
      <c r="Q61" s="770"/>
      <c r="R61" s="770"/>
      <c r="S61" s="770"/>
      <c r="T61" s="770"/>
      <c r="U61" s="770"/>
      <c r="V61" s="770"/>
      <c r="W61" s="770"/>
      <c r="X61" s="770"/>
      <c r="Y61" s="770"/>
      <c r="Z61" s="770"/>
      <c r="AA61" s="770"/>
      <c r="AB61" s="770"/>
      <c r="AC61" s="770"/>
      <c r="AD61" s="770"/>
      <c r="AE61" s="770"/>
      <c r="AF61" s="770"/>
      <c r="AG61" s="770"/>
      <c r="AH61" s="770"/>
      <c r="AI61" s="770"/>
      <c r="AJ61" s="770"/>
      <c r="AK61" s="770"/>
      <c r="AL61" s="770"/>
      <c r="AM61" s="770"/>
      <c r="AN61" s="770"/>
      <c r="AO61" s="770"/>
      <c r="AP61" s="770"/>
      <c r="AQ61" s="770"/>
      <c r="AR61" s="770"/>
      <c r="AS61" s="770"/>
      <c r="AT61" s="770"/>
      <c r="AU61" s="770"/>
      <c r="AV61" s="770"/>
      <c r="AW61" s="1209"/>
      <c r="AX61" s="1209"/>
      <c r="AY61" s="1209"/>
      <c r="AZ61" s="1209"/>
    </row>
    <row r="62" spans="1:52">
      <c r="A62" s="770"/>
      <c r="B62" s="2242" t="str">
        <f>CONCATENATE("          I   Sri./Smt. ",DATA!E19,"  working in the capacity of  ",DATA!E20,"  do hereby certify that sum of Rs.  ",DATA!BX223,"  Rupees in words  ( ",DATA!CD223,"  has been deducted  at  source and paid to the credit of the central Government. I further certify that the Informtion  given above is true, complete and correct based on the books of account, documents and other available records.")</f>
        <v xml:space="preserve">          I   Sri./Smt. N.C.Subbarayudu  working in the capacity of  Executive Engineer,TGP Division No.1  do hereby certify that sum of Rs.  134996  Rupees in words  ( One Lakh Thirty Four Thousands Nine Hundred and Ninty Six  only  has been deducted  at  source and paid to the credit of the central Government. I further certify that the Informtion  given above is true, complete and correct based on the books of account, documents and other available records.</v>
      </c>
      <c r="C62" s="2243"/>
      <c r="D62" s="2243"/>
      <c r="E62" s="2243"/>
      <c r="F62" s="2243"/>
      <c r="G62" s="2243"/>
      <c r="H62" s="2243"/>
      <c r="I62" s="2243"/>
      <c r="J62" s="2243"/>
      <c r="K62" s="2243"/>
      <c r="L62" s="2243"/>
      <c r="M62" s="2244"/>
      <c r="N62" s="770"/>
      <c r="O62" s="770"/>
      <c r="P62" s="770"/>
      <c r="Q62" s="770"/>
      <c r="R62" s="770"/>
      <c r="S62" s="770"/>
      <c r="T62" s="770"/>
      <c r="U62" s="770"/>
      <c r="V62" s="770"/>
      <c r="W62" s="770"/>
      <c r="X62" s="770"/>
      <c r="Y62" s="770"/>
      <c r="Z62" s="770"/>
      <c r="AA62" s="770"/>
      <c r="AB62" s="770"/>
      <c r="AC62" s="770"/>
      <c r="AD62" s="770"/>
      <c r="AE62" s="770"/>
      <c r="AF62" s="770"/>
      <c r="AG62" s="770"/>
      <c r="AH62" s="770"/>
      <c r="AI62" s="770"/>
      <c r="AJ62" s="770"/>
      <c r="AK62" s="770"/>
      <c r="AL62" s="770"/>
      <c r="AM62" s="770"/>
      <c r="AN62" s="770"/>
      <c r="AO62" s="770"/>
      <c r="AP62" s="770"/>
      <c r="AQ62" s="770"/>
      <c r="AR62" s="770"/>
      <c r="AS62" s="770"/>
      <c r="AT62" s="770"/>
      <c r="AU62" s="770"/>
      <c r="AV62" s="770"/>
      <c r="AW62" s="1209"/>
      <c r="AX62" s="1209"/>
      <c r="AY62" s="1209"/>
      <c r="AZ62" s="1209"/>
    </row>
    <row r="63" spans="1:52" ht="20.25" customHeight="1">
      <c r="A63" s="770"/>
      <c r="B63" s="2242"/>
      <c r="C63" s="2243"/>
      <c r="D63" s="2243"/>
      <c r="E63" s="2243"/>
      <c r="F63" s="2243"/>
      <c r="G63" s="2243"/>
      <c r="H63" s="2243"/>
      <c r="I63" s="2243"/>
      <c r="J63" s="2243"/>
      <c r="K63" s="2243"/>
      <c r="L63" s="2243"/>
      <c r="M63" s="2244"/>
      <c r="N63" s="770"/>
      <c r="O63" s="770"/>
      <c r="P63" s="770"/>
      <c r="Q63" s="770"/>
      <c r="R63" s="770"/>
      <c r="S63" s="770"/>
      <c r="T63" s="770"/>
      <c r="U63" s="770"/>
      <c r="V63" s="770"/>
      <c r="W63" s="770"/>
      <c r="X63" s="770"/>
      <c r="Y63" s="770"/>
      <c r="Z63" s="770"/>
      <c r="AA63" s="770"/>
      <c r="AB63" s="770"/>
      <c r="AC63" s="770"/>
      <c r="AD63" s="770"/>
      <c r="AE63" s="770"/>
      <c r="AF63" s="770"/>
      <c r="AG63" s="770"/>
      <c r="AH63" s="770"/>
      <c r="AI63" s="770"/>
      <c r="AJ63" s="770"/>
      <c r="AK63" s="770"/>
      <c r="AL63" s="770"/>
      <c r="AM63" s="770"/>
      <c r="AN63" s="770"/>
      <c r="AO63" s="770"/>
      <c r="AP63" s="770"/>
      <c r="AQ63" s="770"/>
      <c r="AR63" s="770"/>
      <c r="AS63" s="770"/>
      <c r="AT63" s="770"/>
      <c r="AU63" s="770"/>
      <c r="AV63" s="770"/>
      <c r="AW63" s="1209"/>
      <c r="AX63" s="1209"/>
      <c r="AY63" s="1209"/>
      <c r="AZ63" s="1209"/>
    </row>
    <row r="64" spans="1:52" ht="18" customHeight="1">
      <c r="A64" s="770"/>
      <c r="B64" s="2242"/>
      <c r="C64" s="2243"/>
      <c r="D64" s="2243"/>
      <c r="E64" s="2243"/>
      <c r="F64" s="2243"/>
      <c r="G64" s="2243"/>
      <c r="H64" s="2243"/>
      <c r="I64" s="2243"/>
      <c r="J64" s="2243"/>
      <c r="K64" s="2243"/>
      <c r="L64" s="2243"/>
      <c r="M64" s="2244"/>
      <c r="N64" s="770"/>
      <c r="O64" s="770"/>
      <c r="P64" s="770"/>
      <c r="Q64" s="770"/>
      <c r="R64" s="770"/>
      <c r="S64" s="770"/>
      <c r="T64" s="770"/>
      <c r="U64" s="770"/>
      <c r="V64" s="770"/>
      <c r="W64" s="770"/>
      <c r="X64" s="770"/>
      <c r="Y64" s="770"/>
      <c r="Z64" s="770"/>
      <c r="AA64" s="770"/>
      <c r="AB64" s="770"/>
      <c r="AC64" s="770"/>
      <c r="AD64" s="770"/>
      <c r="AE64" s="770"/>
      <c r="AF64" s="770"/>
      <c r="AG64" s="770"/>
      <c r="AH64" s="770"/>
      <c r="AI64" s="770"/>
      <c r="AJ64" s="770"/>
      <c r="AK64" s="770"/>
      <c r="AL64" s="770"/>
      <c r="AM64" s="770"/>
      <c r="AN64" s="770"/>
      <c r="AO64" s="770"/>
      <c r="AP64" s="770"/>
      <c r="AQ64" s="770"/>
      <c r="AR64" s="770"/>
      <c r="AS64" s="770"/>
      <c r="AT64" s="770"/>
      <c r="AU64" s="770"/>
      <c r="AV64" s="770"/>
      <c r="AW64" s="1209"/>
      <c r="AX64" s="1209"/>
      <c r="AY64" s="1209"/>
      <c r="AZ64" s="1209"/>
    </row>
    <row r="65" spans="1:52" ht="16.5" customHeight="1">
      <c r="A65" s="770"/>
      <c r="B65" s="2242"/>
      <c r="C65" s="2243"/>
      <c r="D65" s="2243"/>
      <c r="E65" s="2243"/>
      <c r="F65" s="2243"/>
      <c r="G65" s="2243"/>
      <c r="H65" s="2243"/>
      <c r="I65" s="2243"/>
      <c r="J65" s="2243"/>
      <c r="K65" s="2243"/>
      <c r="L65" s="2243"/>
      <c r="M65" s="2244"/>
      <c r="N65" s="770"/>
      <c r="O65" s="770"/>
      <c r="P65" s="770"/>
      <c r="Q65" s="770"/>
      <c r="R65" s="770"/>
      <c r="S65" s="770"/>
      <c r="T65" s="770"/>
      <c r="U65" s="770"/>
      <c r="V65" s="770"/>
      <c r="W65" s="770"/>
      <c r="X65" s="770"/>
      <c r="Y65" s="770"/>
      <c r="Z65" s="770"/>
      <c r="AA65" s="770"/>
      <c r="AB65" s="770"/>
      <c r="AC65" s="770"/>
      <c r="AD65" s="770"/>
      <c r="AE65" s="770"/>
      <c r="AF65" s="770"/>
      <c r="AG65" s="770"/>
      <c r="AH65" s="770"/>
      <c r="AI65" s="770"/>
      <c r="AJ65" s="770"/>
      <c r="AK65" s="770"/>
      <c r="AL65" s="770"/>
      <c r="AM65" s="770"/>
      <c r="AN65" s="770"/>
      <c r="AO65" s="770"/>
      <c r="AP65" s="770"/>
      <c r="AQ65" s="770"/>
      <c r="AR65" s="770"/>
      <c r="AS65" s="770"/>
      <c r="AT65" s="770"/>
      <c r="AU65" s="770"/>
      <c r="AV65" s="770"/>
      <c r="AW65" s="1209"/>
      <c r="AX65" s="1209"/>
      <c r="AY65" s="1209"/>
      <c r="AZ65" s="1209"/>
    </row>
    <row r="66" spans="1:52" ht="3" customHeight="1">
      <c r="A66" s="770"/>
      <c r="B66" s="1305"/>
      <c r="C66" s="976"/>
      <c r="D66" s="976"/>
      <c r="E66" s="976"/>
      <c r="F66" s="976"/>
      <c r="G66" s="976"/>
      <c r="H66" s="976"/>
      <c r="I66" s="976"/>
      <c r="J66" s="976"/>
      <c r="K66" s="976"/>
      <c r="L66" s="976"/>
      <c r="M66" s="1306"/>
      <c r="N66" s="770"/>
      <c r="O66" s="770"/>
      <c r="P66" s="770"/>
      <c r="Q66" s="770"/>
      <c r="R66" s="770"/>
      <c r="S66" s="770"/>
      <c r="T66" s="770"/>
      <c r="U66" s="770"/>
      <c r="V66" s="770"/>
      <c r="W66" s="770"/>
      <c r="X66" s="770"/>
      <c r="Y66" s="770"/>
      <c r="Z66" s="770"/>
      <c r="AA66" s="770"/>
      <c r="AB66" s="770"/>
      <c r="AC66" s="770"/>
      <c r="AD66" s="770"/>
      <c r="AE66" s="770"/>
      <c r="AF66" s="770"/>
      <c r="AG66" s="770"/>
      <c r="AH66" s="770"/>
      <c r="AI66" s="770"/>
      <c r="AJ66" s="770"/>
      <c r="AK66" s="770"/>
      <c r="AL66" s="770"/>
      <c r="AM66" s="770"/>
      <c r="AN66" s="770"/>
      <c r="AO66" s="770"/>
      <c r="AP66" s="770"/>
      <c r="AQ66" s="770"/>
      <c r="AR66" s="770"/>
      <c r="AS66" s="770"/>
      <c r="AT66" s="770"/>
      <c r="AU66" s="770"/>
      <c r="AV66" s="770"/>
      <c r="AW66" s="1209"/>
      <c r="AX66" s="1209"/>
      <c r="AY66" s="1209"/>
      <c r="AZ66" s="1209"/>
    </row>
    <row r="67" spans="1:52" ht="14.45" customHeight="1">
      <c r="A67" s="770"/>
      <c r="B67" s="1307"/>
      <c r="C67" s="1232"/>
      <c r="D67" s="1232"/>
      <c r="E67" s="1232"/>
      <c r="F67" s="1232"/>
      <c r="G67" s="1232" t="s">
        <v>343</v>
      </c>
      <c r="H67" s="1232"/>
      <c r="I67" s="1232"/>
      <c r="J67" s="1232"/>
      <c r="K67" s="1232"/>
      <c r="L67" s="1232"/>
      <c r="M67" s="1308"/>
      <c r="N67" s="770"/>
      <c r="O67" s="770"/>
      <c r="P67" s="770"/>
      <c r="Q67" s="770"/>
      <c r="R67" s="770"/>
      <c r="S67" s="770"/>
      <c r="T67" s="770"/>
      <c r="U67" s="770"/>
      <c r="V67" s="770"/>
      <c r="W67" s="770"/>
      <c r="X67" s="770"/>
      <c r="Y67" s="770"/>
      <c r="Z67" s="770"/>
      <c r="AA67" s="770"/>
      <c r="AB67" s="770"/>
      <c r="AC67" s="770"/>
      <c r="AD67" s="770"/>
      <c r="AE67" s="770"/>
      <c r="AF67" s="770"/>
      <c r="AG67" s="770"/>
      <c r="AH67" s="770"/>
      <c r="AI67" s="770"/>
      <c r="AJ67" s="770"/>
      <c r="AK67" s="770"/>
      <c r="AL67" s="770"/>
      <c r="AM67" s="770"/>
      <c r="AN67" s="770"/>
      <c r="AO67" s="770"/>
      <c r="AP67" s="770"/>
      <c r="AQ67" s="770"/>
      <c r="AR67" s="770"/>
      <c r="AS67" s="770"/>
      <c r="AT67" s="770"/>
      <c r="AU67" s="770"/>
      <c r="AV67" s="770"/>
      <c r="AW67" s="1209"/>
      <c r="AX67" s="1209"/>
      <c r="AY67" s="1209"/>
      <c r="AZ67" s="1209"/>
    </row>
    <row r="68" spans="1:52" ht="6" customHeight="1">
      <c r="A68" s="770"/>
      <c r="B68" s="1307"/>
      <c r="C68" s="1232"/>
      <c r="D68" s="1232"/>
      <c r="E68" s="1232"/>
      <c r="F68" s="1232"/>
      <c r="G68" s="1232"/>
      <c r="H68" s="1232"/>
      <c r="I68" s="1232"/>
      <c r="J68" s="1232"/>
      <c r="K68" s="1232"/>
      <c r="L68" s="1232"/>
      <c r="M68" s="1308"/>
      <c r="N68" s="770"/>
      <c r="O68" s="770"/>
      <c r="P68" s="770"/>
      <c r="Q68" s="770"/>
      <c r="R68" s="770"/>
      <c r="S68" s="770"/>
      <c r="T68" s="770"/>
      <c r="U68" s="770"/>
      <c r="V68" s="770"/>
      <c r="W68" s="770"/>
      <c r="X68" s="770"/>
      <c r="Y68" s="770"/>
      <c r="Z68" s="770"/>
      <c r="AA68" s="770"/>
      <c r="AB68" s="770"/>
      <c r="AC68" s="770"/>
      <c r="AD68" s="770"/>
      <c r="AE68" s="770"/>
      <c r="AF68" s="770"/>
      <c r="AG68" s="770"/>
      <c r="AH68" s="770"/>
      <c r="AI68" s="770"/>
      <c r="AJ68" s="770"/>
      <c r="AK68" s="770"/>
      <c r="AL68" s="770"/>
      <c r="AM68" s="770"/>
      <c r="AN68" s="770"/>
      <c r="AO68" s="770"/>
      <c r="AP68" s="770"/>
      <c r="AQ68" s="770"/>
      <c r="AR68" s="770"/>
      <c r="AS68" s="770"/>
      <c r="AT68" s="770"/>
      <c r="AU68" s="770"/>
      <c r="AV68" s="770"/>
      <c r="AW68" s="1209"/>
      <c r="AX68" s="1209"/>
      <c r="AY68" s="1209"/>
      <c r="AZ68" s="1209"/>
    </row>
    <row r="69" spans="1:52">
      <c r="A69" s="770"/>
      <c r="B69" s="2240" t="s">
        <v>344</v>
      </c>
      <c r="C69" s="2240"/>
      <c r="D69" s="1309" t="str">
        <f>DATA!E21</f>
        <v>Velgode</v>
      </c>
      <c r="E69" s="1310"/>
      <c r="F69" s="1232"/>
      <c r="G69" s="1311" t="s">
        <v>345</v>
      </c>
      <c r="H69" s="1312"/>
      <c r="I69" s="1312"/>
      <c r="J69" s="1311"/>
      <c r="K69" s="1312"/>
      <c r="L69" s="1232"/>
      <c r="M69" s="1313"/>
      <c r="N69" s="770"/>
      <c r="O69" s="770"/>
      <c r="P69" s="770"/>
      <c r="Q69" s="770"/>
      <c r="R69" s="770"/>
      <c r="S69" s="770"/>
      <c r="T69" s="770"/>
      <c r="U69" s="770"/>
      <c r="V69" s="770"/>
      <c r="W69" s="770"/>
      <c r="X69" s="770"/>
      <c r="Y69" s="770"/>
      <c r="Z69" s="770"/>
      <c r="AA69" s="770"/>
      <c r="AB69" s="770"/>
      <c r="AC69" s="770"/>
      <c r="AD69" s="770"/>
      <c r="AE69" s="770"/>
      <c r="AF69" s="770"/>
      <c r="AG69" s="770"/>
      <c r="AH69" s="770"/>
      <c r="AI69" s="770"/>
      <c r="AJ69" s="770"/>
      <c r="AK69" s="770"/>
      <c r="AL69" s="770"/>
      <c r="AM69" s="770"/>
      <c r="AN69" s="770"/>
      <c r="AO69" s="770"/>
      <c r="AP69" s="770"/>
      <c r="AQ69" s="770"/>
      <c r="AR69" s="770"/>
      <c r="AS69" s="770"/>
      <c r="AT69" s="770"/>
      <c r="AU69" s="770"/>
      <c r="AV69" s="770"/>
      <c r="AW69" s="1209"/>
      <c r="AX69" s="1209"/>
      <c r="AY69" s="1209"/>
      <c r="AZ69" s="1209"/>
    </row>
    <row r="70" spans="1:52">
      <c r="A70" s="770"/>
      <c r="B70" s="2240" t="s">
        <v>346</v>
      </c>
      <c r="C70" s="2240"/>
      <c r="D70" s="2241">
        <f ca="1">TODAY()</f>
        <v>44553</v>
      </c>
      <c r="E70" s="2241"/>
      <c r="F70" s="1314"/>
      <c r="G70" s="1315" t="s">
        <v>347</v>
      </c>
      <c r="H70" s="1316" t="str">
        <f>CONCATENATE("Sri./Smt. ",DATA!E19)</f>
        <v>Sri./Smt. N.C.Subbarayudu</v>
      </c>
      <c r="I70" s="1316"/>
      <c r="J70" s="1317"/>
      <c r="K70" s="1312"/>
      <c r="L70" s="1232"/>
      <c r="M70" s="1318"/>
      <c r="N70" s="770"/>
      <c r="O70" s="770"/>
      <c r="P70" s="770"/>
      <c r="Q70" s="770"/>
      <c r="R70" s="770"/>
      <c r="S70" s="770"/>
      <c r="T70" s="770"/>
      <c r="U70" s="770"/>
      <c r="V70" s="770"/>
      <c r="W70" s="770"/>
      <c r="X70" s="770"/>
      <c r="Y70" s="770"/>
      <c r="Z70" s="770"/>
      <c r="AA70" s="770"/>
      <c r="AB70" s="770"/>
      <c r="AC70" s="770"/>
      <c r="AD70" s="770"/>
      <c r="AE70" s="770"/>
      <c r="AF70" s="770"/>
      <c r="AG70" s="770"/>
      <c r="AH70" s="770"/>
      <c r="AI70" s="770"/>
      <c r="AJ70" s="770"/>
      <c r="AK70" s="770"/>
      <c r="AL70" s="770"/>
      <c r="AM70" s="770"/>
      <c r="AN70" s="770"/>
      <c r="AO70" s="770"/>
      <c r="AP70" s="770"/>
      <c r="AQ70" s="770"/>
      <c r="AR70" s="770"/>
      <c r="AS70" s="770"/>
      <c r="AT70" s="770"/>
      <c r="AU70" s="770"/>
      <c r="AV70" s="770"/>
      <c r="AW70" s="1209"/>
      <c r="AX70" s="1209"/>
      <c r="AY70" s="1209"/>
      <c r="AZ70" s="1209"/>
    </row>
    <row r="71" spans="1:52">
      <c r="A71" s="770"/>
      <c r="B71" s="1307"/>
      <c r="C71" s="1232"/>
      <c r="D71" s="1232"/>
      <c r="E71" s="1232"/>
      <c r="F71" s="1319"/>
      <c r="G71" s="1311" t="s">
        <v>348</v>
      </c>
      <c r="H71" s="1316" t="str">
        <f>DATA!E20</f>
        <v>Executive Engineer,TGP Division No.1</v>
      </c>
      <c r="I71" s="1316"/>
      <c r="J71" s="1320"/>
      <c r="K71" s="1312"/>
      <c r="L71" s="1232"/>
      <c r="M71" s="1318"/>
      <c r="N71" s="770"/>
      <c r="O71" s="770"/>
      <c r="P71" s="770"/>
      <c r="Q71" s="770"/>
      <c r="R71" s="770"/>
      <c r="S71" s="770"/>
      <c r="T71" s="770"/>
      <c r="U71" s="770"/>
      <c r="V71" s="770"/>
      <c r="W71" s="770"/>
      <c r="X71" s="770"/>
      <c r="Y71" s="770"/>
      <c r="Z71" s="770"/>
      <c r="AA71" s="770"/>
      <c r="AB71" s="770"/>
      <c r="AC71" s="770"/>
      <c r="AD71" s="770"/>
      <c r="AE71" s="770"/>
      <c r="AF71" s="770"/>
      <c r="AG71" s="770"/>
      <c r="AH71" s="770"/>
      <c r="AI71" s="770"/>
      <c r="AJ71" s="770"/>
      <c r="AK71" s="770"/>
      <c r="AL71" s="770"/>
      <c r="AM71" s="770"/>
      <c r="AN71" s="770"/>
      <c r="AO71" s="770"/>
      <c r="AP71" s="770"/>
      <c r="AQ71" s="770"/>
      <c r="AR71" s="770"/>
      <c r="AS71" s="770"/>
      <c r="AT71" s="770"/>
      <c r="AU71" s="770"/>
      <c r="AV71" s="770"/>
      <c r="AW71" s="1209"/>
      <c r="AX71" s="1209"/>
      <c r="AY71" s="1209"/>
      <c r="AZ71" s="1209"/>
    </row>
    <row r="72" spans="1:52" ht="6" customHeight="1">
      <c r="A72" s="770"/>
      <c r="B72" s="1287"/>
      <c r="C72" s="1255"/>
      <c r="D72" s="1255"/>
      <c r="E72" s="1255"/>
      <c r="F72" s="1255"/>
      <c r="G72" s="1255"/>
      <c r="H72" s="1255"/>
      <c r="I72" s="1255"/>
      <c r="J72" s="1255"/>
      <c r="K72" s="1255"/>
      <c r="L72" s="1255"/>
      <c r="M72" s="1288"/>
      <c r="N72" s="770"/>
      <c r="O72" s="770"/>
      <c r="P72" s="770"/>
      <c r="Q72" s="770"/>
      <c r="R72" s="770"/>
      <c r="S72" s="770"/>
      <c r="T72" s="770"/>
      <c r="U72" s="770"/>
      <c r="V72" s="770"/>
      <c r="W72" s="770"/>
      <c r="X72" s="770"/>
      <c r="Y72" s="770"/>
      <c r="Z72" s="770"/>
      <c r="AA72" s="770"/>
      <c r="AB72" s="770"/>
      <c r="AC72" s="770"/>
      <c r="AD72" s="770"/>
      <c r="AE72" s="770"/>
      <c r="AF72" s="770"/>
      <c r="AG72" s="770"/>
      <c r="AH72" s="770"/>
      <c r="AI72" s="770"/>
      <c r="AJ72" s="770"/>
      <c r="AK72" s="770"/>
      <c r="AL72" s="770"/>
      <c r="AM72" s="770"/>
      <c r="AN72" s="770"/>
      <c r="AO72" s="770"/>
      <c r="AP72" s="770"/>
      <c r="AQ72" s="770"/>
      <c r="AR72" s="770"/>
      <c r="AS72" s="770"/>
      <c r="AT72" s="770"/>
      <c r="AU72" s="770"/>
      <c r="AV72" s="770"/>
      <c r="AW72" s="1209"/>
      <c r="AX72" s="1209"/>
      <c r="AY72" s="1209"/>
      <c r="AZ72" s="1209"/>
    </row>
    <row r="73" spans="1:52" ht="4.5" customHeight="1">
      <c r="A73" s="770"/>
      <c r="B73" s="1321"/>
      <c r="C73" s="1322"/>
      <c r="D73" s="1322"/>
      <c r="E73" s="1322"/>
      <c r="F73" s="1322"/>
      <c r="G73" s="1322"/>
      <c r="H73" s="1322"/>
      <c r="I73" s="1322"/>
      <c r="J73" s="1322"/>
      <c r="K73" s="1322"/>
      <c r="L73" s="1322"/>
      <c r="M73" s="1323"/>
      <c r="N73" s="770"/>
      <c r="O73" s="770"/>
      <c r="P73" s="770"/>
      <c r="Q73" s="770"/>
      <c r="R73" s="770"/>
      <c r="S73" s="770"/>
      <c r="T73" s="770"/>
      <c r="U73" s="770"/>
      <c r="V73" s="770"/>
      <c r="W73" s="770"/>
      <c r="X73" s="770"/>
      <c r="Y73" s="770"/>
      <c r="Z73" s="770"/>
      <c r="AA73" s="770"/>
      <c r="AB73" s="770"/>
      <c r="AC73" s="770"/>
      <c r="AD73" s="770"/>
      <c r="AE73" s="770"/>
      <c r="AF73" s="770"/>
      <c r="AG73" s="770"/>
      <c r="AH73" s="770"/>
      <c r="AI73" s="770"/>
      <c r="AJ73" s="770"/>
      <c r="AK73" s="770"/>
      <c r="AL73" s="770"/>
      <c r="AM73" s="770"/>
      <c r="AN73" s="770"/>
      <c r="AO73" s="770"/>
      <c r="AP73" s="770"/>
      <c r="AQ73" s="770"/>
      <c r="AR73" s="770"/>
      <c r="AS73" s="770"/>
      <c r="AT73" s="770"/>
      <c r="AU73" s="770"/>
      <c r="AV73" s="770"/>
      <c r="AW73" s="1209"/>
      <c r="AX73" s="1209"/>
      <c r="AY73" s="1209"/>
      <c r="AZ73" s="1209"/>
    </row>
    <row r="74" spans="1:52">
      <c r="A74" s="770"/>
      <c r="B74" s="1324" t="s">
        <v>552</v>
      </c>
      <c r="N74" s="770"/>
      <c r="O74" s="770"/>
      <c r="P74" s="770"/>
      <c r="Q74" s="770"/>
      <c r="R74" s="770"/>
      <c r="S74" s="770"/>
      <c r="T74" s="770"/>
      <c r="U74" s="770"/>
      <c r="V74" s="770"/>
      <c r="W74" s="770"/>
      <c r="X74" s="770"/>
      <c r="Y74" s="770"/>
      <c r="Z74" s="770"/>
      <c r="AA74" s="770"/>
      <c r="AB74" s="770"/>
      <c r="AC74" s="770"/>
      <c r="AD74" s="770"/>
      <c r="AE74" s="770"/>
      <c r="AF74" s="770"/>
      <c r="AG74" s="770"/>
      <c r="AH74" s="770"/>
      <c r="AI74" s="770"/>
      <c r="AJ74" s="770"/>
      <c r="AK74" s="770"/>
      <c r="AL74" s="770"/>
      <c r="AM74" s="770"/>
      <c r="AN74" s="770"/>
      <c r="AO74" s="770"/>
      <c r="AP74" s="770"/>
      <c r="AQ74" s="770"/>
      <c r="AR74" s="770"/>
      <c r="AS74" s="770"/>
      <c r="AT74" s="770"/>
      <c r="AU74" s="770"/>
      <c r="AV74" s="770"/>
      <c r="AW74" s="1209"/>
      <c r="AX74" s="1209"/>
      <c r="AY74" s="1209"/>
      <c r="AZ74" s="1209"/>
    </row>
    <row r="75" spans="1:52">
      <c r="A75" s="770"/>
      <c r="B75" s="770"/>
      <c r="C75" s="770"/>
      <c r="D75" s="770"/>
      <c r="E75" s="770"/>
      <c r="F75" s="770"/>
      <c r="G75" s="770"/>
      <c r="H75" s="770"/>
      <c r="I75" s="770"/>
      <c r="J75" s="770"/>
      <c r="K75" s="770"/>
      <c r="L75" s="770"/>
      <c r="M75" s="770"/>
      <c r="N75" s="770"/>
      <c r="O75" s="770"/>
      <c r="P75" s="770"/>
      <c r="Q75" s="770"/>
      <c r="R75" s="770"/>
      <c r="S75" s="770"/>
      <c r="T75" s="770"/>
      <c r="U75" s="770"/>
      <c r="V75" s="770"/>
      <c r="W75" s="770"/>
      <c r="X75" s="770"/>
      <c r="Y75" s="770"/>
      <c r="Z75" s="770"/>
      <c r="AA75" s="770"/>
      <c r="AB75" s="770"/>
      <c r="AC75" s="770"/>
      <c r="AD75" s="770"/>
      <c r="AE75" s="770"/>
      <c r="AF75" s="770"/>
      <c r="AG75" s="770"/>
      <c r="AH75" s="770"/>
      <c r="AI75" s="770"/>
      <c r="AJ75" s="770"/>
      <c r="AK75" s="770"/>
      <c r="AL75" s="770"/>
      <c r="AM75" s="770"/>
      <c r="AN75" s="770"/>
      <c r="AO75" s="770"/>
      <c r="AP75" s="770"/>
      <c r="AQ75" s="770"/>
      <c r="AR75" s="770"/>
      <c r="AS75" s="770"/>
      <c r="AT75" s="770"/>
      <c r="AU75" s="770"/>
      <c r="AV75" s="770"/>
      <c r="AW75" s="1209"/>
      <c r="AX75" s="1209"/>
      <c r="AY75" s="1209"/>
      <c r="AZ75" s="1209"/>
    </row>
    <row r="76" spans="1:52">
      <c r="A76" s="770"/>
      <c r="B76" s="770"/>
      <c r="C76" s="770"/>
      <c r="D76" s="770"/>
      <c r="E76" s="770"/>
      <c r="F76" s="770"/>
      <c r="G76" s="770"/>
      <c r="H76" s="770"/>
      <c r="I76" s="770"/>
      <c r="J76" s="770"/>
      <c r="K76" s="770"/>
      <c r="L76" s="770"/>
      <c r="M76" s="770"/>
      <c r="N76" s="770"/>
      <c r="O76" s="770"/>
      <c r="P76" s="770"/>
      <c r="Q76" s="770"/>
      <c r="R76" s="770"/>
      <c r="S76" s="770"/>
      <c r="T76" s="770"/>
      <c r="U76" s="770"/>
      <c r="V76" s="770"/>
      <c r="W76" s="770"/>
      <c r="X76" s="770"/>
      <c r="Y76" s="770"/>
      <c r="Z76" s="770"/>
      <c r="AA76" s="770"/>
      <c r="AB76" s="770"/>
      <c r="AC76" s="770"/>
      <c r="AD76" s="770"/>
      <c r="AE76" s="770"/>
      <c r="AF76" s="770"/>
      <c r="AG76" s="770"/>
      <c r="AH76" s="770"/>
      <c r="AI76" s="770"/>
      <c r="AJ76" s="770"/>
      <c r="AK76" s="770"/>
      <c r="AL76" s="770"/>
      <c r="AM76" s="770"/>
      <c r="AN76" s="770"/>
      <c r="AO76" s="770"/>
      <c r="AP76" s="770"/>
      <c r="AQ76" s="770"/>
      <c r="AR76" s="770"/>
      <c r="AS76" s="770"/>
      <c r="AT76" s="770"/>
      <c r="AU76" s="770"/>
      <c r="AV76" s="770"/>
      <c r="AW76" s="1209"/>
      <c r="AX76" s="1209"/>
      <c r="AY76" s="1209"/>
      <c r="AZ76" s="1209"/>
    </row>
    <row r="77" spans="1:52">
      <c r="A77" s="770"/>
      <c r="B77" s="770"/>
      <c r="C77" s="770"/>
      <c r="D77" s="770"/>
      <c r="E77" s="770"/>
      <c r="F77" s="770"/>
      <c r="G77" s="770"/>
      <c r="H77" s="770"/>
      <c r="I77" s="770"/>
      <c r="J77" s="770"/>
      <c r="K77" s="770"/>
      <c r="L77" s="770"/>
      <c r="M77" s="770"/>
      <c r="N77" s="770"/>
      <c r="O77" s="770"/>
      <c r="P77" s="770"/>
      <c r="Q77" s="770"/>
      <c r="R77" s="770"/>
      <c r="S77" s="770"/>
      <c r="T77" s="770"/>
      <c r="U77" s="770"/>
      <c r="V77" s="770"/>
      <c r="W77" s="770"/>
      <c r="X77" s="770"/>
      <c r="Y77" s="770"/>
      <c r="Z77" s="770"/>
      <c r="AA77" s="770"/>
      <c r="AB77" s="770"/>
      <c r="AC77" s="770"/>
      <c r="AD77" s="770"/>
      <c r="AE77" s="770"/>
      <c r="AF77" s="770"/>
      <c r="AG77" s="770"/>
      <c r="AH77" s="770"/>
      <c r="AI77" s="770"/>
      <c r="AJ77" s="770"/>
      <c r="AK77" s="770"/>
      <c r="AL77" s="770"/>
      <c r="AM77" s="770"/>
      <c r="AN77" s="770"/>
      <c r="AO77" s="770"/>
      <c r="AP77" s="770"/>
      <c r="AQ77" s="770"/>
      <c r="AR77" s="770"/>
      <c r="AS77" s="770"/>
      <c r="AT77" s="770"/>
      <c r="AU77" s="770"/>
      <c r="AV77" s="770"/>
      <c r="AW77" s="1209"/>
      <c r="AX77" s="1209"/>
      <c r="AY77" s="1209"/>
      <c r="AZ77" s="1209"/>
    </row>
    <row r="78" spans="1:52">
      <c r="A78" s="770"/>
      <c r="B78" s="770"/>
      <c r="C78" s="770"/>
      <c r="D78" s="770"/>
      <c r="E78" s="770"/>
      <c r="F78" s="770"/>
      <c r="G78" s="770"/>
      <c r="H78" s="770"/>
      <c r="I78" s="770"/>
      <c r="J78" s="770"/>
      <c r="K78" s="770"/>
      <c r="L78" s="770"/>
      <c r="M78" s="770"/>
      <c r="N78" s="770"/>
      <c r="O78" s="770"/>
      <c r="P78" s="770"/>
      <c r="Q78" s="770"/>
      <c r="R78" s="770"/>
      <c r="S78" s="770"/>
      <c r="T78" s="770"/>
      <c r="U78" s="770"/>
      <c r="V78" s="770"/>
      <c r="W78" s="770"/>
      <c r="X78" s="770"/>
      <c r="Y78" s="770"/>
      <c r="Z78" s="770"/>
      <c r="AA78" s="770"/>
      <c r="AB78" s="770"/>
      <c r="AC78" s="770"/>
      <c r="AD78" s="770"/>
      <c r="AE78" s="770"/>
      <c r="AF78" s="770"/>
      <c r="AG78" s="770"/>
      <c r="AH78" s="770"/>
      <c r="AI78" s="770"/>
      <c r="AJ78" s="770"/>
      <c r="AK78" s="770"/>
      <c r="AL78" s="770"/>
      <c r="AM78" s="770"/>
      <c r="AN78" s="770"/>
      <c r="AO78" s="770"/>
      <c r="AP78" s="770"/>
      <c r="AQ78" s="770"/>
      <c r="AR78" s="770"/>
      <c r="AS78" s="770"/>
      <c r="AT78" s="770"/>
      <c r="AU78" s="770"/>
      <c r="AV78" s="770"/>
      <c r="AW78" s="1209"/>
      <c r="AX78" s="1209"/>
      <c r="AY78" s="1209"/>
      <c r="AZ78" s="1209"/>
    </row>
    <row r="79" spans="1:52">
      <c r="A79" s="770"/>
      <c r="B79" s="770"/>
      <c r="C79" s="770"/>
      <c r="D79" s="770"/>
      <c r="E79" s="770"/>
      <c r="F79" s="770"/>
      <c r="G79" s="770"/>
      <c r="H79" s="770"/>
      <c r="I79" s="770"/>
      <c r="J79" s="770"/>
      <c r="K79" s="770"/>
      <c r="L79" s="770"/>
      <c r="M79" s="770"/>
      <c r="N79" s="770"/>
      <c r="O79" s="770"/>
      <c r="P79" s="770"/>
      <c r="Q79" s="770"/>
      <c r="R79" s="770"/>
      <c r="S79" s="770"/>
      <c r="T79" s="770"/>
      <c r="U79" s="770"/>
      <c r="V79" s="770"/>
      <c r="W79" s="770"/>
      <c r="X79" s="770"/>
      <c r="Y79" s="770"/>
      <c r="Z79" s="770"/>
      <c r="AA79" s="770"/>
      <c r="AB79" s="770"/>
      <c r="AC79" s="770"/>
      <c r="AD79" s="770"/>
      <c r="AE79" s="770"/>
      <c r="AF79" s="770"/>
      <c r="AG79" s="770"/>
      <c r="AH79" s="770"/>
      <c r="AI79" s="770"/>
      <c r="AJ79" s="770"/>
      <c r="AK79" s="770"/>
      <c r="AL79" s="770"/>
      <c r="AM79" s="770"/>
      <c r="AN79" s="770"/>
      <c r="AO79" s="770"/>
      <c r="AP79" s="770"/>
      <c r="AQ79" s="770"/>
      <c r="AR79" s="770"/>
      <c r="AS79" s="770"/>
      <c r="AT79" s="770"/>
      <c r="AU79" s="770"/>
      <c r="AV79" s="770"/>
      <c r="AW79" s="1209"/>
      <c r="AX79" s="1209"/>
      <c r="AY79" s="1209"/>
      <c r="AZ79" s="1209"/>
    </row>
    <row r="80" spans="1:52">
      <c r="A80" s="770"/>
      <c r="B80" s="770"/>
      <c r="C80" s="770"/>
      <c r="D80" s="770"/>
      <c r="E80" s="770"/>
      <c r="F80" s="770"/>
      <c r="G80" s="770"/>
      <c r="H80" s="770"/>
      <c r="I80" s="770"/>
      <c r="J80" s="770"/>
      <c r="K80" s="770"/>
      <c r="L80" s="770"/>
      <c r="M80" s="770"/>
      <c r="N80" s="770"/>
      <c r="O80" s="770"/>
      <c r="P80" s="770"/>
      <c r="Q80" s="770"/>
      <c r="R80" s="770"/>
      <c r="S80" s="770"/>
      <c r="T80" s="770"/>
      <c r="U80" s="770"/>
      <c r="V80" s="770"/>
      <c r="W80" s="770"/>
      <c r="X80" s="770"/>
      <c r="Y80" s="770"/>
      <c r="Z80" s="770"/>
      <c r="AA80" s="770"/>
      <c r="AB80" s="770"/>
      <c r="AC80" s="770"/>
      <c r="AD80" s="770"/>
      <c r="AE80" s="770"/>
      <c r="AF80" s="770"/>
      <c r="AG80" s="770"/>
      <c r="AH80" s="770"/>
      <c r="AI80" s="770"/>
      <c r="AJ80" s="770"/>
      <c r="AK80" s="770"/>
      <c r="AL80" s="770"/>
      <c r="AM80" s="770"/>
      <c r="AN80" s="770"/>
      <c r="AO80" s="770"/>
      <c r="AP80" s="770"/>
      <c r="AQ80" s="770"/>
      <c r="AR80" s="770"/>
      <c r="AS80" s="770"/>
      <c r="AT80" s="770"/>
      <c r="AU80" s="770"/>
      <c r="AV80" s="770"/>
      <c r="AW80" s="1209"/>
      <c r="AX80" s="1209"/>
      <c r="AY80" s="1209"/>
      <c r="AZ80" s="1209"/>
    </row>
    <row r="81" spans="1:52">
      <c r="A81" s="770"/>
      <c r="B81" s="770"/>
      <c r="C81" s="770"/>
      <c r="D81" s="770"/>
      <c r="E81" s="770"/>
      <c r="F81" s="770"/>
      <c r="G81" s="770"/>
      <c r="H81" s="770"/>
      <c r="I81" s="770"/>
      <c r="J81" s="770"/>
      <c r="K81" s="770"/>
      <c r="L81" s="770"/>
      <c r="M81" s="770"/>
      <c r="N81" s="770"/>
      <c r="O81" s="770"/>
      <c r="P81" s="770"/>
      <c r="Q81" s="770"/>
      <c r="R81" s="770"/>
      <c r="S81" s="770"/>
      <c r="T81" s="770"/>
      <c r="U81" s="770"/>
      <c r="V81" s="770"/>
      <c r="W81" s="770"/>
      <c r="X81" s="770"/>
      <c r="Y81" s="770"/>
      <c r="Z81" s="770"/>
      <c r="AA81" s="770"/>
      <c r="AB81" s="770"/>
      <c r="AC81" s="770"/>
      <c r="AD81" s="770"/>
      <c r="AE81" s="770"/>
      <c r="AF81" s="770"/>
      <c r="AG81" s="770"/>
      <c r="AH81" s="770"/>
      <c r="AI81" s="770"/>
      <c r="AJ81" s="770"/>
      <c r="AK81" s="770"/>
      <c r="AL81" s="770"/>
      <c r="AM81" s="770"/>
      <c r="AN81" s="770"/>
      <c r="AO81" s="770"/>
      <c r="AP81" s="770"/>
      <c r="AQ81" s="770"/>
      <c r="AR81" s="770"/>
      <c r="AS81" s="770"/>
      <c r="AT81" s="770"/>
      <c r="AU81" s="770"/>
      <c r="AV81" s="770"/>
      <c r="AW81" s="1209"/>
      <c r="AX81" s="1209"/>
      <c r="AY81" s="1209"/>
      <c r="AZ81" s="1209"/>
    </row>
    <row r="82" spans="1:52">
      <c r="A82" s="770"/>
      <c r="B82" s="770"/>
      <c r="C82" s="770"/>
      <c r="D82" s="770"/>
      <c r="E82" s="770"/>
      <c r="F82" s="770"/>
      <c r="G82" s="770"/>
      <c r="H82" s="770"/>
      <c r="I82" s="770"/>
      <c r="J82" s="770"/>
      <c r="K82" s="770"/>
      <c r="L82" s="770"/>
      <c r="M82" s="770"/>
      <c r="N82" s="770"/>
      <c r="O82" s="770"/>
      <c r="P82" s="770"/>
      <c r="Q82" s="770"/>
      <c r="R82" s="770"/>
      <c r="S82" s="770"/>
      <c r="T82" s="770"/>
      <c r="U82" s="770"/>
      <c r="V82" s="770"/>
      <c r="W82" s="770"/>
      <c r="X82" s="770"/>
      <c r="Y82" s="770"/>
      <c r="Z82" s="770"/>
      <c r="AA82" s="770"/>
      <c r="AB82" s="770"/>
      <c r="AC82" s="770"/>
      <c r="AD82" s="770"/>
      <c r="AE82" s="770"/>
      <c r="AF82" s="770"/>
      <c r="AG82" s="770"/>
      <c r="AH82" s="770"/>
      <c r="AI82" s="770"/>
      <c r="AJ82" s="770"/>
      <c r="AK82" s="770"/>
      <c r="AL82" s="770"/>
      <c r="AM82" s="770"/>
      <c r="AN82" s="770"/>
      <c r="AO82" s="770"/>
      <c r="AP82" s="770"/>
      <c r="AQ82" s="770"/>
      <c r="AR82" s="770"/>
      <c r="AS82" s="770"/>
      <c r="AT82" s="770"/>
      <c r="AU82" s="770"/>
      <c r="AV82" s="770"/>
      <c r="AW82" s="1209"/>
      <c r="AX82" s="1209"/>
      <c r="AY82" s="1209"/>
      <c r="AZ82" s="1209"/>
    </row>
    <row r="83" spans="1:52">
      <c r="A83" s="770"/>
      <c r="B83" s="770"/>
      <c r="C83" s="770"/>
      <c r="D83" s="770"/>
      <c r="E83" s="770"/>
      <c r="F83" s="770"/>
      <c r="G83" s="770"/>
      <c r="H83" s="770"/>
      <c r="I83" s="770"/>
      <c r="J83" s="770"/>
      <c r="K83" s="770"/>
      <c r="L83" s="770"/>
      <c r="M83" s="770"/>
      <c r="N83" s="770"/>
      <c r="O83" s="770"/>
      <c r="P83" s="770"/>
      <c r="Q83" s="770"/>
      <c r="R83" s="770"/>
      <c r="S83" s="770"/>
      <c r="T83" s="770"/>
      <c r="U83" s="770"/>
      <c r="V83" s="770"/>
      <c r="W83" s="770"/>
      <c r="X83" s="770"/>
      <c r="Y83" s="770"/>
      <c r="Z83" s="770"/>
      <c r="AA83" s="770"/>
      <c r="AB83" s="770"/>
      <c r="AC83" s="770"/>
      <c r="AD83" s="770"/>
      <c r="AE83" s="770"/>
      <c r="AF83" s="770"/>
      <c r="AG83" s="770"/>
      <c r="AH83" s="770"/>
      <c r="AI83" s="770"/>
      <c r="AJ83" s="770"/>
      <c r="AK83" s="770"/>
      <c r="AL83" s="770"/>
      <c r="AM83" s="770"/>
      <c r="AN83" s="770"/>
      <c r="AO83" s="770"/>
      <c r="AP83" s="770"/>
      <c r="AQ83" s="770"/>
      <c r="AR83" s="770"/>
      <c r="AS83" s="770"/>
      <c r="AT83" s="770"/>
      <c r="AU83" s="770"/>
      <c r="AV83" s="770"/>
      <c r="AW83" s="1209"/>
      <c r="AX83" s="1209"/>
      <c r="AY83" s="1209"/>
      <c r="AZ83" s="1209"/>
    </row>
    <row r="84" spans="1:52">
      <c r="A84" s="770"/>
      <c r="B84" s="770"/>
      <c r="C84" s="770"/>
      <c r="D84" s="770"/>
      <c r="E84" s="770"/>
      <c r="F84" s="770"/>
      <c r="G84" s="770"/>
      <c r="H84" s="770"/>
      <c r="I84" s="770"/>
      <c r="J84" s="770"/>
      <c r="K84" s="770"/>
      <c r="L84" s="770"/>
      <c r="M84" s="770"/>
      <c r="N84" s="770"/>
      <c r="O84" s="770"/>
      <c r="P84" s="770"/>
      <c r="Q84" s="770"/>
      <c r="R84" s="770"/>
      <c r="S84" s="770"/>
      <c r="T84" s="770"/>
      <c r="U84" s="770"/>
      <c r="V84" s="770"/>
      <c r="W84" s="770"/>
      <c r="X84" s="770"/>
      <c r="Y84" s="770"/>
      <c r="Z84" s="770"/>
      <c r="AA84" s="770"/>
      <c r="AB84" s="770"/>
      <c r="AC84" s="770"/>
      <c r="AD84" s="770"/>
      <c r="AE84" s="770"/>
      <c r="AF84" s="770"/>
      <c r="AG84" s="770"/>
      <c r="AH84" s="770"/>
      <c r="AI84" s="770"/>
      <c r="AJ84" s="770"/>
      <c r="AK84" s="770"/>
      <c r="AL84" s="770"/>
      <c r="AM84" s="770"/>
      <c r="AN84" s="770"/>
      <c r="AO84" s="770"/>
      <c r="AP84" s="770"/>
      <c r="AQ84" s="770"/>
      <c r="AR84" s="770"/>
      <c r="AS84" s="770"/>
      <c r="AT84" s="770"/>
      <c r="AU84" s="770"/>
      <c r="AV84" s="770"/>
      <c r="AW84" s="1209"/>
      <c r="AX84" s="1209"/>
      <c r="AY84" s="1209"/>
      <c r="AZ84" s="1209"/>
    </row>
    <row r="85" spans="1:52">
      <c r="A85" s="770"/>
      <c r="B85" s="770"/>
      <c r="C85" s="770"/>
      <c r="D85" s="770"/>
      <c r="E85" s="770"/>
      <c r="F85" s="770"/>
      <c r="G85" s="770"/>
      <c r="H85" s="770"/>
      <c r="I85" s="770"/>
      <c r="J85" s="770"/>
      <c r="K85" s="770"/>
      <c r="L85" s="770"/>
      <c r="M85" s="770"/>
      <c r="N85" s="770"/>
      <c r="O85" s="770"/>
      <c r="P85" s="770"/>
      <c r="Q85" s="770"/>
      <c r="R85" s="770"/>
      <c r="S85" s="770"/>
      <c r="T85" s="770"/>
      <c r="U85" s="770"/>
      <c r="V85" s="770"/>
      <c r="W85" s="770"/>
      <c r="X85" s="770"/>
      <c r="Y85" s="770"/>
      <c r="Z85" s="770"/>
      <c r="AA85" s="770"/>
      <c r="AB85" s="770"/>
      <c r="AC85" s="770"/>
      <c r="AD85" s="770"/>
      <c r="AE85" s="770"/>
      <c r="AF85" s="770"/>
      <c r="AG85" s="770"/>
      <c r="AH85" s="770"/>
      <c r="AI85" s="770"/>
      <c r="AJ85" s="770"/>
      <c r="AK85" s="770"/>
      <c r="AL85" s="770"/>
      <c r="AM85" s="770"/>
      <c r="AN85" s="770"/>
      <c r="AO85" s="770"/>
      <c r="AP85" s="770"/>
      <c r="AQ85" s="770"/>
      <c r="AR85" s="770"/>
      <c r="AS85" s="770"/>
      <c r="AT85" s="770"/>
      <c r="AU85" s="770"/>
      <c r="AV85" s="770"/>
      <c r="AW85" s="1209"/>
      <c r="AX85" s="1209"/>
      <c r="AY85" s="1209"/>
      <c r="AZ85" s="1209"/>
    </row>
    <row r="86" spans="1:52">
      <c r="A86" s="770"/>
      <c r="B86" s="770"/>
      <c r="C86" s="770"/>
      <c r="D86" s="770"/>
      <c r="E86" s="770"/>
      <c r="F86" s="770"/>
      <c r="G86" s="770"/>
      <c r="H86" s="770"/>
      <c r="I86" s="770"/>
      <c r="J86" s="770"/>
      <c r="K86" s="770"/>
      <c r="L86" s="770"/>
      <c r="M86" s="770"/>
      <c r="N86" s="770"/>
      <c r="O86" s="770"/>
      <c r="P86" s="770"/>
      <c r="Q86" s="770"/>
      <c r="R86" s="770"/>
      <c r="S86" s="770"/>
      <c r="T86" s="770"/>
      <c r="U86" s="770"/>
      <c r="V86" s="770"/>
      <c r="W86" s="770"/>
      <c r="X86" s="770"/>
      <c r="Y86" s="770"/>
      <c r="Z86" s="770"/>
      <c r="AA86" s="770"/>
      <c r="AB86" s="770"/>
      <c r="AC86" s="770"/>
      <c r="AD86" s="770"/>
      <c r="AE86" s="770"/>
      <c r="AF86" s="770"/>
      <c r="AG86" s="770"/>
      <c r="AH86" s="770"/>
      <c r="AI86" s="770"/>
      <c r="AJ86" s="770"/>
      <c r="AK86" s="770"/>
      <c r="AL86" s="770"/>
      <c r="AM86" s="770"/>
      <c r="AN86" s="770"/>
      <c r="AO86" s="770"/>
      <c r="AP86" s="770"/>
      <c r="AQ86" s="770"/>
      <c r="AR86" s="770"/>
      <c r="AS86" s="770"/>
      <c r="AT86" s="770"/>
      <c r="AU86" s="770"/>
      <c r="AV86" s="770"/>
      <c r="AW86" s="1209"/>
      <c r="AX86" s="1209"/>
      <c r="AY86" s="1209"/>
      <c r="AZ86" s="1209"/>
    </row>
    <row r="87" spans="1:52">
      <c r="A87" s="770"/>
      <c r="B87" s="770"/>
      <c r="C87" s="770"/>
      <c r="D87" s="770"/>
      <c r="E87" s="770"/>
      <c r="F87" s="770"/>
      <c r="G87" s="770"/>
      <c r="H87" s="770"/>
      <c r="I87" s="770"/>
      <c r="J87" s="770"/>
      <c r="K87" s="770"/>
      <c r="L87" s="770"/>
      <c r="M87" s="770"/>
      <c r="N87" s="770"/>
      <c r="O87" s="770"/>
      <c r="P87" s="770"/>
      <c r="Q87" s="770"/>
      <c r="R87" s="770"/>
      <c r="S87" s="770"/>
      <c r="T87" s="770"/>
      <c r="U87" s="770"/>
      <c r="V87" s="770"/>
      <c r="W87" s="770"/>
      <c r="X87" s="770"/>
      <c r="Y87" s="770"/>
      <c r="Z87" s="770"/>
      <c r="AA87" s="770"/>
      <c r="AB87" s="770"/>
      <c r="AC87" s="770"/>
      <c r="AD87" s="770"/>
      <c r="AE87" s="770"/>
      <c r="AF87" s="770"/>
      <c r="AG87" s="770"/>
      <c r="AH87" s="770"/>
      <c r="AI87" s="770"/>
      <c r="AJ87" s="770"/>
      <c r="AK87" s="770"/>
      <c r="AL87" s="770"/>
      <c r="AM87" s="770"/>
      <c r="AN87" s="770"/>
      <c r="AO87" s="770"/>
      <c r="AP87" s="770"/>
      <c r="AQ87" s="770"/>
      <c r="AR87" s="770"/>
      <c r="AS87" s="770"/>
      <c r="AT87" s="770"/>
      <c r="AU87" s="770"/>
      <c r="AV87" s="770"/>
      <c r="AW87" s="1209"/>
      <c r="AX87" s="1209"/>
      <c r="AY87" s="1209"/>
      <c r="AZ87" s="1209"/>
    </row>
    <row r="88" spans="1:52">
      <c r="A88" s="770"/>
      <c r="B88" s="770"/>
      <c r="C88" s="770"/>
      <c r="D88" s="770"/>
      <c r="E88" s="770"/>
      <c r="F88" s="770"/>
      <c r="G88" s="770"/>
      <c r="H88" s="770"/>
      <c r="I88" s="770"/>
      <c r="J88" s="770"/>
      <c r="K88" s="770"/>
      <c r="L88" s="770"/>
      <c r="M88" s="770"/>
      <c r="N88" s="770"/>
      <c r="O88" s="770"/>
      <c r="P88" s="770"/>
      <c r="Q88" s="770"/>
      <c r="R88" s="770"/>
      <c r="S88" s="770"/>
      <c r="T88" s="770"/>
      <c r="U88" s="770"/>
      <c r="V88" s="770"/>
      <c r="W88" s="770"/>
      <c r="X88" s="770"/>
      <c r="Y88" s="770"/>
      <c r="Z88" s="770"/>
      <c r="AA88" s="770"/>
      <c r="AB88" s="770"/>
      <c r="AC88" s="770"/>
      <c r="AD88" s="770"/>
      <c r="AE88" s="770"/>
      <c r="AF88" s="770"/>
      <c r="AG88" s="770"/>
      <c r="AH88" s="770"/>
      <c r="AI88" s="770"/>
      <c r="AJ88" s="770"/>
      <c r="AK88" s="770"/>
      <c r="AL88" s="770"/>
      <c r="AM88" s="770"/>
      <c r="AN88" s="770"/>
      <c r="AO88" s="770"/>
      <c r="AP88" s="770"/>
      <c r="AQ88" s="770"/>
      <c r="AR88" s="770"/>
      <c r="AS88" s="770"/>
      <c r="AT88" s="770"/>
      <c r="AU88" s="770"/>
      <c r="AV88" s="770"/>
      <c r="AW88" s="1209"/>
      <c r="AX88" s="1209"/>
      <c r="AY88" s="1209"/>
      <c r="AZ88" s="1209"/>
    </row>
    <row r="89" spans="1:52">
      <c r="A89" s="770"/>
      <c r="B89" s="770"/>
      <c r="C89" s="770"/>
      <c r="D89" s="770"/>
      <c r="E89" s="770"/>
      <c r="F89" s="770"/>
      <c r="G89" s="770"/>
      <c r="H89" s="770"/>
      <c r="I89" s="770"/>
      <c r="J89" s="770"/>
      <c r="K89" s="770"/>
      <c r="L89" s="770"/>
      <c r="M89" s="770"/>
      <c r="N89" s="770"/>
      <c r="O89" s="770"/>
      <c r="P89" s="770"/>
      <c r="Q89" s="770"/>
      <c r="R89" s="770"/>
      <c r="S89" s="770"/>
      <c r="T89" s="770"/>
      <c r="U89" s="770"/>
      <c r="V89" s="770"/>
      <c r="W89" s="770"/>
      <c r="X89" s="770"/>
      <c r="Y89" s="770"/>
      <c r="Z89" s="770"/>
      <c r="AA89" s="770"/>
      <c r="AB89" s="770"/>
      <c r="AC89" s="770"/>
      <c r="AD89" s="770"/>
      <c r="AE89" s="770"/>
      <c r="AF89" s="770"/>
      <c r="AG89" s="770"/>
      <c r="AH89" s="770"/>
      <c r="AI89" s="770"/>
      <c r="AJ89" s="770"/>
      <c r="AK89" s="770"/>
      <c r="AL89" s="770"/>
      <c r="AM89" s="770"/>
      <c r="AN89" s="770"/>
      <c r="AO89" s="770"/>
      <c r="AP89" s="770"/>
      <c r="AQ89" s="770"/>
      <c r="AR89" s="770"/>
      <c r="AS89" s="770"/>
      <c r="AT89" s="770"/>
      <c r="AU89" s="770"/>
      <c r="AV89" s="770"/>
      <c r="AW89" s="1209"/>
      <c r="AX89" s="1209"/>
      <c r="AY89" s="1209"/>
      <c r="AZ89" s="1209"/>
    </row>
    <row r="90" spans="1:52">
      <c r="A90" s="770"/>
      <c r="B90" s="770"/>
      <c r="C90" s="770"/>
      <c r="D90" s="770"/>
      <c r="E90" s="770"/>
      <c r="F90" s="770"/>
      <c r="G90" s="770"/>
      <c r="H90" s="770"/>
      <c r="I90" s="770"/>
      <c r="J90" s="770"/>
      <c r="K90" s="770"/>
      <c r="L90" s="770"/>
      <c r="M90" s="770"/>
      <c r="N90" s="770"/>
      <c r="O90" s="770"/>
      <c r="P90" s="770"/>
      <c r="Q90" s="770"/>
      <c r="R90" s="770"/>
      <c r="S90" s="770"/>
      <c r="T90" s="770"/>
      <c r="U90" s="770"/>
      <c r="V90" s="770"/>
      <c r="W90" s="770"/>
      <c r="X90" s="770"/>
      <c r="Y90" s="770"/>
      <c r="Z90" s="770"/>
      <c r="AA90" s="770"/>
      <c r="AB90" s="770"/>
      <c r="AC90" s="770"/>
      <c r="AD90" s="770"/>
      <c r="AE90" s="770"/>
      <c r="AF90" s="770"/>
      <c r="AG90" s="770"/>
      <c r="AH90" s="770"/>
      <c r="AI90" s="770"/>
      <c r="AJ90" s="770"/>
      <c r="AK90" s="770"/>
      <c r="AL90" s="770"/>
      <c r="AM90" s="770"/>
      <c r="AN90" s="770"/>
      <c r="AO90" s="770"/>
      <c r="AP90" s="770"/>
      <c r="AQ90" s="770"/>
      <c r="AR90" s="770"/>
      <c r="AS90" s="770"/>
      <c r="AT90" s="770"/>
      <c r="AU90" s="770"/>
      <c r="AV90" s="770"/>
      <c r="AW90" s="1209"/>
      <c r="AX90" s="1209"/>
      <c r="AY90" s="1209"/>
      <c r="AZ90" s="1209"/>
    </row>
    <row r="91" spans="1:52">
      <c r="A91" s="770"/>
      <c r="B91" s="770"/>
      <c r="C91" s="770"/>
      <c r="D91" s="770"/>
      <c r="E91" s="770"/>
      <c r="F91" s="770"/>
      <c r="G91" s="770"/>
      <c r="H91" s="770"/>
      <c r="I91" s="770"/>
      <c r="J91" s="770"/>
      <c r="K91" s="770"/>
      <c r="L91" s="770"/>
      <c r="M91" s="770"/>
      <c r="N91" s="770"/>
      <c r="O91" s="770"/>
      <c r="P91" s="770"/>
      <c r="Q91" s="770"/>
      <c r="R91" s="770"/>
      <c r="S91" s="770"/>
      <c r="T91" s="770"/>
      <c r="U91" s="770"/>
      <c r="V91" s="770"/>
      <c r="W91" s="770"/>
      <c r="X91" s="770"/>
      <c r="Y91" s="770"/>
      <c r="Z91" s="770"/>
      <c r="AA91" s="770"/>
      <c r="AB91" s="770"/>
      <c r="AC91" s="770"/>
      <c r="AD91" s="770"/>
      <c r="AE91" s="770"/>
      <c r="AF91" s="770"/>
      <c r="AG91" s="770"/>
      <c r="AH91" s="770"/>
      <c r="AI91" s="770"/>
      <c r="AJ91" s="770"/>
      <c r="AK91" s="770"/>
      <c r="AL91" s="770"/>
      <c r="AM91" s="770"/>
      <c r="AN91" s="770"/>
      <c r="AO91" s="770"/>
      <c r="AP91" s="770"/>
      <c r="AQ91" s="770"/>
      <c r="AR91" s="770"/>
      <c r="AS91" s="770"/>
      <c r="AT91" s="770"/>
      <c r="AU91" s="770"/>
      <c r="AV91" s="770"/>
      <c r="AW91" s="1209"/>
      <c r="AX91" s="1209"/>
      <c r="AY91" s="1209"/>
      <c r="AZ91" s="1209"/>
    </row>
    <row r="92" spans="1:52">
      <c r="A92" s="770"/>
      <c r="B92" s="770"/>
      <c r="C92" s="770"/>
      <c r="D92" s="770"/>
      <c r="E92" s="770"/>
      <c r="F92" s="770"/>
      <c r="G92" s="770"/>
      <c r="H92" s="770"/>
      <c r="I92" s="770"/>
      <c r="J92" s="770"/>
      <c r="K92" s="770"/>
      <c r="L92" s="770"/>
      <c r="M92" s="770"/>
      <c r="N92" s="770"/>
      <c r="O92" s="770"/>
      <c r="P92" s="770"/>
      <c r="Q92" s="770"/>
      <c r="R92" s="770"/>
      <c r="S92" s="770"/>
      <c r="T92" s="770"/>
      <c r="U92" s="770"/>
      <c r="V92" s="770"/>
      <c r="W92" s="770"/>
      <c r="X92" s="770"/>
      <c r="Y92" s="770"/>
      <c r="Z92" s="770"/>
      <c r="AA92" s="770"/>
      <c r="AB92" s="770"/>
      <c r="AC92" s="770"/>
      <c r="AD92" s="770"/>
      <c r="AE92" s="770"/>
      <c r="AF92" s="770"/>
      <c r="AG92" s="770"/>
      <c r="AH92" s="770"/>
      <c r="AI92" s="770"/>
      <c r="AJ92" s="770"/>
      <c r="AK92" s="770"/>
      <c r="AL92" s="770"/>
      <c r="AM92" s="770"/>
      <c r="AN92" s="770"/>
      <c r="AO92" s="770"/>
      <c r="AP92" s="770"/>
      <c r="AQ92" s="770"/>
      <c r="AR92" s="770"/>
      <c r="AS92" s="770"/>
      <c r="AT92" s="770"/>
      <c r="AU92" s="770"/>
      <c r="AV92" s="770"/>
      <c r="AW92" s="1209"/>
      <c r="AX92" s="1209"/>
      <c r="AY92" s="1209"/>
      <c r="AZ92" s="1209"/>
    </row>
    <row r="93" spans="1:52">
      <c r="A93" s="770"/>
      <c r="B93" s="770"/>
      <c r="C93" s="770"/>
      <c r="D93" s="770"/>
      <c r="E93" s="770"/>
      <c r="F93" s="770"/>
      <c r="G93" s="770"/>
      <c r="H93" s="770"/>
      <c r="I93" s="770"/>
      <c r="J93" s="770"/>
      <c r="K93" s="770"/>
      <c r="L93" s="770"/>
      <c r="M93" s="770"/>
      <c r="N93" s="770"/>
      <c r="O93" s="770"/>
      <c r="P93" s="770"/>
      <c r="Q93" s="770"/>
      <c r="R93" s="770"/>
      <c r="S93" s="770"/>
      <c r="T93" s="770"/>
      <c r="U93" s="770"/>
      <c r="V93" s="770"/>
      <c r="W93" s="770"/>
      <c r="X93" s="770"/>
      <c r="Y93" s="770"/>
      <c r="Z93" s="770"/>
      <c r="AA93" s="770"/>
      <c r="AB93" s="770"/>
      <c r="AC93" s="770"/>
      <c r="AD93" s="770"/>
      <c r="AE93" s="770"/>
      <c r="AF93" s="770"/>
      <c r="AG93" s="770"/>
      <c r="AH93" s="770"/>
      <c r="AI93" s="770"/>
      <c r="AJ93" s="770"/>
      <c r="AK93" s="770"/>
      <c r="AL93" s="770"/>
      <c r="AM93" s="770"/>
      <c r="AN93" s="770"/>
      <c r="AO93" s="770"/>
      <c r="AP93" s="770"/>
      <c r="AQ93" s="770"/>
      <c r="AR93" s="770"/>
      <c r="AS93" s="770"/>
      <c r="AT93" s="770"/>
      <c r="AU93" s="770"/>
      <c r="AV93" s="770"/>
      <c r="AW93" s="1209"/>
      <c r="AX93" s="1209"/>
      <c r="AY93" s="1209"/>
      <c r="AZ93" s="1209"/>
    </row>
    <row r="94" spans="1:52">
      <c r="A94" s="770"/>
      <c r="B94" s="770"/>
      <c r="C94" s="770"/>
      <c r="D94" s="770"/>
      <c r="E94" s="770"/>
      <c r="F94" s="770"/>
      <c r="G94" s="770"/>
      <c r="H94" s="770"/>
      <c r="I94" s="770"/>
      <c r="J94" s="770"/>
      <c r="K94" s="770"/>
      <c r="L94" s="770"/>
      <c r="M94" s="770"/>
      <c r="N94" s="770"/>
      <c r="O94" s="770"/>
      <c r="P94" s="770"/>
      <c r="Q94" s="770"/>
      <c r="R94" s="770"/>
      <c r="S94" s="770"/>
      <c r="T94" s="770"/>
      <c r="U94" s="770"/>
      <c r="V94" s="770"/>
      <c r="W94" s="770"/>
      <c r="X94" s="770"/>
      <c r="Y94" s="770"/>
      <c r="Z94" s="770"/>
      <c r="AA94" s="770"/>
      <c r="AB94" s="770"/>
      <c r="AC94" s="770"/>
      <c r="AD94" s="770"/>
      <c r="AE94" s="770"/>
      <c r="AF94" s="770"/>
      <c r="AG94" s="770"/>
      <c r="AH94" s="770"/>
      <c r="AI94" s="770"/>
      <c r="AJ94" s="770"/>
      <c r="AK94" s="770"/>
      <c r="AL94" s="770"/>
      <c r="AM94" s="770"/>
      <c r="AN94" s="770"/>
      <c r="AO94" s="770"/>
      <c r="AP94" s="770"/>
      <c r="AQ94" s="770"/>
      <c r="AR94" s="770"/>
      <c r="AS94" s="770"/>
      <c r="AT94" s="770"/>
      <c r="AU94" s="770"/>
      <c r="AV94" s="770"/>
      <c r="AW94" s="1209"/>
      <c r="AX94" s="1209"/>
      <c r="AY94" s="1209"/>
      <c r="AZ94" s="1209"/>
    </row>
    <row r="95" spans="1:52">
      <c r="A95" s="770"/>
      <c r="B95" s="770"/>
      <c r="C95" s="770"/>
      <c r="D95" s="770"/>
      <c r="E95" s="770"/>
      <c r="F95" s="770"/>
      <c r="G95" s="770"/>
      <c r="H95" s="770"/>
      <c r="I95" s="770"/>
      <c r="J95" s="770"/>
      <c r="K95" s="770"/>
      <c r="L95" s="770"/>
      <c r="M95" s="770"/>
      <c r="N95" s="770"/>
      <c r="O95" s="770"/>
      <c r="P95" s="770"/>
      <c r="Q95" s="770"/>
      <c r="R95" s="770"/>
      <c r="S95" s="770"/>
      <c r="T95" s="770"/>
      <c r="U95" s="770"/>
      <c r="V95" s="770"/>
      <c r="W95" s="770"/>
      <c r="X95" s="770"/>
      <c r="Y95" s="770"/>
      <c r="Z95" s="770"/>
      <c r="AA95" s="770"/>
      <c r="AB95" s="770"/>
      <c r="AC95" s="770"/>
      <c r="AD95" s="770"/>
      <c r="AE95" s="770"/>
      <c r="AF95" s="770"/>
      <c r="AG95" s="770"/>
      <c r="AH95" s="770"/>
      <c r="AI95" s="770"/>
      <c r="AJ95" s="770"/>
      <c r="AK95" s="770"/>
      <c r="AL95" s="770"/>
      <c r="AM95" s="770"/>
      <c r="AN95" s="770"/>
      <c r="AO95" s="770"/>
      <c r="AP95" s="770"/>
      <c r="AQ95" s="770"/>
      <c r="AR95" s="770"/>
      <c r="AS95" s="770"/>
      <c r="AT95" s="770"/>
      <c r="AU95" s="770"/>
      <c r="AV95" s="770"/>
      <c r="AW95" s="1209"/>
      <c r="AX95" s="1209"/>
      <c r="AY95" s="1209"/>
      <c r="AZ95" s="1209"/>
    </row>
    <row r="96" spans="1:52">
      <c r="A96" s="770"/>
      <c r="B96" s="770"/>
      <c r="C96" s="770"/>
      <c r="D96" s="770"/>
      <c r="E96" s="770"/>
      <c r="F96" s="770"/>
      <c r="G96" s="770"/>
      <c r="H96" s="770"/>
      <c r="I96" s="770"/>
      <c r="J96" s="770"/>
      <c r="K96" s="770"/>
      <c r="L96" s="770"/>
      <c r="M96" s="770"/>
      <c r="N96" s="770"/>
      <c r="O96" s="770"/>
      <c r="P96" s="770"/>
      <c r="Q96" s="770"/>
      <c r="R96" s="770"/>
      <c r="S96" s="770"/>
      <c r="T96" s="770"/>
      <c r="U96" s="770"/>
      <c r="V96" s="770"/>
      <c r="W96" s="770"/>
      <c r="X96" s="770"/>
      <c r="Y96" s="770"/>
      <c r="Z96" s="770"/>
      <c r="AA96" s="770"/>
      <c r="AB96" s="770"/>
      <c r="AC96" s="770"/>
      <c r="AD96" s="770"/>
      <c r="AE96" s="770"/>
      <c r="AF96" s="770"/>
      <c r="AG96" s="770"/>
      <c r="AH96" s="770"/>
      <c r="AI96" s="770"/>
      <c r="AJ96" s="770"/>
      <c r="AK96" s="770"/>
      <c r="AL96" s="770"/>
      <c r="AM96" s="770"/>
      <c r="AN96" s="770"/>
      <c r="AO96" s="770"/>
      <c r="AP96" s="770"/>
      <c r="AQ96" s="770"/>
      <c r="AR96" s="770"/>
      <c r="AS96" s="770"/>
      <c r="AT96" s="770"/>
      <c r="AU96" s="770"/>
      <c r="AV96" s="770"/>
      <c r="AW96" s="1209"/>
      <c r="AX96" s="1209"/>
      <c r="AY96" s="1209"/>
      <c r="AZ96" s="1209"/>
    </row>
    <row r="97" spans="1:52">
      <c r="A97" s="770"/>
      <c r="B97" s="770"/>
      <c r="C97" s="770"/>
      <c r="D97" s="770"/>
      <c r="E97" s="770"/>
      <c r="F97" s="770"/>
      <c r="G97" s="770"/>
      <c r="H97" s="770"/>
      <c r="I97" s="770"/>
      <c r="J97" s="770"/>
      <c r="K97" s="770"/>
      <c r="L97" s="770"/>
      <c r="M97" s="770"/>
      <c r="N97" s="770"/>
      <c r="O97" s="770"/>
      <c r="P97" s="770"/>
      <c r="Q97" s="770"/>
      <c r="R97" s="770"/>
      <c r="S97" s="770"/>
      <c r="T97" s="770"/>
      <c r="U97" s="770"/>
      <c r="V97" s="770"/>
      <c r="W97" s="770"/>
      <c r="X97" s="770"/>
      <c r="Y97" s="770"/>
      <c r="Z97" s="770"/>
      <c r="AA97" s="770"/>
      <c r="AB97" s="770"/>
      <c r="AC97" s="770"/>
      <c r="AD97" s="770"/>
      <c r="AE97" s="770"/>
      <c r="AF97" s="770"/>
      <c r="AG97" s="770"/>
      <c r="AH97" s="770"/>
      <c r="AI97" s="770"/>
      <c r="AJ97" s="770"/>
      <c r="AK97" s="770"/>
      <c r="AL97" s="770"/>
      <c r="AM97" s="770"/>
      <c r="AN97" s="770"/>
      <c r="AO97" s="770"/>
      <c r="AP97" s="770"/>
      <c r="AQ97" s="770"/>
      <c r="AR97" s="770"/>
      <c r="AS97" s="770"/>
      <c r="AT97" s="770"/>
      <c r="AU97" s="770"/>
      <c r="AV97" s="770"/>
      <c r="AW97" s="1209"/>
      <c r="AX97" s="1209"/>
      <c r="AY97" s="1209"/>
      <c r="AZ97" s="1209"/>
    </row>
    <row r="98" spans="1:52">
      <c r="A98" s="770"/>
      <c r="B98" s="770"/>
      <c r="C98" s="770"/>
      <c r="D98" s="770"/>
      <c r="E98" s="770"/>
      <c r="F98" s="770"/>
      <c r="G98" s="770"/>
      <c r="H98" s="770"/>
      <c r="I98" s="770"/>
      <c r="J98" s="770"/>
      <c r="K98" s="770"/>
      <c r="L98" s="770"/>
      <c r="M98" s="770"/>
      <c r="N98" s="770"/>
      <c r="O98" s="770"/>
      <c r="P98" s="770"/>
      <c r="Q98" s="770"/>
      <c r="R98" s="770"/>
      <c r="S98" s="770"/>
      <c r="T98" s="770"/>
      <c r="U98" s="770"/>
      <c r="V98" s="770"/>
      <c r="W98" s="770"/>
      <c r="X98" s="770"/>
      <c r="Y98" s="770"/>
      <c r="Z98" s="770"/>
      <c r="AA98" s="770"/>
      <c r="AB98" s="770"/>
      <c r="AC98" s="770"/>
      <c r="AD98" s="770"/>
      <c r="AE98" s="770"/>
      <c r="AF98" s="770"/>
      <c r="AG98" s="770"/>
      <c r="AH98" s="770"/>
      <c r="AI98" s="770"/>
      <c r="AJ98" s="770"/>
      <c r="AK98" s="770"/>
      <c r="AL98" s="770"/>
      <c r="AM98" s="770"/>
      <c r="AN98" s="770"/>
      <c r="AO98" s="770"/>
      <c r="AP98" s="770"/>
      <c r="AQ98" s="770"/>
      <c r="AR98" s="770"/>
      <c r="AS98" s="770"/>
      <c r="AT98" s="770"/>
      <c r="AU98" s="770"/>
      <c r="AV98" s="770"/>
      <c r="AW98" s="1209"/>
      <c r="AX98" s="1209"/>
      <c r="AY98" s="1209"/>
      <c r="AZ98" s="1209"/>
    </row>
    <row r="99" spans="1:52">
      <c r="A99" s="770"/>
      <c r="B99" s="770"/>
      <c r="C99" s="770"/>
      <c r="D99" s="770"/>
      <c r="E99" s="770"/>
      <c r="F99" s="770"/>
      <c r="G99" s="770"/>
      <c r="H99" s="770"/>
      <c r="I99" s="770"/>
      <c r="J99" s="770"/>
      <c r="K99" s="770"/>
      <c r="L99" s="770"/>
      <c r="M99" s="770"/>
      <c r="N99" s="770"/>
      <c r="O99" s="770"/>
      <c r="P99" s="770"/>
      <c r="Q99" s="770"/>
      <c r="R99" s="770"/>
      <c r="S99" s="770"/>
      <c r="T99" s="770"/>
      <c r="U99" s="770"/>
      <c r="V99" s="770"/>
      <c r="W99" s="770"/>
      <c r="X99" s="770"/>
      <c r="Y99" s="770"/>
      <c r="Z99" s="770"/>
      <c r="AA99" s="770"/>
      <c r="AB99" s="770"/>
      <c r="AC99" s="770"/>
      <c r="AD99" s="770"/>
      <c r="AE99" s="770"/>
      <c r="AF99" s="770"/>
      <c r="AG99" s="770"/>
      <c r="AH99" s="770"/>
      <c r="AI99" s="770"/>
      <c r="AJ99" s="770"/>
      <c r="AK99" s="770"/>
      <c r="AL99" s="770"/>
      <c r="AM99" s="770"/>
      <c r="AN99" s="770"/>
      <c r="AO99" s="770"/>
      <c r="AP99" s="770"/>
      <c r="AQ99" s="770"/>
      <c r="AR99" s="770"/>
      <c r="AS99" s="770"/>
      <c r="AT99" s="770"/>
      <c r="AU99" s="770"/>
      <c r="AV99" s="770"/>
      <c r="AW99" s="1209"/>
      <c r="AX99" s="1209"/>
      <c r="AY99" s="1209"/>
      <c r="AZ99" s="1209"/>
    </row>
    <row r="100" spans="1:52">
      <c r="A100" s="770"/>
      <c r="B100" s="770"/>
      <c r="C100" s="770"/>
      <c r="D100" s="770"/>
      <c r="E100" s="770"/>
      <c r="F100" s="770"/>
      <c r="G100" s="770"/>
      <c r="H100" s="770"/>
      <c r="I100" s="770"/>
      <c r="J100" s="770"/>
      <c r="K100" s="770"/>
      <c r="L100" s="770"/>
      <c r="M100" s="770"/>
      <c r="N100" s="770"/>
      <c r="O100" s="770"/>
      <c r="P100" s="770"/>
      <c r="Q100" s="770"/>
      <c r="R100" s="770"/>
      <c r="S100" s="770"/>
      <c r="T100" s="770"/>
      <c r="U100" s="770"/>
      <c r="V100" s="770"/>
      <c r="W100" s="770"/>
      <c r="X100" s="770"/>
      <c r="Y100" s="770"/>
      <c r="Z100" s="770"/>
      <c r="AA100" s="770"/>
      <c r="AB100" s="770"/>
      <c r="AC100" s="770"/>
      <c r="AD100" s="770"/>
      <c r="AE100" s="770"/>
      <c r="AF100" s="770"/>
      <c r="AG100" s="770"/>
      <c r="AH100" s="770"/>
      <c r="AI100" s="770"/>
      <c r="AJ100" s="770"/>
      <c r="AK100" s="770"/>
      <c r="AL100" s="770"/>
      <c r="AM100" s="770"/>
      <c r="AN100" s="770"/>
      <c r="AO100" s="770"/>
      <c r="AP100" s="770"/>
      <c r="AQ100" s="770"/>
      <c r="AR100" s="770"/>
      <c r="AS100" s="770"/>
      <c r="AT100" s="770"/>
      <c r="AU100" s="770"/>
      <c r="AV100" s="770"/>
      <c r="AW100" s="1209"/>
      <c r="AX100" s="1209"/>
      <c r="AY100" s="1209"/>
      <c r="AZ100" s="1209"/>
    </row>
    <row r="101" spans="1:52">
      <c r="A101" s="770"/>
      <c r="B101" s="770"/>
      <c r="C101" s="770"/>
      <c r="D101" s="770"/>
      <c r="E101" s="770"/>
      <c r="F101" s="770"/>
      <c r="G101" s="770"/>
      <c r="H101" s="770"/>
      <c r="I101" s="770"/>
      <c r="J101" s="770"/>
      <c r="K101" s="770"/>
      <c r="L101" s="770"/>
      <c r="M101" s="770"/>
      <c r="N101" s="770"/>
      <c r="O101" s="770"/>
      <c r="P101" s="770"/>
      <c r="Q101" s="770"/>
      <c r="R101" s="770"/>
      <c r="S101" s="770"/>
      <c r="T101" s="770"/>
      <c r="U101" s="770"/>
      <c r="V101" s="770"/>
      <c r="W101" s="770"/>
      <c r="X101" s="770"/>
      <c r="Y101" s="770"/>
      <c r="Z101" s="770"/>
      <c r="AA101" s="770"/>
      <c r="AB101" s="770"/>
      <c r="AC101" s="770"/>
      <c r="AD101" s="770"/>
      <c r="AE101" s="770"/>
      <c r="AF101" s="770"/>
      <c r="AG101" s="770"/>
      <c r="AH101" s="770"/>
      <c r="AI101" s="770"/>
      <c r="AJ101" s="770"/>
      <c r="AK101" s="770"/>
      <c r="AL101" s="770"/>
      <c r="AM101" s="770"/>
      <c r="AN101" s="770"/>
      <c r="AO101" s="770"/>
      <c r="AP101" s="770"/>
      <c r="AQ101" s="770"/>
      <c r="AR101" s="770"/>
      <c r="AS101" s="770"/>
      <c r="AT101" s="770"/>
      <c r="AU101" s="770"/>
      <c r="AV101" s="770"/>
      <c r="AW101" s="1209"/>
      <c r="AX101" s="1209"/>
      <c r="AY101" s="1209"/>
      <c r="AZ101" s="1209"/>
    </row>
    <row r="102" spans="1:52">
      <c r="A102" s="770"/>
      <c r="B102" s="770"/>
      <c r="C102" s="770"/>
      <c r="D102" s="770"/>
      <c r="E102" s="770"/>
      <c r="F102" s="770"/>
      <c r="G102" s="770"/>
      <c r="H102" s="770"/>
      <c r="I102" s="770"/>
      <c r="J102" s="770"/>
      <c r="K102" s="770"/>
      <c r="L102" s="770"/>
      <c r="M102" s="770"/>
      <c r="N102" s="770"/>
      <c r="O102" s="770"/>
      <c r="P102" s="770"/>
      <c r="Q102" s="770"/>
      <c r="R102" s="770"/>
      <c r="S102" s="770"/>
      <c r="T102" s="770"/>
      <c r="U102" s="770"/>
      <c r="V102" s="770"/>
      <c r="W102" s="770"/>
      <c r="X102" s="770"/>
      <c r="Y102" s="770"/>
      <c r="Z102" s="770"/>
      <c r="AA102" s="770"/>
      <c r="AB102" s="770"/>
      <c r="AC102" s="770"/>
      <c r="AD102" s="770"/>
      <c r="AE102" s="770"/>
      <c r="AF102" s="770"/>
      <c r="AG102" s="770"/>
      <c r="AH102" s="770"/>
      <c r="AI102" s="770"/>
      <c r="AJ102" s="770"/>
      <c r="AK102" s="770"/>
      <c r="AL102" s="770"/>
      <c r="AM102" s="770"/>
      <c r="AN102" s="770"/>
      <c r="AO102" s="770"/>
      <c r="AP102" s="770"/>
      <c r="AQ102" s="770"/>
      <c r="AR102" s="770"/>
      <c r="AS102" s="770"/>
      <c r="AT102" s="770"/>
      <c r="AU102" s="770"/>
      <c r="AV102" s="770"/>
      <c r="AW102" s="1209"/>
      <c r="AX102" s="1209"/>
      <c r="AY102" s="1209"/>
      <c r="AZ102" s="1209"/>
    </row>
    <row r="103" spans="1:52">
      <c r="A103" s="770"/>
      <c r="B103" s="770"/>
      <c r="C103" s="770"/>
      <c r="D103" s="770"/>
      <c r="E103" s="770"/>
      <c r="F103" s="770"/>
      <c r="G103" s="770"/>
      <c r="H103" s="770"/>
      <c r="I103" s="770"/>
      <c r="J103" s="770"/>
      <c r="K103" s="770"/>
      <c r="L103" s="770"/>
      <c r="M103" s="770"/>
      <c r="N103" s="770"/>
      <c r="O103" s="770"/>
      <c r="P103" s="770"/>
      <c r="Q103" s="770"/>
      <c r="R103" s="770"/>
      <c r="S103" s="770"/>
      <c r="T103" s="770"/>
      <c r="U103" s="770"/>
      <c r="V103" s="770"/>
      <c r="W103" s="770"/>
      <c r="X103" s="770"/>
      <c r="Y103" s="770"/>
      <c r="Z103" s="770"/>
      <c r="AA103" s="770"/>
      <c r="AB103" s="770"/>
      <c r="AC103" s="770"/>
      <c r="AD103" s="770"/>
      <c r="AE103" s="770"/>
      <c r="AF103" s="770"/>
      <c r="AG103" s="770"/>
      <c r="AH103" s="770"/>
      <c r="AI103" s="770"/>
      <c r="AJ103" s="770"/>
      <c r="AK103" s="770"/>
      <c r="AL103" s="770"/>
      <c r="AM103" s="770"/>
      <c r="AN103" s="770"/>
      <c r="AO103" s="770"/>
      <c r="AP103" s="770"/>
      <c r="AQ103" s="770"/>
      <c r="AR103" s="770"/>
      <c r="AS103" s="770"/>
      <c r="AT103" s="770"/>
      <c r="AU103" s="770"/>
      <c r="AV103" s="770"/>
      <c r="AW103" s="1209"/>
      <c r="AX103" s="1209"/>
      <c r="AY103" s="1209"/>
      <c r="AZ103" s="1209"/>
    </row>
    <row r="104" spans="1:52">
      <c r="A104" s="770"/>
      <c r="B104" s="770"/>
      <c r="C104" s="770"/>
      <c r="D104" s="770"/>
      <c r="E104" s="770"/>
      <c r="F104" s="770"/>
      <c r="G104" s="770"/>
      <c r="H104" s="770"/>
      <c r="I104" s="770"/>
      <c r="J104" s="770"/>
      <c r="K104" s="770"/>
      <c r="L104" s="770"/>
      <c r="M104" s="770"/>
      <c r="N104" s="770"/>
      <c r="O104" s="770"/>
      <c r="P104" s="770"/>
      <c r="Q104" s="770"/>
      <c r="R104" s="770"/>
      <c r="S104" s="770"/>
      <c r="T104" s="770"/>
      <c r="U104" s="770"/>
      <c r="V104" s="770"/>
      <c r="W104" s="770"/>
      <c r="X104" s="770"/>
      <c r="Y104" s="770"/>
      <c r="Z104" s="770"/>
      <c r="AA104" s="770"/>
      <c r="AB104" s="770"/>
      <c r="AC104" s="770"/>
      <c r="AD104" s="770"/>
      <c r="AE104" s="770"/>
      <c r="AF104" s="770"/>
      <c r="AG104" s="770"/>
      <c r="AH104" s="770"/>
      <c r="AI104" s="770"/>
      <c r="AJ104" s="770"/>
      <c r="AK104" s="770"/>
      <c r="AL104" s="770"/>
      <c r="AM104" s="770"/>
      <c r="AN104" s="770"/>
      <c r="AO104" s="770"/>
      <c r="AP104" s="770"/>
      <c r="AQ104" s="770"/>
      <c r="AR104" s="770"/>
      <c r="AS104" s="770"/>
      <c r="AT104" s="770"/>
      <c r="AU104" s="770"/>
      <c r="AV104" s="770"/>
      <c r="AW104" s="1209"/>
      <c r="AX104" s="1209"/>
      <c r="AY104" s="1209"/>
      <c r="AZ104" s="1209"/>
    </row>
    <row r="105" spans="1:52">
      <c r="A105" s="770"/>
      <c r="B105" s="770"/>
      <c r="C105" s="770"/>
      <c r="D105" s="770"/>
      <c r="E105" s="770"/>
      <c r="F105" s="770"/>
      <c r="G105" s="770"/>
      <c r="H105" s="770"/>
      <c r="I105" s="770"/>
      <c r="J105" s="770"/>
      <c r="K105" s="770"/>
      <c r="L105" s="770"/>
      <c r="M105" s="770"/>
      <c r="N105" s="770"/>
      <c r="O105" s="770"/>
      <c r="P105" s="770"/>
      <c r="Q105" s="770"/>
      <c r="R105" s="770"/>
      <c r="S105" s="770"/>
      <c r="T105" s="770"/>
      <c r="U105" s="770"/>
      <c r="V105" s="770"/>
      <c r="W105" s="770"/>
      <c r="X105" s="770"/>
      <c r="Y105" s="770"/>
      <c r="Z105" s="770"/>
      <c r="AA105" s="770"/>
      <c r="AB105" s="770"/>
      <c r="AC105" s="770"/>
      <c r="AD105" s="770"/>
      <c r="AE105" s="770"/>
      <c r="AF105" s="770"/>
      <c r="AG105" s="770"/>
      <c r="AH105" s="770"/>
      <c r="AI105" s="770"/>
      <c r="AJ105" s="770"/>
      <c r="AK105" s="770"/>
      <c r="AL105" s="770"/>
      <c r="AM105" s="770"/>
      <c r="AN105" s="770"/>
      <c r="AO105" s="770"/>
      <c r="AP105" s="770"/>
      <c r="AQ105" s="770"/>
      <c r="AR105" s="770"/>
      <c r="AS105" s="770"/>
      <c r="AT105" s="770"/>
      <c r="AU105" s="770"/>
      <c r="AV105" s="770"/>
      <c r="AW105" s="1209"/>
      <c r="AX105" s="1209"/>
      <c r="AY105" s="1209"/>
      <c r="AZ105" s="1209"/>
    </row>
    <row r="106" spans="1:52">
      <c r="A106" s="770"/>
      <c r="B106" s="770"/>
      <c r="C106" s="770"/>
      <c r="D106" s="770"/>
      <c r="E106" s="770"/>
      <c r="F106" s="770"/>
      <c r="G106" s="770"/>
      <c r="H106" s="770"/>
      <c r="I106" s="770"/>
      <c r="J106" s="770"/>
      <c r="K106" s="770"/>
      <c r="L106" s="770"/>
      <c r="M106" s="770"/>
      <c r="N106" s="770"/>
      <c r="O106" s="770"/>
      <c r="P106" s="770"/>
      <c r="Q106" s="770"/>
      <c r="R106" s="770"/>
      <c r="S106" s="770"/>
      <c r="T106" s="770"/>
      <c r="U106" s="770"/>
      <c r="V106" s="770"/>
      <c r="W106" s="770"/>
      <c r="X106" s="770"/>
      <c r="Y106" s="770"/>
      <c r="Z106" s="770"/>
      <c r="AA106" s="770"/>
      <c r="AB106" s="770"/>
      <c r="AC106" s="770"/>
      <c r="AD106" s="770"/>
      <c r="AE106" s="770"/>
      <c r="AF106" s="770"/>
      <c r="AG106" s="770"/>
      <c r="AH106" s="770"/>
      <c r="AI106" s="770"/>
      <c r="AJ106" s="770"/>
      <c r="AK106" s="770"/>
      <c r="AL106" s="770"/>
      <c r="AM106" s="770"/>
      <c r="AN106" s="770"/>
      <c r="AO106" s="770"/>
      <c r="AP106" s="770"/>
      <c r="AQ106" s="770"/>
      <c r="AR106" s="770"/>
      <c r="AS106" s="770"/>
      <c r="AT106" s="770"/>
      <c r="AU106" s="770"/>
      <c r="AV106" s="770"/>
      <c r="AW106" s="1209"/>
      <c r="AX106" s="1209"/>
      <c r="AY106" s="1209"/>
      <c r="AZ106" s="1209"/>
    </row>
    <row r="107" spans="1:52">
      <c r="A107" s="770"/>
      <c r="B107" s="770"/>
      <c r="C107" s="770"/>
      <c r="D107" s="770"/>
      <c r="E107" s="770"/>
      <c r="F107" s="770"/>
      <c r="G107" s="770"/>
      <c r="H107" s="770"/>
      <c r="I107" s="770"/>
      <c r="J107" s="770"/>
      <c r="K107" s="770"/>
      <c r="L107" s="770"/>
      <c r="M107" s="770"/>
      <c r="N107" s="770"/>
      <c r="O107" s="770"/>
      <c r="P107" s="770"/>
      <c r="Q107" s="770"/>
      <c r="R107" s="770"/>
      <c r="S107" s="770"/>
      <c r="T107" s="770"/>
      <c r="U107" s="770"/>
      <c r="V107" s="770"/>
      <c r="W107" s="770"/>
      <c r="X107" s="770"/>
      <c r="Y107" s="770"/>
      <c r="Z107" s="770"/>
      <c r="AA107" s="770"/>
      <c r="AB107" s="770"/>
      <c r="AC107" s="770"/>
      <c r="AD107" s="770"/>
      <c r="AE107" s="770"/>
      <c r="AF107" s="770"/>
      <c r="AG107" s="770"/>
      <c r="AH107" s="770"/>
      <c r="AI107" s="770"/>
      <c r="AJ107" s="770"/>
      <c r="AK107" s="770"/>
      <c r="AL107" s="770"/>
      <c r="AM107" s="770"/>
      <c r="AN107" s="770"/>
      <c r="AO107" s="770"/>
      <c r="AP107" s="770"/>
      <c r="AQ107" s="770"/>
      <c r="AR107" s="770"/>
      <c r="AS107" s="770"/>
      <c r="AT107" s="770"/>
      <c r="AU107" s="770"/>
      <c r="AV107" s="770"/>
      <c r="AW107" s="1209"/>
      <c r="AX107" s="1209"/>
      <c r="AY107" s="1209"/>
      <c r="AZ107" s="1209"/>
    </row>
    <row r="108" spans="1:52">
      <c r="A108" s="770"/>
      <c r="B108" s="770"/>
      <c r="C108" s="770"/>
      <c r="D108" s="770"/>
      <c r="E108" s="770"/>
      <c r="F108" s="770"/>
      <c r="G108" s="770"/>
      <c r="H108" s="770"/>
      <c r="I108" s="770"/>
      <c r="J108" s="770"/>
      <c r="K108" s="770"/>
      <c r="L108" s="770"/>
      <c r="M108" s="770"/>
      <c r="N108" s="770"/>
      <c r="O108" s="770"/>
      <c r="P108" s="770"/>
      <c r="Q108" s="770"/>
      <c r="R108" s="770"/>
      <c r="S108" s="770"/>
      <c r="T108" s="770"/>
      <c r="U108" s="770"/>
      <c r="V108" s="770"/>
      <c r="W108" s="770"/>
      <c r="X108" s="770"/>
      <c r="Y108" s="770"/>
      <c r="Z108" s="770"/>
      <c r="AA108" s="770"/>
      <c r="AB108" s="770"/>
      <c r="AC108" s="770"/>
      <c r="AD108" s="770"/>
      <c r="AE108" s="770"/>
      <c r="AF108" s="770"/>
      <c r="AG108" s="770"/>
      <c r="AH108" s="770"/>
      <c r="AI108" s="770"/>
      <c r="AJ108" s="770"/>
      <c r="AK108" s="770"/>
      <c r="AL108" s="770"/>
      <c r="AM108" s="770"/>
      <c r="AN108" s="770"/>
      <c r="AO108" s="770"/>
      <c r="AP108" s="770"/>
      <c r="AQ108" s="770"/>
      <c r="AR108" s="770"/>
      <c r="AS108" s="770"/>
      <c r="AT108" s="770"/>
      <c r="AU108" s="770"/>
      <c r="AV108" s="770"/>
      <c r="AW108" s="1209"/>
      <c r="AX108" s="1209"/>
      <c r="AY108" s="1209"/>
      <c r="AZ108" s="1209"/>
    </row>
    <row r="109" spans="1:52">
      <c r="A109" s="770"/>
      <c r="B109" s="770"/>
      <c r="C109" s="770"/>
      <c r="D109" s="770"/>
      <c r="E109" s="770"/>
      <c r="F109" s="770"/>
      <c r="G109" s="770"/>
      <c r="H109" s="770"/>
      <c r="I109" s="770"/>
      <c r="J109" s="770"/>
      <c r="K109" s="770"/>
      <c r="L109" s="770"/>
      <c r="M109" s="770"/>
      <c r="N109" s="770"/>
      <c r="O109" s="770"/>
      <c r="P109" s="770"/>
      <c r="Q109" s="770"/>
      <c r="R109" s="770"/>
      <c r="S109" s="770"/>
      <c r="T109" s="770"/>
      <c r="U109" s="770"/>
      <c r="V109" s="770"/>
      <c r="W109" s="770"/>
      <c r="X109" s="770"/>
      <c r="Y109" s="770"/>
      <c r="Z109" s="770"/>
      <c r="AA109" s="770"/>
      <c r="AB109" s="770"/>
      <c r="AC109" s="770"/>
      <c r="AD109" s="770"/>
      <c r="AE109" s="770"/>
      <c r="AF109" s="770"/>
      <c r="AG109" s="770"/>
      <c r="AH109" s="770"/>
      <c r="AI109" s="770"/>
      <c r="AJ109" s="770"/>
      <c r="AK109" s="770"/>
      <c r="AL109" s="770"/>
      <c r="AM109" s="770"/>
      <c r="AN109" s="770"/>
      <c r="AO109" s="770"/>
      <c r="AP109" s="770"/>
      <c r="AQ109" s="770"/>
      <c r="AR109" s="770"/>
      <c r="AS109" s="770"/>
      <c r="AT109" s="770"/>
      <c r="AU109" s="770"/>
      <c r="AV109" s="770"/>
      <c r="AW109" s="1209"/>
      <c r="AX109" s="1209"/>
      <c r="AY109" s="1209"/>
      <c r="AZ109" s="1209"/>
    </row>
    <row r="110" spans="1:52">
      <c r="A110" s="770"/>
      <c r="B110" s="770"/>
      <c r="C110" s="770"/>
      <c r="D110" s="770"/>
      <c r="E110" s="770"/>
      <c r="F110" s="770"/>
      <c r="G110" s="770"/>
      <c r="H110" s="770"/>
      <c r="I110" s="770"/>
      <c r="J110" s="770"/>
      <c r="K110" s="770"/>
      <c r="L110" s="770"/>
      <c r="M110" s="770"/>
      <c r="N110" s="770"/>
      <c r="O110" s="770"/>
      <c r="P110" s="770"/>
      <c r="Q110" s="770"/>
      <c r="R110" s="770"/>
      <c r="S110" s="770"/>
      <c r="T110" s="770"/>
      <c r="U110" s="770"/>
      <c r="V110" s="770"/>
      <c r="W110" s="770"/>
      <c r="X110" s="770"/>
      <c r="Y110" s="770"/>
      <c r="Z110" s="770"/>
      <c r="AA110" s="770"/>
      <c r="AB110" s="770"/>
      <c r="AC110" s="770"/>
      <c r="AD110" s="770"/>
      <c r="AE110" s="770"/>
      <c r="AF110" s="770"/>
      <c r="AG110" s="770"/>
      <c r="AH110" s="770"/>
      <c r="AI110" s="770"/>
      <c r="AJ110" s="770"/>
      <c r="AK110" s="770"/>
      <c r="AL110" s="770"/>
      <c r="AM110" s="770"/>
      <c r="AN110" s="770"/>
      <c r="AO110" s="770"/>
      <c r="AP110" s="770"/>
      <c r="AQ110" s="770"/>
      <c r="AR110" s="770"/>
      <c r="AS110" s="770"/>
      <c r="AT110" s="770"/>
      <c r="AU110" s="770"/>
      <c r="AV110" s="770"/>
      <c r="AW110" s="1209"/>
      <c r="AX110" s="1209"/>
      <c r="AY110" s="1209"/>
      <c r="AZ110" s="1209"/>
    </row>
    <row r="111" spans="1:52">
      <c r="A111" s="770"/>
      <c r="B111" s="770"/>
      <c r="C111" s="770"/>
      <c r="D111" s="770"/>
      <c r="E111" s="770"/>
      <c r="F111" s="770"/>
      <c r="G111" s="770"/>
      <c r="H111" s="770"/>
      <c r="I111" s="770"/>
      <c r="J111" s="770"/>
      <c r="K111" s="770"/>
      <c r="L111" s="770"/>
      <c r="M111" s="770"/>
      <c r="N111" s="770"/>
      <c r="O111" s="770"/>
      <c r="P111" s="770"/>
      <c r="Q111" s="770"/>
      <c r="R111" s="770"/>
      <c r="S111" s="770"/>
      <c r="T111" s="770"/>
      <c r="U111" s="770"/>
      <c r="V111" s="770"/>
      <c r="W111" s="770"/>
      <c r="X111" s="770"/>
      <c r="Y111" s="770"/>
      <c r="Z111" s="770"/>
      <c r="AA111" s="770"/>
      <c r="AB111" s="770"/>
      <c r="AC111" s="770"/>
      <c r="AD111" s="770"/>
      <c r="AE111" s="770"/>
      <c r="AF111" s="770"/>
      <c r="AG111" s="770"/>
      <c r="AH111" s="770"/>
      <c r="AI111" s="770"/>
      <c r="AJ111" s="770"/>
      <c r="AK111" s="770"/>
      <c r="AL111" s="770"/>
      <c r="AM111" s="770"/>
      <c r="AN111" s="770"/>
      <c r="AO111" s="770"/>
      <c r="AP111" s="770"/>
      <c r="AQ111" s="770"/>
      <c r="AR111" s="770"/>
      <c r="AS111" s="770"/>
      <c r="AT111" s="770"/>
      <c r="AU111" s="770"/>
      <c r="AV111" s="770"/>
      <c r="AW111" s="1209"/>
      <c r="AX111" s="1209"/>
      <c r="AY111" s="1209"/>
      <c r="AZ111" s="1209"/>
    </row>
    <row r="112" spans="1:52">
      <c r="A112" s="770"/>
      <c r="B112" s="770"/>
      <c r="C112" s="770"/>
      <c r="D112" s="770"/>
      <c r="E112" s="770"/>
      <c r="F112" s="770"/>
      <c r="G112" s="770"/>
      <c r="H112" s="770"/>
      <c r="I112" s="770"/>
      <c r="J112" s="770"/>
      <c r="K112" s="770"/>
      <c r="L112" s="770"/>
      <c r="M112" s="770"/>
      <c r="N112" s="770"/>
      <c r="O112" s="770"/>
      <c r="P112" s="770"/>
      <c r="Q112" s="770"/>
      <c r="R112" s="770"/>
      <c r="S112" s="770"/>
      <c r="T112" s="770"/>
      <c r="U112" s="770"/>
      <c r="V112" s="770"/>
      <c r="W112" s="770"/>
      <c r="X112" s="770"/>
      <c r="Y112" s="770"/>
      <c r="Z112" s="770"/>
      <c r="AA112" s="770"/>
      <c r="AB112" s="770"/>
      <c r="AC112" s="770"/>
      <c r="AD112" s="770"/>
      <c r="AE112" s="770"/>
      <c r="AF112" s="770"/>
      <c r="AG112" s="770"/>
      <c r="AH112" s="770"/>
      <c r="AI112" s="770"/>
      <c r="AJ112" s="770"/>
      <c r="AK112" s="770"/>
      <c r="AL112" s="770"/>
      <c r="AM112" s="770"/>
      <c r="AN112" s="770"/>
      <c r="AO112" s="770"/>
      <c r="AP112" s="770"/>
      <c r="AQ112" s="770"/>
      <c r="AR112" s="770"/>
      <c r="AS112" s="770"/>
      <c r="AT112" s="770"/>
      <c r="AU112" s="770"/>
      <c r="AV112" s="770"/>
      <c r="AW112" s="1209"/>
      <c r="AX112" s="1209"/>
      <c r="AY112" s="1209"/>
      <c r="AZ112" s="1209"/>
    </row>
    <row r="113" spans="1:52">
      <c r="A113" s="770"/>
      <c r="B113" s="770"/>
      <c r="C113" s="770"/>
      <c r="D113" s="770"/>
      <c r="E113" s="770"/>
      <c r="F113" s="770"/>
      <c r="G113" s="770"/>
      <c r="H113" s="770"/>
      <c r="I113" s="770"/>
      <c r="J113" s="770"/>
      <c r="K113" s="770"/>
      <c r="L113" s="770"/>
      <c r="M113" s="770"/>
      <c r="N113" s="770"/>
      <c r="O113" s="770"/>
      <c r="P113" s="770"/>
      <c r="Q113" s="770"/>
      <c r="R113" s="770"/>
      <c r="S113" s="770"/>
      <c r="T113" s="770"/>
      <c r="U113" s="770"/>
      <c r="V113" s="770"/>
      <c r="W113" s="770"/>
      <c r="X113" s="770"/>
      <c r="Y113" s="770"/>
      <c r="Z113" s="770"/>
      <c r="AA113" s="770"/>
      <c r="AB113" s="770"/>
      <c r="AC113" s="770"/>
      <c r="AD113" s="770"/>
      <c r="AE113" s="770"/>
      <c r="AF113" s="770"/>
      <c r="AG113" s="770"/>
      <c r="AH113" s="770"/>
      <c r="AI113" s="770"/>
      <c r="AJ113" s="770"/>
      <c r="AK113" s="770"/>
      <c r="AL113" s="770"/>
      <c r="AM113" s="770"/>
      <c r="AN113" s="770"/>
      <c r="AO113" s="770"/>
      <c r="AP113" s="770"/>
      <c r="AQ113" s="770"/>
      <c r="AR113" s="770"/>
      <c r="AS113" s="770"/>
      <c r="AT113" s="770"/>
      <c r="AU113" s="770"/>
      <c r="AV113" s="770"/>
      <c r="AW113" s="1209"/>
      <c r="AX113" s="1209"/>
      <c r="AY113" s="1209"/>
      <c r="AZ113" s="1209"/>
    </row>
    <row r="114" spans="1:52">
      <c r="A114" s="770"/>
      <c r="B114" s="770"/>
      <c r="C114" s="770"/>
      <c r="D114" s="770"/>
      <c r="E114" s="770"/>
      <c r="F114" s="770"/>
      <c r="G114" s="770"/>
      <c r="H114" s="770"/>
      <c r="I114" s="770"/>
      <c r="J114" s="770"/>
      <c r="K114" s="770"/>
      <c r="L114" s="770"/>
      <c r="M114" s="770"/>
      <c r="N114" s="770"/>
      <c r="O114" s="770"/>
      <c r="P114" s="770"/>
      <c r="Q114" s="770"/>
      <c r="R114" s="770"/>
      <c r="S114" s="770"/>
      <c r="T114" s="770"/>
      <c r="U114" s="770"/>
      <c r="V114" s="770"/>
      <c r="W114" s="770"/>
      <c r="X114" s="770"/>
      <c r="Y114" s="770"/>
      <c r="Z114" s="770"/>
      <c r="AA114" s="770"/>
      <c r="AB114" s="770"/>
      <c r="AC114" s="770"/>
      <c r="AD114" s="770"/>
      <c r="AE114" s="770"/>
      <c r="AF114" s="770"/>
      <c r="AG114" s="770"/>
      <c r="AH114" s="770"/>
      <c r="AI114" s="770"/>
      <c r="AJ114" s="770"/>
      <c r="AK114" s="770"/>
      <c r="AL114" s="770"/>
      <c r="AM114" s="770"/>
      <c r="AN114" s="770"/>
      <c r="AO114" s="770"/>
      <c r="AP114" s="770"/>
      <c r="AQ114" s="770"/>
      <c r="AR114" s="770"/>
      <c r="AS114" s="770"/>
      <c r="AT114" s="770"/>
      <c r="AU114" s="770"/>
      <c r="AV114" s="770"/>
      <c r="AW114" s="1209"/>
      <c r="AX114" s="1209"/>
      <c r="AY114" s="1209"/>
      <c r="AZ114" s="1209"/>
    </row>
    <row r="115" spans="1:52">
      <c r="A115" s="770"/>
      <c r="B115" s="770"/>
      <c r="C115" s="770"/>
      <c r="D115" s="770"/>
      <c r="E115" s="770"/>
      <c r="F115" s="770"/>
      <c r="G115" s="770"/>
      <c r="H115" s="770"/>
      <c r="I115" s="770"/>
      <c r="J115" s="770"/>
      <c r="K115" s="770"/>
      <c r="L115" s="770"/>
      <c r="M115" s="770"/>
      <c r="N115" s="770"/>
      <c r="O115" s="770"/>
      <c r="P115" s="770"/>
      <c r="Q115" s="770"/>
      <c r="R115" s="770"/>
      <c r="S115" s="770"/>
      <c r="T115" s="770"/>
      <c r="U115" s="770"/>
      <c r="V115" s="770"/>
      <c r="W115" s="770"/>
      <c r="X115" s="770"/>
      <c r="Y115" s="770"/>
      <c r="Z115" s="770"/>
      <c r="AA115" s="770"/>
      <c r="AB115" s="770"/>
      <c r="AC115" s="770"/>
      <c r="AD115" s="770"/>
      <c r="AE115" s="770"/>
      <c r="AF115" s="770"/>
      <c r="AG115" s="770"/>
      <c r="AH115" s="770"/>
      <c r="AI115" s="770"/>
      <c r="AJ115" s="770"/>
      <c r="AK115" s="770"/>
      <c r="AL115" s="770"/>
      <c r="AM115" s="770"/>
      <c r="AN115" s="770"/>
      <c r="AO115" s="770"/>
      <c r="AP115" s="770"/>
      <c r="AQ115" s="770"/>
      <c r="AR115" s="770"/>
      <c r="AS115" s="770"/>
      <c r="AT115" s="770"/>
      <c r="AU115" s="770"/>
      <c r="AV115" s="770"/>
      <c r="AW115" s="1209"/>
      <c r="AX115" s="1209"/>
      <c r="AY115" s="1209"/>
      <c r="AZ115" s="1209"/>
    </row>
    <row r="116" spans="1:52">
      <c r="A116" s="770"/>
      <c r="B116" s="1209"/>
      <c r="C116" s="1209"/>
      <c r="D116" s="1209"/>
      <c r="E116" s="1209"/>
      <c r="F116" s="1209"/>
      <c r="G116" s="1209"/>
      <c r="H116" s="1209"/>
      <c r="I116" s="1209"/>
      <c r="J116" s="1209"/>
      <c r="K116" s="1209"/>
      <c r="L116" s="1209"/>
      <c r="M116" s="1209"/>
      <c r="N116" s="1209"/>
      <c r="O116" s="1209"/>
      <c r="P116" s="1209"/>
      <c r="Q116" s="1209"/>
      <c r="R116" s="1209"/>
      <c r="S116" s="1209"/>
      <c r="T116" s="1209"/>
      <c r="U116" s="1209"/>
      <c r="V116" s="1209"/>
      <c r="W116" s="1209"/>
      <c r="X116" s="1209"/>
      <c r="Y116" s="1209"/>
      <c r="Z116" s="1209"/>
      <c r="AA116" s="1209"/>
      <c r="AB116" s="1209"/>
      <c r="AC116" s="1209"/>
      <c r="AD116" s="1209"/>
      <c r="AE116" s="1209"/>
      <c r="AF116" s="1209"/>
      <c r="AG116" s="1209"/>
      <c r="AH116" s="1209"/>
      <c r="AI116" s="1209"/>
      <c r="AJ116" s="1209"/>
      <c r="AK116" s="1209"/>
      <c r="AL116" s="1209"/>
      <c r="AM116" s="1209"/>
      <c r="AN116" s="1209"/>
      <c r="AO116" s="1209"/>
      <c r="AP116" s="1209"/>
      <c r="AQ116" s="1209"/>
      <c r="AR116" s="1209"/>
      <c r="AS116" s="1209"/>
      <c r="AT116" s="1209"/>
      <c r="AU116" s="1209"/>
      <c r="AV116" s="1209"/>
      <c r="AW116" s="1209"/>
      <c r="AX116" s="1209"/>
      <c r="AY116" s="1209"/>
      <c r="AZ116" s="1209"/>
    </row>
    <row r="117" spans="1:52">
      <c r="A117" s="1209"/>
      <c r="B117" s="1209"/>
      <c r="C117" s="1209"/>
      <c r="D117" s="1209"/>
      <c r="E117" s="1209"/>
      <c r="F117" s="1209"/>
      <c r="G117" s="1209"/>
      <c r="H117" s="1209"/>
      <c r="I117" s="1209"/>
      <c r="J117" s="1209"/>
      <c r="K117" s="1209"/>
      <c r="L117" s="1209"/>
      <c r="M117" s="1209"/>
      <c r="N117" s="1209"/>
      <c r="O117" s="1209"/>
      <c r="P117" s="1209"/>
      <c r="Q117" s="1209"/>
      <c r="R117" s="1209"/>
      <c r="S117" s="1209"/>
      <c r="T117" s="1209"/>
      <c r="U117" s="1209"/>
      <c r="V117" s="1209"/>
      <c r="W117" s="1209"/>
      <c r="X117" s="1209"/>
      <c r="Y117" s="1209"/>
      <c r="Z117" s="1209"/>
      <c r="AA117" s="1209"/>
      <c r="AB117" s="1209"/>
      <c r="AC117" s="1209"/>
      <c r="AD117" s="1209"/>
      <c r="AE117" s="1209"/>
      <c r="AF117" s="1209"/>
      <c r="AG117" s="1209"/>
      <c r="AH117" s="1209"/>
      <c r="AI117" s="1209"/>
      <c r="AJ117" s="1209"/>
      <c r="AK117" s="1209"/>
      <c r="AL117" s="1209"/>
      <c r="AM117" s="1209"/>
      <c r="AN117" s="1209"/>
      <c r="AO117" s="1209"/>
      <c r="AP117" s="1209"/>
      <c r="AQ117" s="1209"/>
      <c r="AR117" s="1209"/>
      <c r="AS117" s="1209"/>
      <c r="AT117" s="1209"/>
      <c r="AU117" s="1209"/>
      <c r="AV117" s="1209"/>
      <c r="AW117" s="1209"/>
      <c r="AX117" s="1209"/>
      <c r="AY117" s="1209"/>
      <c r="AZ117" s="1209"/>
    </row>
    <row r="118" spans="1:52">
      <c r="A118" s="1209"/>
      <c r="B118" s="1209"/>
      <c r="C118" s="1209"/>
      <c r="D118" s="1209"/>
      <c r="E118" s="1209"/>
      <c r="F118" s="1209"/>
      <c r="G118" s="1209"/>
      <c r="H118" s="1209"/>
      <c r="I118" s="1209"/>
      <c r="J118" s="1209"/>
      <c r="K118" s="1209"/>
      <c r="L118" s="1209"/>
      <c r="M118" s="1209"/>
      <c r="N118" s="1209"/>
      <c r="O118" s="1209"/>
      <c r="P118" s="1209"/>
      <c r="Q118" s="1209"/>
      <c r="R118" s="1209"/>
      <c r="S118" s="1209"/>
      <c r="T118" s="1209"/>
      <c r="U118" s="1209"/>
      <c r="V118" s="1209"/>
      <c r="W118" s="1209"/>
      <c r="X118" s="1209"/>
      <c r="Y118" s="1209"/>
      <c r="Z118" s="1209"/>
      <c r="AA118" s="1209"/>
      <c r="AB118" s="1209"/>
      <c r="AC118" s="1209"/>
      <c r="AD118" s="1209"/>
      <c r="AE118" s="1209"/>
      <c r="AF118" s="1209"/>
      <c r="AG118" s="1209"/>
      <c r="AH118" s="1209"/>
      <c r="AI118" s="1209"/>
      <c r="AJ118" s="1209"/>
      <c r="AK118" s="1209"/>
      <c r="AL118" s="1209"/>
      <c r="AM118" s="1209"/>
      <c r="AN118" s="1209"/>
      <c r="AO118" s="1209"/>
      <c r="AP118" s="1209"/>
      <c r="AQ118" s="1209"/>
      <c r="AR118" s="1209"/>
      <c r="AS118" s="1209"/>
      <c r="AT118" s="1209"/>
      <c r="AU118" s="1209"/>
      <c r="AV118" s="1209"/>
      <c r="AW118" s="1209"/>
      <c r="AX118" s="1209"/>
      <c r="AY118" s="1209"/>
      <c r="AZ118" s="1209"/>
    </row>
    <row r="119" spans="1:52">
      <c r="A119" s="1209"/>
      <c r="B119" s="1209"/>
      <c r="C119" s="1209"/>
      <c r="D119" s="1209"/>
      <c r="E119" s="1209"/>
      <c r="F119" s="1209"/>
      <c r="G119" s="1209"/>
      <c r="H119" s="1209"/>
      <c r="I119" s="1209"/>
      <c r="J119" s="1209"/>
      <c r="K119" s="1209"/>
      <c r="L119" s="1209"/>
      <c r="M119" s="1209"/>
      <c r="N119" s="1209"/>
      <c r="O119" s="1209"/>
      <c r="P119" s="1209"/>
      <c r="Q119" s="1209"/>
      <c r="R119" s="1209"/>
      <c r="S119" s="1209"/>
      <c r="T119" s="1209"/>
      <c r="U119" s="1209"/>
      <c r="V119" s="1209"/>
      <c r="W119" s="1209"/>
      <c r="X119" s="1209"/>
      <c r="Y119" s="1209"/>
      <c r="Z119" s="1209"/>
      <c r="AA119" s="1209"/>
      <c r="AB119" s="1209"/>
      <c r="AC119" s="1209"/>
      <c r="AD119" s="1209"/>
      <c r="AE119" s="1209"/>
      <c r="AF119" s="1209"/>
      <c r="AG119" s="1209"/>
      <c r="AH119" s="1209"/>
      <c r="AI119" s="1209"/>
      <c r="AJ119" s="1209"/>
      <c r="AK119" s="1209"/>
      <c r="AL119" s="1209"/>
      <c r="AM119" s="1209"/>
      <c r="AN119" s="1209"/>
      <c r="AO119" s="1209"/>
      <c r="AP119" s="1209"/>
      <c r="AQ119" s="1209"/>
      <c r="AR119" s="1209"/>
      <c r="AS119" s="1209"/>
      <c r="AT119" s="1209"/>
      <c r="AU119" s="1209"/>
      <c r="AV119" s="1209"/>
      <c r="AW119" s="1209"/>
      <c r="AX119" s="1209"/>
      <c r="AY119" s="1209"/>
      <c r="AZ119" s="1209"/>
    </row>
    <row r="120" spans="1:52">
      <c r="A120" s="1209"/>
      <c r="B120" s="1209"/>
      <c r="C120" s="1209"/>
      <c r="D120" s="1209"/>
      <c r="E120" s="1209"/>
      <c r="F120" s="1209"/>
      <c r="G120" s="1209"/>
      <c r="H120" s="1209"/>
      <c r="I120" s="1209"/>
      <c r="J120" s="1209"/>
      <c r="K120" s="1209"/>
      <c r="L120" s="1209"/>
      <c r="M120" s="1209"/>
      <c r="N120" s="1209"/>
      <c r="O120" s="1209"/>
      <c r="P120" s="1209"/>
      <c r="Q120" s="1209"/>
      <c r="R120" s="1209"/>
      <c r="S120" s="1209"/>
      <c r="T120" s="1209"/>
      <c r="U120" s="1209"/>
      <c r="V120" s="1209"/>
      <c r="W120" s="1209"/>
      <c r="X120" s="1209"/>
      <c r="Y120" s="1209"/>
      <c r="Z120" s="1209"/>
      <c r="AA120" s="1209"/>
      <c r="AB120" s="1209"/>
      <c r="AC120" s="1209"/>
      <c r="AD120" s="1209"/>
      <c r="AE120" s="1209"/>
      <c r="AF120" s="1209"/>
      <c r="AG120" s="1209"/>
      <c r="AH120" s="1209"/>
      <c r="AI120" s="1209"/>
      <c r="AJ120" s="1209"/>
      <c r="AK120" s="1209"/>
      <c r="AL120" s="1209"/>
      <c r="AM120" s="1209"/>
      <c r="AN120" s="1209"/>
      <c r="AO120" s="1209"/>
      <c r="AP120" s="1209"/>
      <c r="AQ120" s="1209"/>
      <c r="AR120" s="1209"/>
      <c r="AS120" s="1209"/>
      <c r="AT120" s="1209"/>
      <c r="AU120" s="1209"/>
      <c r="AV120" s="1209"/>
      <c r="AW120" s="1209"/>
      <c r="AX120" s="1209"/>
      <c r="AY120" s="1209"/>
      <c r="AZ120" s="1209"/>
    </row>
    <row r="121" spans="1:52">
      <c r="A121" s="1209"/>
      <c r="B121" s="1209"/>
      <c r="C121" s="1209"/>
      <c r="D121" s="1209"/>
      <c r="E121" s="1209"/>
      <c r="F121" s="1209"/>
      <c r="G121" s="1209"/>
      <c r="H121" s="1209"/>
      <c r="I121" s="1209"/>
      <c r="J121" s="1209"/>
      <c r="K121" s="1209"/>
      <c r="L121" s="1209"/>
      <c r="M121" s="1209"/>
      <c r="N121" s="1209"/>
      <c r="O121" s="1209"/>
      <c r="P121" s="1209"/>
      <c r="Q121" s="1209"/>
      <c r="R121" s="1209"/>
      <c r="S121" s="1209"/>
      <c r="T121" s="1209"/>
      <c r="U121" s="1209"/>
      <c r="V121" s="1209"/>
      <c r="W121" s="1209"/>
      <c r="X121" s="1209"/>
      <c r="Y121" s="1209"/>
      <c r="Z121" s="1209"/>
      <c r="AA121" s="1209"/>
      <c r="AB121" s="1209"/>
      <c r="AC121" s="1209"/>
      <c r="AD121" s="1209"/>
      <c r="AE121" s="1209"/>
      <c r="AF121" s="1209"/>
      <c r="AG121" s="1209"/>
      <c r="AH121" s="1209"/>
      <c r="AI121" s="1209"/>
      <c r="AJ121" s="1209"/>
      <c r="AK121" s="1209"/>
      <c r="AL121" s="1209"/>
      <c r="AM121" s="1209"/>
      <c r="AN121" s="1209"/>
      <c r="AO121" s="1209"/>
      <c r="AP121" s="1209"/>
      <c r="AQ121" s="1209"/>
      <c r="AR121" s="1209"/>
      <c r="AS121" s="1209"/>
      <c r="AT121" s="1209"/>
      <c r="AU121" s="1209"/>
      <c r="AV121" s="1209"/>
      <c r="AW121" s="1209"/>
      <c r="AX121" s="1209"/>
      <c r="AY121" s="1209"/>
      <c r="AZ121" s="1209"/>
    </row>
    <row r="122" spans="1:52">
      <c r="A122" s="1209"/>
      <c r="B122" s="1209"/>
      <c r="C122" s="1209"/>
      <c r="D122" s="1209"/>
      <c r="E122" s="1209"/>
      <c r="F122" s="1209"/>
      <c r="G122" s="1209"/>
      <c r="H122" s="1209"/>
      <c r="I122" s="1209"/>
      <c r="J122" s="1209"/>
      <c r="K122" s="1209"/>
      <c r="L122" s="1209"/>
      <c r="M122" s="1209"/>
      <c r="N122" s="1209"/>
      <c r="O122" s="1209"/>
      <c r="P122" s="1209"/>
      <c r="Q122" s="1209"/>
      <c r="R122" s="1209"/>
      <c r="S122" s="1209"/>
      <c r="T122" s="1209"/>
      <c r="U122" s="1209"/>
      <c r="V122" s="1209"/>
      <c r="W122" s="1209"/>
      <c r="X122" s="1209"/>
      <c r="Y122" s="1209"/>
      <c r="Z122" s="1209"/>
      <c r="AA122" s="1209"/>
      <c r="AB122" s="1209"/>
      <c r="AC122" s="1209"/>
      <c r="AD122" s="1209"/>
      <c r="AE122" s="1209"/>
      <c r="AF122" s="1209"/>
      <c r="AG122" s="1209"/>
      <c r="AH122" s="1209"/>
      <c r="AI122" s="1209"/>
      <c r="AJ122" s="1209"/>
      <c r="AK122" s="1209"/>
      <c r="AL122" s="1209"/>
      <c r="AM122" s="1209"/>
      <c r="AN122" s="1209"/>
      <c r="AO122" s="1209"/>
      <c r="AP122" s="1209"/>
      <c r="AQ122" s="1209"/>
      <c r="AR122" s="1209"/>
      <c r="AS122" s="1209"/>
      <c r="AT122" s="1209"/>
      <c r="AU122" s="1209"/>
      <c r="AV122" s="1209"/>
      <c r="AW122" s="1209"/>
      <c r="AX122" s="1209"/>
      <c r="AY122" s="1209"/>
      <c r="AZ122" s="1209"/>
    </row>
    <row r="123" spans="1:52">
      <c r="A123" s="1209"/>
      <c r="B123" s="1209"/>
      <c r="C123" s="1209"/>
      <c r="D123" s="1209"/>
      <c r="E123" s="1209"/>
      <c r="F123" s="1209"/>
      <c r="G123" s="1209"/>
      <c r="H123" s="1209"/>
      <c r="I123" s="1209"/>
      <c r="J123" s="1209"/>
      <c r="K123" s="1209"/>
      <c r="L123" s="1209"/>
      <c r="M123" s="1209"/>
      <c r="N123" s="1209"/>
      <c r="O123" s="1209"/>
      <c r="P123" s="1209"/>
      <c r="Q123" s="1209"/>
      <c r="R123" s="1209"/>
      <c r="S123" s="1209"/>
      <c r="T123" s="1209"/>
      <c r="U123" s="1209"/>
      <c r="V123" s="1209"/>
      <c r="W123" s="1209"/>
      <c r="X123" s="1209"/>
      <c r="Y123" s="1209"/>
      <c r="Z123" s="1209"/>
      <c r="AA123" s="1209"/>
      <c r="AB123" s="1209"/>
      <c r="AC123" s="1209"/>
      <c r="AD123" s="1209"/>
      <c r="AE123" s="1209"/>
      <c r="AF123" s="1209"/>
      <c r="AG123" s="1209"/>
      <c r="AH123" s="1209"/>
      <c r="AI123" s="1209"/>
      <c r="AJ123" s="1209"/>
      <c r="AK123" s="1209"/>
      <c r="AL123" s="1209"/>
      <c r="AM123" s="1209"/>
      <c r="AN123" s="1209"/>
      <c r="AO123" s="1209"/>
      <c r="AP123" s="1209"/>
      <c r="AQ123" s="1209"/>
      <c r="AR123" s="1209"/>
      <c r="AS123" s="1209"/>
      <c r="AT123" s="1209"/>
      <c r="AU123" s="1209"/>
      <c r="AV123" s="1209"/>
      <c r="AW123" s="1209"/>
      <c r="AX123" s="1209"/>
      <c r="AY123" s="1209"/>
      <c r="AZ123" s="1209"/>
    </row>
    <row r="124" spans="1:52">
      <c r="A124" s="1209"/>
      <c r="B124" s="1209"/>
      <c r="C124" s="1209"/>
      <c r="D124" s="1209"/>
      <c r="E124" s="1209"/>
      <c r="F124" s="1209"/>
      <c r="G124" s="1209"/>
      <c r="H124" s="1209"/>
      <c r="I124" s="1209"/>
      <c r="J124" s="1209"/>
      <c r="K124" s="1209"/>
      <c r="L124" s="1209"/>
      <c r="M124" s="1209"/>
      <c r="N124" s="1209"/>
      <c r="O124" s="1209"/>
      <c r="P124" s="1209"/>
      <c r="Q124" s="1209"/>
      <c r="R124" s="1209"/>
      <c r="S124" s="1209"/>
      <c r="T124" s="1209"/>
      <c r="U124" s="1209"/>
      <c r="V124" s="1209"/>
      <c r="W124" s="1209"/>
      <c r="X124" s="1209"/>
      <c r="Y124" s="1209"/>
      <c r="Z124" s="1209"/>
      <c r="AA124" s="1209"/>
      <c r="AB124" s="1209"/>
      <c r="AC124" s="1209"/>
      <c r="AD124" s="1209"/>
      <c r="AE124" s="1209"/>
      <c r="AF124" s="1209"/>
      <c r="AG124" s="1209"/>
      <c r="AH124" s="1209"/>
      <c r="AI124" s="1209"/>
      <c r="AJ124" s="1209"/>
      <c r="AK124" s="1209"/>
      <c r="AL124" s="1209"/>
      <c r="AM124" s="1209"/>
      <c r="AN124" s="1209"/>
      <c r="AO124" s="1209"/>
      <c r="AP124" s="1209"/>
      <c r="AQ124" s="1209"/>
      <c r="AR124" s="1209"/>
      <c r="AS124" s="1209"/>
      <c r="AT124" s="1209"/>
      <c r="AU124" s="1209"/>
      <c r="AV124" s="1209"/>
      <c r="AW124" s="1209"/>
      <c r="AX124" s="1209"/>
      <c r="AY124" s="1209"/>
      <c r="AZ124" s="1209"/>
    </row>
    <row r="125" spans="1:52">
      <c r="A125" s="1209"/>
      <c r="B125" s="1209"/>
      <c r="C125" s="1209"/>
      <c r="D125" s="1209"/>
      <c r="E125" s="1209"/>
      <c r="F125" s="1209"/>
      <c r="G125" s="1209"/>
      <c r="H125" s="1209"/>
      <c r="I125" s="1209"/>
      <c r="J125" s="1209"/>
      <c r="K125" s="1209"/>
      <c r="L125" s="1209"/>
      <c r="M125" s="1209"/>
      <c r="N125" s="1209"/>
      <c r="O125" s="1209"/>
      <c r="P125" s="1209"/>
      <c r="Q125" s="1209"/>
      <c r="R125" s="1209"/>
      <c r="S125" s="1209"/>
      <c r="T125" s="1209"/>
      <c r="U125" s="1209"/>
      <c r="V125" s="1209"/>
      <c r="W125" s="1209"/>
      <c r="X125" s="1209"/>
      <c r="Y125" s="1209"/>
      <c r="Z125" s="1209"/>
      <c r="AA125" s="1209"/>
      <c r="AB125" s="1209"/>
      <c r="AC125" s="1209"/>
      <c r="AD125" s="1209"/>
      <c r="AE125" s="1209"/>
      <c r="AF125" s="1209"/>
      <c r="AG125" s="1209"/>
      <c r="AH125" s="1209"/>
      <c r="AI125" s="1209"/>
      <c r="AJ125" s="1209"/>
      <c r="AK125" s="1209"/>
      <c r="AL125" s="1209"/>
      <c r="AM125" s="1209"/>
      <c r="AN125" s="1209"/>
      <c r="AO125" s="1209"/>
      <c r="AP125" s="1209"/>
      <c r="AQ125" s="1209"/>
      <c r="AR125" s="1209"/>
      <c r="AS125" s="1209"/>
      <c r="AT125" s="1209"/>
      <c r="AU125" s="1209"/>
      <c r="AV125" s="1209"/>
      <c r="AW125" s="1209"/>
      <c r="AX125" s="1209"/>
      <c r="AY125" s="1209"/>
      <c r="AZ125" s="1209"/>
    </row>
    <row r="126" spans="1:52">
      <c r="A126" s="1209"/>
      <c r="B126" s="1209"/>
      <c r="C126" s="1209"/>
      <c r="D126" s="1209"/>
      <c r="E126" s="1209"/>
      <c r="F126" s="1209"/>
      <c r="G126" s="1209"/>
      <c r="H126" s="1209"/>
      <c r="I126" s="1209"/>
      <c r="J126" s="1209"/>
      <c r="K126" s="1209"/>
      <c r="L126" s="1209"/>
      <c r="M126" s="1209"/>
      <c r="N126" s="1209"/>
      <c r="O126" s="1209"/>
      <c r="P126" s="1209"/>
      <c r="Q126" s="1209"/>
      <c r="R126" s="1209"/>
      <c r="S126" s="1209"/>
      <c r="T126" s="1209"/>
      <c r="U126" s="1209"/>
      <c r="V126" s="1209"/>
      <c r="W126" s="1209"/>
      <c r="X126" s="1209"/>
      <c r="Y126" s="1209"/>
      <c r="Z126" s="1209"/>
      <c r="AA126" s="1209"/>
      <c r="AB126" s="1209"/>
      <c r="AC126" s="1209"/>
      <c r="AD126" s="1209"/>
      <c r="AE126" s="1209"/>
      <c r="AF126" s="1209"/>
      <c r="AG126" s="1209"/>
      <c r="AH126" s="1209"/>
      <c r="AI126" s="1209"/>
      <c r="AJ126" s="1209"/>
      <c r="AK126" s="1209"/>
      <c r="AL126" s="1209"/>
      <c r="AM126" s="1209"/>
      <c r="AN126" s="1209"/>
      <c r="AO126" s="1209"/>
      <c r="AP126" s="1209"/>
      <c r="AQ126" s="1209"/>
      <c r="AR126" s="1209"/>
      <c r="AS126" s="1209"/>
      <c r="AT126" s="1209"/>
      <c r="AU126" s="1209"/>
      <c r="AV126" s="1209"/>
      <c r="AW126" s="1209"/>
      <c r="AX126" s="1209"/>
      <c r="AY126" s="1209"/>
      <c r="AZ126" s="1209"/>
    </row>
    <row r="127" spans="1:52">
      <c r="A127" s="1209"/>
      <c r="B127" s="1209"/>
      <c r="C127" s="1209"/>
      <c r="D127" s="1209"/>
      <c r="E127" s="1209"/>
      <c r="F127" s="1209"/>
      <c r="G127" s="1209"/>
      <c r="H127" s="1209"/>
      <c r="I127" s="1209"/>
      <c r="J127" s="1209"/>
      <c r="K127" s="1209"/>
      <c r="L127" s="1209"/>
      <c r="M127" s="1209"/>
      <c r="N127" s="1209"/>
      <c r="O127" s="1209"/>
      <c r="P127" s="1209"/>
      <c r="Q127" s="1209"/>
      <c r="R127" s="1209"/>
      <c r="S127" s="1209"/>
      <c r="T127" s="1209"/>
      <c r="U127" s="1209"/>
      <c r="V127" s="1209"/>
      <c r="W127" s="1209"/>
      <c r="X127" s="1209"/>
      <c r="Y127" s="1209"/>
      <c r="Z127" s="1209"/>
      <c r="AA127" s="1209"/>
      <c r="AB127" s="1209"/>
      <c r="AC127" s="1209"/>
      <c r="AD127" s="1209"/>
      <c r="AE127" s="1209"/>
      <c r="AF127" s="1209"/>
      <c r="AG127" s="1209"/>
      <c r="AH127" s="1209"/>
      <c r="AI127" s="1209"/>
      <c r="AJ127" s="1209"/>
      <c r="AK127" s="1209"/>
      <c r="AL127" s="1209"/>
      <c r="AM127" s="1209"/>
      <c r="AN127" s="1209"/>
      <c r="AO127" s="1209"/>
      <c r="AP127" s="1209"/>
      <c r="AQ127" s="1209"/>
      <c r="AR127" s="1209"/>
      <c r="AS127" s="1209"/>
      <c r="AT127" s="1209"/>
      <c r="AU127" s="1209"/>
      <c r="AV127" s="1209"/>
      <c r="AW127" s="1209"/>
      <c r="AX127" s="1209"/>
      <c r="AY127" s="1209"/>
      <c r="AZ127" s="1209"/>
    </row>
    <row r="128" spans="1:52">
      <c r="A128" s="1209"/>
      <c r="B128" s="1209"/>
      <c r="C128" s="1209"/>
      <c r="D128" s="1209"/>
      <c r="E128" s="1209"/>
      <c r="F128" s="1209"/>
      <c r="G128" s="1209"/>
      <c r="H128" s="1209"/>
      <c r="I128" s="1209"/>
      <c r="J128" s="1209"/>
      <c r="K128" s="1209"/>
      <c r="L128" s="1209"/>
      <c r="M128" s="1209"/>
      <c r="N128" s="1209"/>
      <c r="O128" s="1209"/>
      <c r="P128" s="1209"/>
      <c r="Q128" s="1209"/>
      <c r="R128" s="1209"/>
      <c r="S128" s="1209"/>
      <c r="T128" s="1209"/>
      <c r="U128" s="1209"/>
      <c r="V128" s="1209"/>
      <c r="W128" s="1209"/>
      <c r="X128" s="1209"/>
      <c r="Y128" s="1209"/>
      <c r="Z128" s="1209"/>
      <c r="AA128" s="1209"/>
      <c r="AB128" s="1209"/>
      <c r="AC128" s="1209"/>
      <c r="AD128" s="1209"/>
      <c r="AE128" s="1209"/>
      <c r="AF128" s="1209"/>
      <c r="AG128" s="1209"/>
      <c r="AH128" s="1209"/>
      <c r="AI128" s="1209"/>
      <c r="AJ128" s="1209"/>
      <c r="AK128" s="1209"/>
      <c r="AL128" s="1209"/>
      <c r="AM128" s="1209"/>
      <c r="AN128" s="1209"/>
      <c r="AO128" s="1209"/>
      <c r="AP128" s="1209"/>
      <c r="AQ128" s="1209"/>
      <c r="AR128" s="1209"/>
      <c r="AS128" s="1209"/>
      <c r="AT128" s="1209"/>
      <c r="AU128" s="1209"/>
      <c r="AV128" s="1209"/>
      <c r="AW128" s="1209"/>
      <c r="AX128" s="1209"/>
      <c r="AY128" s="1209"/>
      <c r="AZ128" s="1209"/>
    </row>
    <row r="129" spans="1:52">
      <c r="A129" s="1209"/>
      <c r="B129" s="1209"/>
      <c r="C129" s="1209"/>
      <c r="D129" s="1209"/>
      <c r="E129" s="1209"/>
      <c r="F129" s="1209"/>
      <c r="G129" s="1209"/>
      <c r="H129" s="1209"/>
      <c r="I129" s="1209"/>
      <c r="J129" s="1209"/>
      <c r="K129" s="1209"/>
      <c r="L129" s="1209"/>
      <c r="M129" s="1209"/>
      <c r="N129" s="1209"/>
      <c r="O129" s="1209"/>
      <c r="P129" s="1209"/>
      <c r="Q129" s="1209"/>
      <c r="R129" s="1209"/>
      <c r="S129" s="1209"/>
      <c r="T129" s="1209"/>
      <c r="U129" s="1209"/>
      <c r="V129" s="1209"/>
      <c r="W129" s="1209"/>
      <c r="X129" s="1209"/>
      <c r="Y129" s="1209"/>
      <c r="Z129" s="1209"/>
      <c r="AA129" s="1209"/>
      <c r="AB129" s="1209"/>
      <c r="AC129" s="1209"/>
      <c r="AD129" s="1209"/>
      <c r="AE129" s="1209"/>
      <c r="AF129" s="1209"/>
      <c r="AG129" s="1209"/>
      <c r="AH129" s="1209"/>
      <c r="AI129" s="1209"/>
      <c r="AJ129" s="1209"/>
      <c r="AK129" s="1209"/>
      <c r="AL129" s="1209"/>
      <c r="AM129" s="1209"/>
      <c r="AN129" s="1209"/>
      <c r="AO129" s="1209"/>
      <c r="AP129" s="1209"/>
      <c r="AQ129" s="1209"/>
      <c r="AR129" s="1209"/>
      <c r="AS129" s="1209"/>
      <c r="AT129" s="1209"/>
      <c r="AU129" s="1209"/>
      <c r="AV129" s="1209"/>
      <c r="AW129" s="1209"/>
      <c r="AX129" s="1209"/>
      <c r="AY129" s="1209"/>
      <c r="AZ129" s="1209"/>
    </row>
    <row r="130" spans="1:52">
      <c r="A130" s="1209"/>
      <c r="B130" s="1209"/>
      <c r="C130" s="1209"/>
      <c r="D130" s="1209"/>
      <c r="E130" s="1209"/>
      <c r="F130" s="1209"/>
      <c r="G130" s="1209"/>
      <c r="H130" s="1209"/>
      <c r="I130" s="1209"/>
      <c r="J130" s="1209"/>
      <c r="K130" s="1209"/>
      <c r="L130" s="1209"/>
      <c r="M130" s="1209"/>
      <c r="N130" s="1209"/>
      <c r="O130" s="1209"/>
      <c r="P130" s="1209"/>
      <c r="Q130" s="1209"/>
      <c r="R130" s="1209"/>
      <c r="S130" s="1209"/>
      <c r="T130" s="1209"/>
      <c r="U130" s="1209"/>
      <c r="V130" s="1209"/>
      <c r="W130" s="1209"/>
      <c r="X130" s="1209"/>
      <c r="Y130" s="1209"/>
      <c r="Z130" s="1209"/>
      <c r="AA130" s="1209"/>
      <c r="AB130" s="1209"/>
      <c r="AC130" s="1209"/>
      <c r="AD130" s="1209"/>
      <c r="AE130" s="1209"/>
      <c r="AF130" s="1209"/>
      <c r="AG130" s="1209"/>
      <c r="AH130" s="1209"/>
      <c r="AI130" s="1209"/>
      <c r="AJ130" s="1209"/>
      <c r="AK130" s="1209"/>
      <c r="AL130" s="1209"/>
      <c r="AM130" s="1209"/>
      <c r="AN130" s="1209"/>
      <c r="AO130" s="1209"/>
      <c r="AP130" s="1209"/>
      <c r="AQ130" s="1209"/>
      <c r="AR130" s="1209"/>
      <c r="AS130" s="1209"/>
      <c r="AT130" s="1209"/>
      <c r="AU130" s="1209"/>
      <c r="AV130" s="1209"/>
      <c r="AW130" s="1209"/>
      <c r="AX130" s="1209"/>
      <c r="AY130" s="1209"/>
      <c r="AZ130" s="1209"/>
    </row>
    <row r="131" spans="1:52">
      <c r="A131" s="1209"/>
      <c r="B131" s="1209"/>
      <c r="C131" s="1209"/>
      <c r="D131" s="1209"/>
      <c r="E131" s="1209"/>
      <c r="F131" s="1209"/>
      <c r="G131" s="1209"/>
      <c r="H131" s="1209"/>
      <c r="I131" s="1209"/>
      <c r="J131" s="1209"/>
      <c r="K131" s="1209"/>
      <c r="L131" s="1209"/>
      <c r="M131" s="1209"/>
      <c r="N131" s="1209"/>
      <c r="O131" s="1209"/>
      <c r="P131" s="1209"/>
      <c r="Q131" s="1209"/>
      <c r="R131" s="1209"/>
      <c r="S131" s="1209"/>
      <c r="T131" s="1209"/>
      <c r="U131" s="1209"/>
      <c r="V131" s="1209"/>
      <c r="W131" s="1209"/>
      <c r="X131" s="1209"/>
      <c r="Y131" s="1209"/>
      <c r="Z131" s="1209"/>
      <c r="AA131" s="1209"/>
      <c r="AB131" s="1209"/>
      <c r="AC131" s="1209"/>
      <c r="AD131" s="1209"/>
      <c r="AE131" s="1209"/>
      <c r="AF131" s="1209"/>
      <c r="AG131" s="1209"/>
      <c r="AH131" s="1209"/>
      <c r="AI131" s="1209"/>
      <c r="AJ131" s="1209"/>
      <c r="AK131" s="1209"/>
      <c r="AL131" s="1209"/>
      <c r="AM131" s="1209"/>
      <c r="AN131" s="1209"/>
      <c r="AO131" s="1209"/>
      <c r="AP131" s="1209"/>
      <c r="AQ131" s="1209"/>
      <c r="AR131" s="1209"/>
      <c r="AS131" s="1209"/>
      <c r="AT131" s="1209"/>
      <c r="AU131" s="1209"/>
      <c r="AV131" s="1209"/>
      <c r="AW131" s="1209"/>
      <c r="AX131" s="1209"/>
      <c r="AY131" s="1209"/>
      <c r="AZ131" s="1209"/>
    </row>
    <row r="132" spans="1:52">
      <c r="A132" s="1209"/>
      <c r="B132" s="1209"/>
      <c r="C132" s="1209"/>
      <c r="D132" s="1209"/>
      <c r="E132" s="1209"/>
      <c r="F132" s="1209"/>
      <c r="G132" s="1209"/>
      <c r="H132" s="1209"/>
      <c r="I132" s="1209"/>
      <c r="J132" s="1209"/>
      <c r="K132" s="1209"/>
      <c r="L132" s="1209"/>
      <c r="M132" s="1209"/>
      <c r="N132" s="1209"/>
      <c r="O132" s="1209"/>
      <c r="P132" s="1209"/>
      <c r="Q132" s="1209"/>
      <c r="R132" s="1209"/>
      <c r="S132" s="1209"/>
      <c r="T132" s="1209"/>
      <c r="U132" s="1209"/>
      <c r="V132" s="1209"/>
      <c r="W132" s="1209"/>
      <c r="X132" s="1209"/>
      <c r="Y132" s="1209"/>
      <c r="Z132" s="1209"/>
      <c r="AA132" s="1209"/>
      <c r="AB132" s="1209"/>
      <c r="AC132" s="1209"/>
      <c r="AD132" s="1209"/>
      <c r="AE132" s="1209"/>
      <c r="AF132" s="1209"/>
      <c r="AG132" s="1209"/>
      <c r="AH132" s="1209"/>
      <c r="AI132" s="1209"/>
      <c r="AJ132" s="1209"/>
      <c r="AK132" s="1209"/>
      <c r="AL132" s="1209"/>
      <c r="AM132" s="1209"/>
      <c r="AN132" s="1209"/>
      <c r="AO132" s="1209"/>
      <c r="AP132" s="1209"/>
      <c r="AQ132" s="1209"/>
      <c r="AR132" s="1209"/>
      <c r="AS132" s="1209"/>
      <c r="AT132" s="1209"/>
      <c r="AU132" s="1209"/>
      <c r="AV132" s="1209"/>
      <c r="AW132" s="1209"/>
      <c r="AX132" s="1209"/>
      <c r="AY132" s="1209"/>
      <c r="AZ132" s="1209"/>
    </row>
    <row r="133" spans="1:52">
      <c r="A133" s="1209"/>
      <c r="B133" s="1209"/>
      <c r="C133" s="1209"/>
      <c r="D133" s="1209"/>
      <c r="E133" s="1209"/>
      <c r="F133" s="1209"/>
      <c r="G133" s="1209"/>
      <c r="H133" s="1209"/>
      <c r="I133" s="1209"/>
      <c r="J133" s="1209"/>
      <c r="K133" s="1209"/>
      <c r="L133" s="1209"/>
      <c r="M133" s="1209"/>
      <c r="N133" s="1209"/>
      <c r="O133" s="1209"/>
      <c r="P133" s="1209"/>
      <c r="Q133" s="1209"/>
      <c r="R133" s="1209"/>
      <c r="S133" s="1209"/>
      <c r="T133" s="1209"/>
      <c r="U133" s="1209"/>
      <c r="V133" s="1209"/>
      <c r="W133" s="1209"/>
      <c r="X133" s="1209"/>
      <c r="Y133" s="1209"/>
      <c r="Z133" s="1209"/>
      <c r="AA133" s="1209"/>
      <c r="AB133" s="1209"/>
      <c r="AC133" s="1209"/>
      <c r="AD133" s="1209"/>
      <c r="AE133" s="1209"/>
      <c r="AF133" s="1209"/>
      <c r="AG133" s="1209"/>
      <c r="AH133" s="1209"/>
      <c r="AI133" s="1209"/>
      <c r="AJ133" s="1209"/>
      <c r="AK133" s="1209"/>
      <c r="AL133" s="1209"/>
      <c r="AM133" s="1209"/>
      <c r="AN133" s="1209"/>
      <c r="AO133" s="1209"/>
      <c r="AP133" s="1209"/>
      <c r="AQ133" s="1209"/>
      <c r="AR133" s="1209"/>
      <c r="AS133" s="1209"/>
      <c r="AT133" s="1209"/>
      <c r="AU133" s="1209"/>
      <c r="AV133" s="1209"/>
      <c r="AW133" s="1209"/>
      <c r="AX133" s="1209"/>
      <c r="AY133" s="1209"/>
      <c r="AZ133" s="1209"/>
    </row>
    <row r="134" spans="1:52">
      <c r="A134" s="1209"/>
      <c r="B134" s="1209"/>
      <c r="C134" s="1209"/>
      <c r="D134" s="1209"/>
      <c r="E134" s="1209"/>
      <c r="F134" s="1209"/>
      <c r="G134" s="1209"/>
      <c r="H134" s="1209"/>
      <c r="I134" s="1209"/>
      <c r="J134" s="1209"/>
      <c r="K134" s="1209"/>
      <c r="L134" s="1209"/>
      <c r="M134" s="1209"/>
      <c r="N134" s="1209"/>
      <c r="O134" s="1209"/>
      <c r="P134" s="1209"/>
      <c r="Q134" s="1209"/>
      <c r="R134" s="1209"/>
      <c r="S134" s="1209"/>
      <c r="T134" s="1209"/>
      <c r="U134" s="1209"/>
      <c r="V134" s="1209"/>
      <c r="W134" s="1209"/>
      <c r="X134" s="1209"/>
      <c r="Y134" s="1209"/>
      <c r="Z134" s="1209"/>
      <c r="AA134" s="1209"/>
      <c r="AB134" s="1209"/>
      <c r="AC134" s="1209"/>
      <c r="AD134" s="1209"/>
      <c r="AE134" s="1209"/>
      <c r="AF134" s="1209"/>
      <c r="AG134" s="1209"/>
      <c r="AH134" s="1209"/>
      <c r="AI134" s="1209"/>
      <c r="AJ134" s="1209"/>
      <c r="AK134" s="1209"/>
      <c r="AL134" s="1209"/>
      <c r="AM134" s="1209"/>
      <c r="AN134" s="1209"/>
      <c r="AO134" s="1209"/>
      <c r="AP134" s="1209"/>
      <c r="AQ134" s="1209"/>
      <c r="AR134" s="1209"/>
      <c r="AS134" s="1209"/>
      <c r="AT134" s="1209"/>
      <c r="AU134" s="1209"/>
      <c r="AV134" s="1209"/>
      <c r="AW134" s="1209"/>
      <c r="AX134" s="1209"/>
      <c r="AY134" s="1209"/>
      <c r="AZ134" s="1209"/>
    </row>
    <row r="135" spans="1:52">
      <c r="A135" s="1209"/>
      <c r="B135" s="1209"/>
      <c r="C135" s="1209"/>
      <c r="D135" s="1209"/>
      <c r="E135" s="1209"/>
      <c r="F135" s="1209"/>
      <c r="G135" s="1209"/>
      <c r="H135" s="1209"/>
      <c r="I135" s="1209"/>
      <c r="J135" s="1209"/>
      <c r="K135" s="1209"/>
      <c r="L135" s="1209"/>
      <c r="M135" s="1209"/>
      <c r="N135" s="1209"/>
      <c r="O135" s="1209"/>
      <c r="P135" s="1209"/>
      <c r="Q135" s="1209"/>
      <c r="R135" s="1209"/>
      <c r="S135" s="1209"/>
      <c r="T135" s="1209"/>
      <c r="U135" s="1209"/>
      <c r="V135" s="1209"/>
      <c r="W135" s="1209"/>
      <c r="X135" s="1209"/>
      <c r="Y135" s="1209"/>
      <c r="Z135" s="1209"/>
      <c r="AA135" s="1209"/>
      <c r="AB135" s="1209"/>
      <c r="AC135" s="1209"/>
      <c r="AD135" s="1209"/>
      <c r="AE135" s="1209"/>
      <c r="AF135" s="1209"/>
      <c r="AG135" s="1209"/>
      <c r="AH135" s="1209"/>
      <c r="AI135" s="1209"/>
      <c r="AJ135" s="1209"/>
      <c r="AK135" s="1209"/>
      <c r="AL135" s="1209"/>
      <c r="AM135" s="1209"/>
      <c r="AN135" s="1209"/>
      <c r="AO135" s="1209"/>
      <c r="AP135" s="1209"/>
      <c r="AQ135" s="1209"/>
      <c r="AR135" s="1209"/>
      <c r="AS135" s="1209"/>
      <c r="AT135" s="1209"/>
      <c r="AU135" s="1209"/>
      <c r="AV135" s="1209"/>
      <c r="AW135" s="1209"/>
      <c r="AX135" s="1209"/>
      <c r="AY135" s="1209"/>
      <c r="AZ135" s="1209"/>
    </row>
    <row r="136" spans="1:52">
      <c r="A136" s="1209"/>
      <c r="B136" s="1209"/>
      <c r="C136" s="1209"/>
      <c r="D136" s="1209"/>
      <c r="E136" s="1209"/>
      <c r="F136" s="1209"/>
      <c r="G136" s="1209"/>
      <c r="H136" s="1209"/>
      <c r="I136" s="1209"/>
      <c r="J136" s="1209"/>
      <c r="K136" s="1209"/>
      <c r="L136" s="1209"/>
      <c r="M136" s="1209"/>
      <c r="N136" s="1209"/>
      <c r="O136" s="1209"/>
      <c r="P136" s="1209"/>
      <c r="Q136" s="1209"/>
      <c r="R136" s="1209"/>
      <c r="S136" s="1209"/>
      <c r="T136" s="1209"/>
      <c r="U136" s="1209"/>
      <c r="V136" s="1209"/>
      <c r="W136" s="1209"/>
      <c r="X136" s="1209"/>
      <c r="Y136" s="1209"/>
      <c r="Z136" s="1209"/>
      <c r="AA136" s="1209"/>
      <c r="AB136" s="1209"/>
      <c r="AC136" s="1209"/>
      <c r="AD136" s="1209"/>
      <c r="AE136" s="1209"/>
      <c r="AF136" s="1209"/>
      <c r="AG136" s="1209"/>
      <c r="AH136" s="1209"/>
      <c r="AI136" s="1209"/>
      <c r="AJ136" s="1209"/>
      <c r="AK136" s="1209"/>
      <c r="AL136" s="1209"/>
      <c r="AM136" s="1209"/>
      <c r="AN136" s="1209"/>
      <c r="AO136" s="1209"/>
      <c r="AP136" s="1209"/>
      <c r="AQ136" s="1209"/>
      <c r="AR136" s="1209"/>
      <c r="AS136" s="1209"/>
      <c r="AT136" s="1209"/>
      <c r="AU136" s="1209"/>
      <c r="AV136" s="1209"/>
      <c r="AW136" s="1209"/>
      <c r="AX136" s="1209"/>
      <c r="AY136" s="1209"/>
      <c r="AZ136" s="1209"/>
    </row>
    <row r="137" spans="1:52">
      <c r="A137" s="1209"/>
      <c r="B137" s="1209"/>
      <c r="C137" s="1209"/>
      <c r="D137" s="1209"/>
      <c r="E137" s="1209"/>
      <c r="F137" s="1209"/>
      <c r="G137" s="1209"/>
      <c r="H137" s="1209"/>
      <c r="I137" s="1209"/>
      <c r="J137" s="1209"/>
      <c r="K137" s="1209"/>
      <c r="L137" s="1209"/>
      <c r="M137" s="1209"/>
      <c r="N137" s="1209"/>
      <c r="O137" s="1209"/>
      <c r="P137" s="1209"/>
      <c r="Q137" s="1209"/>
      <c r="R137" s="1209"/>
      <c r="S137" s="1209"/>
      <c r="T137" s="1209"/>
      <c r="U137" s="1209"/>
      <c r="V137" s="1209"/>
      <c r="W137" s="1209"/>
      <c r="X137" s="1209"/>
      <c r="Y137" s="1209"/>
      <c r="Z137" s="1209"/>
      <c r="AA137" s="1209"/>
      <c r="AB137" s="1209"/>
      <c r="AC137" s="1209"/>
      <c r="AD137" s="1209"/>
      <c r="AE137" s="1209"/>
      <c r="AF137" s="1209"/>
      <c r="AG137" s="1209"/>
      <c r="AH137" s="1209"/>
      <c r="AI137" s="1209"/>
      <c r="AJ137" s="1209"/>
      <c r="AK137" s="1209"/>
      <c r="AL137" s="1209"/>
      <c r="AM137" s="1209"/>
      <c r="AN137" s="1209"/>
      <c r="AO137" s="1209"/>
      <c r="AP137" s="1209"/>
      <c r="AQ137" s="1209"/>
      <c r="AR137" s="1209"/>
      <c r="AS137" s="1209"/>
      <c r="AT137" s="1209"/>
      <c r="AU137" s="1209"/>
      <c r="AV137" s="1209"/>
      <c r="AW137" s="1209"/>
      <c r="AX137" s="1209"/>
      <c r="AY137" s="1209"/>
      <c r="AZ137" s="1209"/>
    </row>
    <row r="138" spans="1:52">
      <c r="A138" s="1209"/>
      <c r="B138" s="1209"/>
      <c r="C138" s="1209"/>
      <c r="D138" s="1209"/>
      <c r="E138" s="1209"/>
      <c r="F138" s="1209"/>
      <c r="G138" s="1209"/>
      <c r="H138" s="1209"/>
      <c r="I138" s="1209"/>
      <c r="J138" s="1209"/>
      <c r="K138" s="1209"/>
      <c r="L138" s="1209"/>
      <c r="M138" s="1209"/>
      <c r="N138" s="1209"/>
      <c r="O138" s="1209"/>
      <c r="P138" s="1209"/>
      <c r="Q138" s="1209"/>
      <c r="R138" s="1209"/>
      <c r="S138" s="1209"/>
      <c r="T138" s="1209"/>
      <c r="U138" s="1209"/>
      <c r="V138" s="1209"/>
      <c r="W138" s="1209"/>
      <c r="X138" s="1209"/>
      <c r="Y138" s="1209"/>
      <c r="Z138" s="1209"/>
      <c r="AA138" s="1209"/>
      <c r="AB138" s="1209"/>
      <c r="AC138" s="1209"/>
      <c r="AD138" s="1209"/>
      <c r="AE138" s="1209"/>
      <c r="AF138" s="1209"/>
      <c r="AG138" s="1209"/>
      <c r="AH138" s="1209"/>
      <c r="AI138" s="1209"/>
      <c r="AJ138" s="1209"/>
      <c r="AK138" s="1209"/>
      <c r="AL138" s="1209"/>
      <c r="AM138" s="1209"/>
      <c r="AN138" s="1209"/>
      <c r="AO138" s="1209"/>
      <c r="AP138" s="1209"/>
      <c r="AQ138" s="1209"/>
      <c r="AR138" s="1209"/>
      <c r="AS138" s="1209"/>
      <c r="AT138" s="1209"/>
      <c r="AU138" s="1209"/>
      <c r="AV138" s="1209"/>
      <c r="AW138" s="1209"/>
      <c r="AX138" s="1209"/>
      <c r="AY138" s="1209"/>
      <c r="AZ138" s="1209"/>
    </row>
    <row r="139" spans="1:52">
      <c r="A139" s="1209"/>
      <c r="B139" s="1209"/>
      <c r="C139" s="1209"/>
      <c r="D139" s="1209"/>
      <c r="E139" s="1209"/>
      <c r="F139" s="1209"/>
      <c r="G139" s="1209"/>
      <c r="H139" s="1209"/>
      <c r="I139" s="1209"/>
      <c r="J139" s="1209"/>
      <c r="K139" s="1209"/>
      <c r="L139" s="1209"/>
      <c r="M139" s="1209"/>
      <c r="N139" s="1209"/>
      <c r="O139" s="1209"/>
      <c r="P139" s="1209"/>
      <c r="Q139" s="1209"/>
      <c r="R139" s="1209"/>
      <c r="S139" s="1209"/>
      <c r="T139" s="1209"/>
      <c r="U139" s="1209"/>
      <c r="V139" s="1209"/>
      <c r="W139" s="1209"/>
      <c r="X139" s="1209"/>
      <c r="Y139" s="1209"/>
      <c r="Z139" s="1209"/>
      <c r="AA139" s="1209"/>
      <c r="AB139" s="1209"/>
      <c r="AC139" s="1209"/>
      <c r="AD139" s="1209"/>
      <c r="AE139" s="1209"/>
      <c r="AF139" s="1209"/>
      <c r="AG139" s="1209"/>
      <c r="AH139" s="1209"/>
      <c r="AI139" s="1209"/>
      <c r="AJ139" s="1209"/>
      <c r="AK139" s="1209"/>
      <c r="AL139" s="1209"/>
      <c r="AM139" s="1209"/>
      <c r="AN139" s="1209"/>
      <c r="AO139" s="1209"/>
      <c r="AP139" s="1209"/>
      <c r="AQ139" s="1209"/>
      <c r="AR139" s="1209"/>
      <c r="AS139" s="1209"/>
      <c r="AT139" s="1209"/>
      <c r="AU139" s="1209"/>
      <c r="AV139" s="1209"/>
      <c r="AW139" s="1209"/>
      <c r="AX139" s="1209"/>
      <c r="AY139" s="1209"/>
      <c r="AZ139" s="1209"/>
    </row>
    <row r="140" spans="1:52">
      <c r="A140" s="1209"/>
      <c r="B140" s="1209"/>
      <c r="C140" s="1209"/>
      <c r="D140" s="1209"/>
      <c r="E140" s="1209"/>
      <c r="F140" s="1209"/>
      <c r="G140" s="1209"/>
      <c r="H140" s="1209"/>
      <c r="I140" s="1209"/>
      <c r="J140" s="1209"/>
      <c r="K140" s="1209"/>
      <c r="L140" s="1209"/>
      <c r="M140" s="1209"/>
      <c r="N140" s="1209"/>
      <c r="O140" s="1209"/>
      <c r="P140" s="1209"/>
      <c r="Q140" s="1209"/>
      <c r="R140" s="1209"/>
      <c r="S140" s="1209"/>
      <c r="T140" s="1209"/>
      <c r="U140" s="1209"/>
      <c r="V140" s="1209"/>
      <c r="W140" s="1209"/>
      <c r="X140" s="1209"/>
      <c r="Y140" s="1209"/>
      <c r="Z140" s="1209"/>
      <c r="AA140" s="1209"/>
      <c r="AB140" s="1209"/>
      <c r="AC140" s="1209"/>
      <c r="AD140" s="1209"/>
      <c r="AE140" s="1209"/>
      <c r="AF140" s="1209"/>
      <c r="AG140" s="1209"/>
      <c r="AH140" s="1209"/>
      <c r="AI140" s="1209"/>
      <c r="AJ140" s="1209"/>
      <c r="AK140" s="1209"/>
      <c r="AL140" s="1209"/>
      <c r="AM140" s="1209"/>
      <c r="AN140" s="1209"/>
      <c r="AO140" s="1209"/>
      <c r="AP140" s="1209"/>
      <c r="AQ140" s="1209"/>
      <c r="AR140" s="1209"/>
      <c r="AS140" s="1209"/>
      <c r="AT140" s="1209"/>
      <c r="AU140" s="1209"/>
      <c r="AV140" s="1209"/>
      <c r="AW140" s="1209"/>
      <c r="AX140" s="1209"/>
      <c r="AY140" s="1209"/>
      <c r="AZ140" s="1209"/>
    </row>
    <row r="141" spans="1:52">
      <c r="A141" s="1209"/>
      <c r="B141" s="1209"/>
      <c r="C141" s="1209"/>
      <c r="D141" s="1209"/>
      <c r="E141" s="1209"/>
      <c r="F141" s="1209"/>
      <c r="G141" s="1209"/>
      <c r="H141" s="1209"/>
      <c r="I141" s="1209"/>
      <c r="J141" s="1209"/>
      <c r="K141" s="1209"/>
      <c r="L141" s="1209"/>
      <c r="M141" s="1209"/>
      <c r="N141" s="1209"/>
      <c r="O141" s="1209"/>
      <c r="P141" s="1209"/>
      <c r="Q141" s="1209"/>
      <c r="R141" s="1209"/>
      <c r="S141" s="1209"/>
      <c r="T141" s="1209"/>
      <c r="U141" s="1209"/>
      <c r="V141" s="1209"/>
      <c r="W141" s="1209"/>
      <c r="X141" s="1209"/>
      <c r="Y141" s="1209"/>
      <c r="Z141" s="1209"/>
      <c r="AA141" s="1209"/>
      <c r="AB141" s="1209"/>
      <c r="AC141" s="1209"/>
      <c r="AD141" s="1209"/>
      <c r="AE141" s="1209"/>
      <c r="AF141" s="1209"/>
      <c r="AG141" s="1209"/>
      <c r="AH141" s="1209"/>
      <c r="AI141" s="1209"/>
      <c r="AJ141" s="1209"/>
      <c r="AK141" s="1209"/>
      <c r="AL141" s="1209"/>
      <c r="AM141" s="1209"/>
      <c r="AN141" s="1209"/>
      <c r="AO141" s="1209"/>
      <c r="AP141" s="1209"/>
      <c r="AQ141" s="1209"/>
      <c r="AR141" s="1209"/>
      <c r="AS141" s="1209"/>
      <c r="AT141" s="1209"/>
      <c r="AU141" s="1209"/>
      <c r="AV141" s="1209"/>
      <c r="AW141" s="1209"/>
      <c r="AX141" s="1209"/>
      <c r="AY141" s="1209"/>
      <c r="AZ141" s="1209"/>
    </row>
    <row r="142" spans="1:52">
      <c r="A142" s="1209"/>
      <c r="B142" s="1209"/>
      <c r="C142" s="1209"/>
      <c r="D142" s="1209"/>
      <c r="E142" s="1209"/>
      <c r="F142" s="1209"/>
      <c r="G142" s="1209"/>
      <c r="H142" s="1209"/>
      <c r="I142" s="1209"/>
      <c r="J142" s="1209"/>
      <c r="K142" s="1209"/>
      <c r="L142" s="1209"/>
      <c r="M142" s="1209"/>
      <c r="N142" s="1209"/>
      <c r="O142" s="1209"/>
      <c r="P142" s="1209"/>
      <c r="Q142" s="1209"/>
      <c r="R142" s="1209"/>
      <c r="S142" s="1209"/>
      <c r="T142" s="1209"/>
      <c r="U142" s="1209"/>
      <c r="V142" s="1209"/>
      <c r="W142" s="1209"/>
      <c r="X142" s="1209"/>
      <c r="Y142" s="1209"/>
      <c r="Z142" s="1209"/>
      <c r="AA142" s="1209"/>
      <c r="AB142" s="1209"/>
      <c r="AC142" s="1209"/>
      <c r="AD142" s="1209"/>
      <c r="AE142" s="1209"/>
      <c r="AF142" s="1209"/>
      <c r="AG142" s="1209"/>
      <c r="AH142" s="1209"/>
      <c r="AI142" s="1209"/>
      <c r="AJ142" s="1209"/>
      <c r="AK142" s="1209"/>
      <c r="AL142" s="1209"/>
      <c r="AM142" s="1209"/>
      <c r="AN142" s="1209"/>
      <c r="AO142" s="1209"/>
      <c r="AP142" s="1209"/>
      <c r="AQ142" s="1209"/>
      <c r="AR142" s="1209"/>
      <c r="AS142" s="1209"/>
      <c r="AT142" s="1209"/>
      <c r="AU142" s="1209"/>
      <c r="AV142" s="1209"/>
      <c r="AW142" s="1209"/>
      <c r="AX142" s="1209"/>
      <c r="AY142" s="1209"/>
      <c r="AZ142" s="1209"/>
    </row>
    <row r="143" spans="1:52">
      <c r="A143" s="1209"/>
      <c r="B143" s="1209"/>
      <c r="C143" s="1209"/>
      <c r="D143" s="1209"/>
      <c r="E143" s="1209"/>
      <c r="F143" s="1209"/>
      <c r="G143" s="1209"/>
      <c r="H143" s="1209"/>
      <c r="I143" s="1209"/>
      <c r="J143" s="1209"/>
      <c r="K143" s="1209"/>
      <c r="L143" s="1209"/>
      <c r="M143" s="1209"/>
      <c r="N143" s="1209"/>
      <c r="O143" s="1209"/>
      <c r="P143" s="1209"/>
      <c r="Q143" s="1209"/>
      <c r="R143" s="1209"/>
      <c r="S143" s="1209"/>
      <c r="T143" s="1209"/>
      <c r="U143" s="1209"/>
      <c r="V143" s="1209"/>
      <c r="W143" s="1209"/>
      <c r="X143" s="1209"/>
      <c r="Y143" s="1209"/>
      <c r="Z143" s="1209"/>
      <c r="AA143" s="1209"/>
      <c r="AB143" s="1209"/>
      <c r="AC143" s="1209"/>
      <c r="AD143" s="1209"/>
      <c r="AE143" s="1209"/>
      <c r="AF143" s="1209"/>
      <c r="AG143" s="1209"/>
      <c r="AH143" s="1209"/>
      <c r="AI143" s="1209"/>
      <c r="AJ143" s="1209"/>
      <c r="AK143" s="1209"/>
      <c r="AL143" s="1209"/>
      <c r="AM143" s="1209"/>
      <c r="AN143" s="1209"/>
      <c r="AO143" s="1209"/>
      <c r="AP143" s="1209"/>
      <c r="AQ143" s="1209"/>
      <c r="AR143" s="1209"/>
      <c r="AS143" s="1209"/>
      <c r="AT143" s="1209"/>
      <c r="AU143" s="1209"/>
      <c r="AV143" s="1209"/>
      <c r="AW143" s="1209"/>
      <c r="AX143" s="1209"/>
      <c r="AY143" s="1209"/>
      <c r="AZ143" s="1209"/>
    </row>
    <row r="144" spans="1:52">
      <c r="A144" s="1209"/>
      <c r="B144" s="1209"/>
      <c r="C144" s="1209"/>
      <c r="D144" s="1209"/>
      <c r="E144" s="1209"/>
      <c r="F144" s="1209"/>
      <c r="G144" s="1209"/>
      <c r="H144" s="1209"/>
      <c r="I144" s="1209"/>
      <c r="J144" s="1209"/>
      <c r="K144" s="1209"/>
      <c r="L144" s="1209"/>
      <c r="M144" s="1209"/>
      <c r="N144" s="1209"/>
      <c r="O144" s="1209"/>
      <c r="P144" s="1209"/>
      <c r="Q144" s="1209"/>
      <c r="R144" s="1209"/>
      <c r="S144" s="1209"/>
      <c r="T144" s="1209"/>
      <c r="U144" s="1209"/>
      <c r="V144" s="1209"/>
      <c r="W144" s="1209"/>
      <c r="X144" s="1209"/>
      <c r="Y144" s="1209"/>
      <c r="Z144" s="1209"/>
      <c r="AA144" s="1209"/>
      <c r="AB144" s="1209"/>
      <c r="AC144" s="1209"/>
      <c r="AD144" s="1209"/>
      <c r="AE144" s="1209"/>
      <c r="AF144" s="1209"/>
      <c r="AG144" s="1209"/>
      <c r="AH144" s="1209"/>
      <c r="AI144" s="1209"/>
      <c r="AJ144" s="1209"/>
      <c r="AK144" s="1209"/>
      <c r="AL144" s="1209"/>
      <c r="AM144" s="1209"/>
      <c r="AN144" s="1209"/>
      <c r="AO144" s="1209"/>
      <c r="AP144" s="1209"/>
      <c r="AQ144" s="1209"/>
      <c r="AR144" s="1209"/>
      <c r="AS144" s="1209"/>
      <c r="AT144" s="1209"/>
      <c r="AU144" s="1209"/>
      <c r="AV144" s="1209"/>
      <c r="AW144" s="1209"/>
      <c r="AX144" s="1209"/>
      <c r="AY144" s="1209"/>
      <c r="AZ144" s="1209"/>
    </row>
    <row r="145" spans="1:52">
      <c r="A145" s="1209"/>
      <c r="B145" s="1209"/>
      <c r="C145" s="1209"/>
      <c r="D145" s="1209"/>
      <c r="E145" s="1209"/>
      <c r="F145" s="1209"/>
      <c r="G145" s="1209"/>
      <c r="H145" s="1209"/>
      <c r="I145" s="1209"/>
      <c r="J145" s="1209"/>
      <c r="K145" s="1209"/>
      <c r="L145" s="1209"/>
      <c r="M145" s="1209"/>
      <c r="N145" s="1209"/>
      <c r="O145" s="1209"/>
      <c r="P145" s="1209"/>
      <c r="Q145" s="1209"/>
      <c r="R145" s="1209"/>
      <c r="S145" s="1209"/>
      <c r="T145" s="1209"/>
      <c r="U145" s="1209"/>
      <c r="V145" s="1209"/>
      <c r="W145" s="1209"/>
      <c r="X145" s="1209"/>
      <c r="Y145" s="1209"/>
      <c r="Z145" s="1209"/>
      <c r="AA145" s="1209"/>
      <c r="AB145" s="1209"/>
      <c r="AC145" s="1209"/>
      <c r="AD145" s="1209"/>
      <c r="AE145" s="1209"/>
      <c r="AF145" s="1209"/>
      <c r="AG145" s="1209"/>
      <c r="AH145" s="1209"/>
      <c r="AI145" s="1209"/>
      <c r="AJ145" s="1209"/>
      <c r="AK145" s="1209"/>
      <c r="AL145" s="1209"/>
      <c r="AM145" s="1209"/>
      <c r="AN145" s="1209"/>
      <c r="AO145" s="1209"/>
      <c r="AP145" s="1209"/>
      <c r="AQ145" s="1209"/>
      <c r="AR145" s="1209"/>
      <c r="AS145" s="1209"/>
      <c r="AT145" s="1209"/>
      <c r="AU145" s="1209"/>
      <c r="AV145" s="1209"/>
      <c r="AW145" s="1209"/>
      <c r="AX145" s="1209"/>
      <c r="AY145" s="1209"/>
      <c r="AZ145" s="1209"/>
    </row>
    <row r="146" spans="1:52">
      <c r="A146" s="1209"/>
      <c r="B146" s="1209"/>
      <c r="C146" s="1209"/>
      <c r="D146" s="1209"/>
      <c r="E146" s="1209"/>
      <c r="F146" s="1209"/>
      <c r="G146" s="1209"/>
      <c r="H146" s="1209"/>
      <c r="I146" s="1209"/>
      <c r="J146" s="1209"/>
      <c r="K146" s="1209"/>
      <c r="L146" s="1209"/>
      <c r="M146" s="1209"/>
      <c r="N146" s="1209"/>
      <c r="O146" s="1209"/>
      <c r="P146" s="1209"/>
      <c r="Q146" s="1209"/>
      <c r="R146" s="1209"/>
      <c r="S146" s="1209"/>
      <c r="T146" s="1209"/>
      <c r="U146" s="1209"/>
      <c r="V146" s="1209"/>
      <c r="W146" s="1209"/>
      <c r="X146" s="1209"/>
      <c r="Y146" s="1209"/>
      <c r="Z146" s="1209"/>
      <c r="AA146" s="1209"/>
      <c r="AB146" s="1209"/>
      <c r="AC146" s="1209"/>
      <c r="AD146" s="1209"/>
      <c r="AE146" s="1209"/>
      <c r="AF146" s="1209"/>
      <c r="AG146" s="1209"/>
      <c r="AH146" s="1209"/>
      <c r="AI146" s="1209"/>
      <c r="AJ146" s="1209"/>
      <c r="AK146" s="1209"/>
      <c r="AL146" s="1209"/>
      <c r="AM146" s="1209"/>
      <c r="AN146" s="1209"/>
      <c r="AO146" s="1209"/>
      <c r="AP146" s="1209"/>
      <c r="AQ146" s="1209"/>
      <c r="AR146" s="1209"/>
      <c r="AS146" s="1209"/>
      <c r="AT146" s="1209"/>
      <c r="AU146" s="1209"/>
      <c r="AV146" s="1209"/>
      <c r="AW146" s="1209"/>
      <c r="AX146" s="1209"/>
      <c r="AY146" s="1209"/>
      <c r="AZ146" s="1209"/>
    </row>
    <row r="147" spans="1:52">
      <c r="A147" s="1209"/>
      <c r="B147" s="1209"/>
      <c r="C147" s="1209"/>
      <c r="D147" s="1209"/>
      <c r="E147" s="1209"/>
      <c r="F147" s="1209"/>
      <c r="G147" s="1209"/>
      <c r="H147" s="1209"/>
      <c r="I147" s="1209"/>
      <c r="J147" s="1209"/>
      <c r="K147" s="1209"/>
      <c r="L147" s="1209"/>
      <c r="M147" s="1209"/>
      <c r="N147" s="1209"/>
      <c r="O147" s="1209"/>
      <c r="P147" s="1209"/>
      <c r="Q147" s="1209"/>
      <c r="R147" s="1209"/>
      <c r="S147" s="1209"/>
      <c r="T147" s="1209"/>
      <c r="U147" s="1209"/>
      <c r="V147" s="1209"/>
      <c r="W147" s="1209"/>
      <c r="X147" s="1209"/>
      <c r="Y147" s="1209"/>
      <c r="Z147" s="1209"/>
      <c r="AA147" s="1209"/>
      <c r="AB147" s="1209"/>
      <c r="AC147" s="1209"/>
      <c r="AD147" s="1209"/>
      <c r="AE147" s="1209"/>
      <c r="AF147" s="1209"/>
      <c r="AG147" s="1209"/>
      <c r="AH147" s="1209"/>
      <c r="AI147" s="1209"/>
      <c r="AJ147" s="1209"/>
      <c r="AK147" s="1209"/>
      <c r="AL147" s="1209"/>
      <c r="AM147" s="1209"/>
      <c r="AN147" s="1209"/>
      <c r="AO147" s="1209"/>
      <c r="AP147" s="1209"/>
      <c r="AQ147" s="1209"/>
      <c r="AR147" s="1209"/>
      <c r="AS147" s="1209"/>
      <c r="AT147" s="1209"/>
      <c r="AU147" s="1209"/>
      <c r="AV147" s="1209"/>
      <c r="AW147" s="1209"/>
      <c r="AX147" s="1209"/>
      <c r="AY147" s="1209"/>
      <c r="AZ147" s="1209"/>
    </row>
    <row r="148" spans="1:52">
      <c r="A148" s="1209"/>
      <c r="B148" s="1209"/>
      <c r="C148" s="1209"/>
      <c r="D148" s="1209"/>
      <c r="E148" s="1209"/>
      <c r="F148" s="1209"/>
      <c r="G148" s="1209"/>
      <c r="H148" s="1209"/>
      <c r="I148" s="1209"/>
      <c r="J148" s="1209"/>
      <c r="K148" s="1209"/>
      <c r="L148" s="1209"/>
      <c r="M148" s="1209"/>
      <c r="N148" s="1209"/>
      <c r="O148" s="1209"/>
      <c r="P148" s="1209"/>
      <c r="Q148" s="1209"/>
      <c r="R148" s="1209"/>
      <c r="S148" s="1209"/>
      <c r="T148" s="1209"/>
      <c r="U148" s="1209"/>
      <c r="V148" s="1209"/>
      <c r="W148" s="1209"/>
      <c r="X148" s="1209"/>
      <c r="Y148" s="1209"/>
      <c r="Z148" s="1209"/>
      <c r="AA148" s="1209"/>
      <c r="AB148" s="1209"/>
      <c r="AC148" s="1209"/>
      <c r="AD148" s="1209"/>
      <c r="AE148" s="1209"/>
      <c r="AF148" s="1209"/>
      <c r="AG148" s="1209"/>
      <c r="AH148" s="1209"/>
      <c r="AI148" s="1209"/>
      <c r="AJ148" s="1209"/>
      <c r="AK148" s="1209"/>
      <c r="AL148" s="1209"/>
      <c r="AM148" s="1209"/>
      <c r="AN148" s="1209"/>
      <c r="AO148" s="1209"/>
      <c r="AP148" s="1209"/>
      <c r="AQ148" s="1209"/>
      <c r="AR148" s="1209"/>
      <c r="AS148" s="1209"/>
      <c r="AT148" s="1209"/>
      <c r="AU148" s="1209"/>
      <c r="AV148" s="1209"/>
      <c r="AW148" s="1209"/>
      <c r="AX148" s="1209"/>
      <c r="AY148" s="1209"/>
      <c r="AZ148" s="1209"/>
    </row>
    <row r="149" spans="1:52">
      <c r="A149" s="1209"/>
      <c r="B149" s="1209"/>
      <c r="C149" s="1209"/>
      <c r="D149" s="1209"/>
      <c r="E149" s="1209"/>
      <c r="F149" s="1209"/>
      <c r="G149" s="1209"/>
      <c r="H149" s="1209"/>
      <c r="I149" s="1209"/>
      <c r="J149" s="1209"/>
      <c r="K149" s="1209"/>
      <c r="L149" s="1209"/>
      <c r="M149" s="1209"/>
      <c r="N149" s="1209"/>
      <c r="O149" s="1209"/>
      <c r="P149" s="1209"/>
      <c r="Q149" s="1209"/>
      <c r="R149" s="1209"/>
      <c r="S149" s="1209"/>
      <c r="T149" s="1209"/>
      <c r="U149" s="1209"/>
      <c r="V149" s="1209"/>
      <c r="W149" s="1209"/>
      <c r="X149" s="1209"/>
      <c r="Y149" s="1209"/>
      <c r="Z149" s="1209"/>
      <c r="AA149" s="1209"/>
      <c r="AB149" s="1209"/>
      <c r="AC149" s="1209"/>
      <c r="AD149" s="1209"/>
      <c r="AE149" s="1209"/>
      <c r="AF149" s="1209"/>
      <c r="AG149" s="1209"/>
      <c r="AH149" s="1209"/>
      <c r="AI149" s="1209"/>
      <c r="AJ149" s="1209"/>
      <c r="AK149" s="1209"/>
      <c r="AL149" s="1209"/>
      <c r="AM149" s="1209"/>
      <c r="AN149" s="1209"/>
      <c r="AO149" s="1209"/>
      <c r="AP149" s="1209"/>
      <c r="AQ149" s="1209"/>
      <c r="AR149" s="1209"/>
      <c r="AS149" s="1209"/>
      <c r="AT149" s="1209"/>
      <c r="AU149" s="1209"/>
      <c r="AV149" s="1209"/>
      <c r="AW149" s="1209"/>
      <c r="AX149" s="1209"/>
      <c r="AY149" s="1209"/>
      <c r="AZ149" s="1209"/>
    </row>
    <row r="150" spans="1:52">
      <c r="A150" s="1209"/>
      <c r="B150" s="1209"/>
      <c r="C150" s="1209"/>
      <c r="D150" s="1209"/>
      <c r="E150" s="1209"/>
      <c r="F150" s="1209"/>
      <c r="G150" s="1209"/>
      <c r="H150" s="1209"/>
      <c r="I150" s="1209"/>
      <c r="J150" s="1209"/>
      <c r="K150" s="1209"/>
      <c r="L150" s="1209"/>
      <c r="M150" s="1209"/>
      <c r="N150" s="1209"/>
      <c r="O150" s="1209"/>
      <c r="P150" s="1209"/>
      <c r="Q150" s="1209"/>
      <c r="R150" s="1209"/>
      <c r="S150" s="1209"/>
      <c r="T150" s="1209"/>
      <c r="U150" s="1209"/>
      <c r="V150" s="1209"/>
      <c r="W150" s="1209"/>
      <c r="X150" s="1209"/>
      <c r="Y150" s="1209"/>
      <c r="Z150" s="1209"/>
      <c r="AA150" s="1209"/>
      <c r="AB150" s="1209"/>
      <c r="AC150" s="1209"/>
      <c r="AD150" s="1209"/>
      <c r="AE150" s="1209"/>
      <c r="AF150" s="1209"/>
      <c r="AG150" s="1209"/>
      <c r="AH150" s="1209"/>
      <c r="AI150" s="1209"/>
      <c r="AJ150" s="1209"/>
      <c r="AK150" s="1209"/>
      <c r="AL150" s="1209"/>
      <c r="AM150" s="1209"/>
      <c r="AN150" s="1209"/>
      <c r="AO150" s="1209"/>
      <c r="AP150" s="1209"/>
      <c r="AQ150" s="1209"/>
      <c r="AR150" s="1209"/>
      <c r="AS150" s="1209"/>
      <c r="AT150" s="1209"/>
      <c r="AU150" s="1209"/>
      <c r="AV150" s="1209"/>
      <c r="AW150" s="1209"/>
      <c r="AX150" s="1209"/>
      <c r="AY150" s="1209"/>
      <c r="AZ150" s="1209"/>
    </row>
    <row r="151" spans="1:52">
      <c r="A151" s="1209"/>
      <c r="B151" s="1209"/>
      <c r="C151" s="1209"/>
      <c r="D151" s="1209"/>
      <c r="E151" s="1209"/>
      <c r="F151" s="1209"/>
      <c r="G151" s="1209"/>
      <c r="H151" s="1209"/>
      <c r="I151" s="1209"/>
      <c r="J151" s="1209"/>
      <c r="K151" s="1209"/>
      <c r="L151" s="1209"/>
      <c r="M151" s="1209"/>
      <c r="N151" s="1209"/>
      <c r="O151" s="1209"/>
      <c r="P151" s="1209"/>
      <c r="Q151" s="1209"/>
      <c r="R151" s="1209"/>
      <c r="S151" s="1209"/>
      <c r="T151" s="1209"/>
      <c r="U151" s="1209"/>
      <c r="V151" s="1209"/>
      <c r="W151" s="1209"/>
      <c r="X151" s="1209"/>
      <c r="Y151" s="1209"/>
      <c r="Z151" s="1209"/>
      <c r="AA151" s="1209"/>
      <c r="AB151" s="1209"/>
      <c r="AC151" s="1209"/>
      <c r="AD151" s="1209"/>
      <c r="AE151" s="1209"/>
      <c r="AF151" s="1209"/>
      <c r="AG151" s="1209"/>
      <c r="AH151" s="1209"/>
      <c r="AI151" s="1209"/>
      <c r="AJ151" s="1209"/>
      <c r="AK151" s="1209"/>
      <c r="AL151" s="1209"/>
      <c r="AM151" s="1209"/>
      <c r="AN151" s="1209"/>
      <c r="AO151" s="1209"/>
      <c r="AP151" s="1209"/>
      <c r="AQ151" s="1209"/>
      <c r="AR151" s="1209"/>
      <c r="AS151" s="1209"/>
      <c r="AT151" s="1209"/>
      <c r="AU151" s="1209"/>
      <c r="AV151" s="1209"/>
      <c r="AW151" s="1209"/>
      <c r="AX151" s="1209"/>
      <c r="AY151" s="1209"/>
      <c r="AZ151" s="1209"/>
    </row>
    <row r="152" spans="1:52">
      <c r="A152" s="1209"/>
      <c r="B152" s="1209"/>
      <c r="C152" s="1209"/>
      <c r="D152" s="1209"/>
      <c r="E152" s="1209"/>
      <c r="F152" s="1209"/>
      <c r="G152" s="1209"/>
      <c r="H152" s="1209"/>
      <c r="I152" s="1209"/>
      <c r="J152" s="1209"/>
      <c r="K152" s="1209"/>
      <c r="L152" s="1209"/>
      <c r="M152" s="1209"/>
      <c r="N152" s="1209"/>
      <c r="O152" s="1209"/>
      <c r="P152" s="1209"/>
      <c r="Q152" s="1209"/>
      <c r="R152" s="1209"/>
      <c r="S152" s="1209"/>
      <c r="T152" s="1209"/>
      <c r="U152" s="1209"/>
      <c r="V152" s="1209"/>
      <c r="W152" s="1209"/>
      <c r="X152" s="1209"/>
      <c r="Y152" s="1209"/>
      <c r="Z152" s="1209"/>
      <c r="AA152" s="1209"/>
      <c r="AB152" s="1209"/>
      <c r="AC152" s="1209"/>
      <c r="AD152" s="1209"/>
      <c r="AE152" s="1209"/>
      <c r="AF152" s="1209"/>
      <c r="AG152" s="1209"/>
      <c r="AH152" s="1209"/>
      <c r="AI152" s="1209"/>
      <c r="AJ152" s="1209"/>
      <c r="AK152" s="1209"/>
      <c r="AL152" s="1209"/>
      <c r="AM152" s="1209"/>
      <c r="AN152" s="1209"/>
      <c r="AO152" s="1209"/>
      <c r="AP152" s="1209"/>
      <c r="AQ152" s="1209"/>
      <c r="AR152" s="1209"/>
      <c r="AS152" s="1209"/>
      <c r="AT152" s="1209"/>
      <c r="AU152" s="1209"/>
      <c r="AV152" s="1209"/>
      <c r="AW152" s="1209"/>
      <c r="AX152" s="1209"/>
      <c r="AY152" s="1209"/>
      <c r="AZ152" s="1209"/>
    </row>
    <row r="153" spans="1:52">
      <c r="A153" s="1209"/>
      <c r="B153" s="1209"/>
      <c r="C153" s="1209"/>
      <c r="D153" s="1209"/>
      <c r="E153" s="1209"/>
      <c r="F153" s="1209"/>
      <c r="G153" s="1209"/>
      <c r="H153" s="1209"/>
      <c r="I153" s="1209"/>
      <c r="J153" s="1209"/>
      <c r="K153" s="1209"/>
      <c r="L153" s="1209"/>
      <c r="M153" s="1209"/>
      <c r="N153" s="1209"/>
      <c r="O153" s="1209"/>
      <c r="P153" s="1209"/>
      <c r="Q153" s="1209"/>
      <c r="R153" s="1209"/>
      <c r="S153" s="1209"/>
      <c r="T153" s="1209"/>
      <c r="U153" s="1209"/>
      <c r="V153" s="1209"/>
      <c r="W153" s="1209"/>
      <c r="X153" s="1209"/>
      <c r="Y153" s="1209"/>
      <c r="Z153" s="1209"/>
      <c r="AA153" s="1209"/>
      <c r="AB153" s="1209"/>
      <c r="AC153" s="1209"/>
      <c r="AD153" s="1209"/>
      <c r="AE153" s="1209"/>
      <c r="AF153" s="1209"/>
      <c r="AG153" s="1209"/>
      <c r="AH153" s="1209"/>
      <c r="AI153" s="1209"/>
      <c r="AJ153" s="1209"/>
      <c r="AK153" s="1209"/>
      <c r="AL153" s="1209"/>
      <c r="AM153" s="1209"/>
      <c r="AN153" s="1209"/>
      <c r="AO153" s="1209"/>
      <c r="AP153" s="1209"/>
      <c r="AQ153" s="1209"/>
      <c r="AR153" s="1209"/>
      <c r="AS153" s="1209"/>
      <c r="AT153" s="1209"/>
      <c r="AU153" s="1209"/>
      <c r="AV153" s="1209"/>
      <c r="AW153" s="1209"/>
      <c r="AX153" s="1209"/>
      <c r="AY153" s="1209"/>
      <c r="AZ153" s="1209"/>
    </row>
    <row r="154" spans="1:52">
      <c r="A154" s="1209"/>
      <c r="B154" s="1209"/>
      <c r="C154" s="1209"/>
      <c r="D154" s="1209"/>
      <c r="E154" s="1209"/>
      <c r="F154" s="1209"/>
      <c r="G154" s="1209"/>
      <c r="H154" s="1209"/>
      <c r="I154" s="1209"/>
      <c r="J154" s="1209"/>
      <c r="K154" s="1209"/>
      <c r="L154" s="1209"/>
      <c r="M154" s="1209"/>
      <c r="N154" s="1209"/>
      <c r="O154" s="1209"/>
      <c r="P154" s="1209"/>
      <c r="Q154" s="1209"/>
      <c r="R154" s="1209"/>
      <c r="S154" s="1209"/>
      <c r="T154" s="1209"/>
      <c r="U154" s="1209"/>
      <c r="V154" s="1209"/>
      <c r="W154" s="1209"/>
      <c r="X154" s="1209"/>
      <c r="Y154" s="1209"/>
      <c r="Z154" s="1209"/>
      <c r="AA154" s="1209"/>
      <c r="AB154" s="1209"/>
      <c r="AC154" s="1209"/>
      <c r="AD154" s="1209"/>
      <c r="AE154" s="1209"/>
      <c r="AF154" s="1209"/>
      <c r="AG154" s="1209"/>
      <c r="AH154" s="1209"/>
      <c r="AI154" s="1209"/>
      <c r="AJ154" s="1209"/>
      <c r="AK154" s="1209"/>
      <c r="AL154" s="1209"/>
      <c r="AM154" s="1209"/>
      <c r="AN154" s="1209"/>
      <c r="AO154" s="1209"/>
      <c r="AP154" s="1209"/>
      <c r="AQ154" s="1209"/>
      <c r="AR154" s="1209"/>
      <c r="AS154" s="1209"/>
      <c r="AT154" s="1209"/>
      <c r="AU154" s="1209"/>
      <c r="AV154" s="1209"/>
      <c r="AW154" s="1209"/>
      <c r="AX154" s="1209"/>
      <c r="AY154" s="1209"/>
      <c r="AZ154" s="1209"/>
    </row>
    <row r="155" spans="1:52">
      <c r="A155" s="1209"/>
      <c r="B155" s="1209"/>
      <c r="C155" s="1209"/>
      <c r="D155" s="1209"/>
      <c r="E155" s="1209"/>
      <c r="F155" s="1209"/>
      <c r="G155" s="1209"/>
      <c r="H155" s="1209"/>
      <c r="I155" s="1209"/>
      <c r="J155" s="1209"/>
      <c r="K155" s="1209"/>
      <c r="L155" s="1209"/>
      <c r="M155" s="1209"/>
      <c r="N155" s="1209"/>
      <c r="O155" s="1209"/>
      <c r="P155" s="1209"/>
      <c r="Q155" s="1209"/>
      <c r="R155" s="1209"/>
      <c r="S155" s="1209"/>
      <c r="T155" s="1209"/>
      <c r="U155" s="1209"/>
      <c r="V155" s="1209"/>
      <c r="W155" s="1209"/>
      <c r="X155" s="1209"/>
      <c r="Y155" s="1209"/>
      <c r="Z155" s="1209"/>
      <c r="AA155" s="1209"/>
      <c r="AB155" s="1209"/>
      <c r="AC155" s="1209"/>
      <c r="AD155" s="1209"/>
      <c r="AE155" s="1209"/>
      <c r="AF155" s="1209"/>
      <c r="AG155" s="1209"/>
      <c r="AH155" s="1209"/>
      <c r="AI155" s="1209"/>
      <c r="AJ155" s="1209"/>
      <c r="AK155" s="1209"/>
      <c r="AL155" s="1209"/>
      <c r="AM155" s="1209"/>
      <c r="AN155" s="1209"/>
      <c r="AO155" s="1209"/>
      <c r="AP155" s="1209"/>
      <c r="AQ155" s="1209"/>
      <c r="AR155" s="1209"/>
      <c r="AS155" s="1209"/>
      <c r="AT155" s="1209"/>
      <c r="AU155" s="1209"/>
      <c r="AV155" s="1209"/>
      <c r="AW155" s="1209"/>
      <c r="AX155" s="1209"/>
      <c r="AY155" s="1209"/>
      <c r="AZ155" s="1209"/>
    </row>
    <row r="156" spans="1:52">
      <c r="A156" s="1209"/>
      <c r="B156" s="1209"/>
      <c r="C156" s="1209"/>
      <c r="D156" s="1209"/>
      <c r="E156" s="1209"/>
      <c r="F156" s="1209"/>
      <c r="G156" s="1209"/>
      <c r="H156" s="1209"/>
      <c r="I156" s="1209"/>
      <c r="J156" s="1209"/>
      <c r="K156" s="1209"/>
      <c r="L156" s="1209"/>
      <c r="M156" s="1209"/>
      <c r="N156" s="1209"/>
      <c r="O156" s="1209"/>
      <c r="P156" s="1209"/>
      <c r="Q156" s="1209"/>
      <c r="R156" s="1209"/>
      <c r="S156" s="1209"/>
      <c r="T156" s="1209"/>
      <c r="U156" s="1209"/>
      <c r="V156" s="1209"/>
      <c r="W156" s="1209"/>
      <c r="X156" s="1209"/>
      <c r="Y156" s="1209"/>
      <c r="Z156" s="1209"/>
      <c r="AA156" s="1209"/>
      <c r="AB156" s="1209"/>
      <c r="AC156" s="1209"/>
      <c r="AD156" s="1209"/>
      <c r="AE156" s="1209"/>
      <c r="AF156" s="1209"/>
      <c r="AG156" s="1209"/>
      <c r="AH156" s="1209"/>
      <c r="AI156" s="1209"/>
      <c r="AJ156" s="1209"/>
      <c r="AK156" s="1209"/>
      <c r="AL156" s="1209"/>
      <c r="AM156" s="1209"/>
      <c r="AN156" s="1209"/>
      <c r="AO156" s="1209"/>
      <c r="AP156" s="1209"/>
      <c r="AQ156" s="1209"/>
      <c r="AR156" s="1209"/>
      <c r="AS156" s="1209"/>
      <c r="AT156" s="1209"/>
      <c r="AU156" s="1209"/>
      <c r="AV156" s="1209"/>
      <c r="AW156" s="1209"/>
      <c r="AX156" s="1209"/>
      <c r="AY156" s="1209"/>
      <c r="AZ156" s="1209"/>
    </row>
    <row r="157" spans="1:52">
      <c r="A157" s="1209"/>
      <c r="B157" s="1209"/>
      <c r="C157" s="1209"/>
      <c r="D157" s="1209"/>
      <c r="E157" s="1209"/>
      <c r="F157" s="1209"/>
      <c r="G157" s="1209"/>
      <c r="H157" s="1209"/>
      <c r="I157" s="1209"/>
      <c r="J157" s="1209"/>
      <c r="K157" s="1209"/>
      <c r="L157" s="1209"/>
      <c r="M157" s="1209"/>
      <c r="N157" s="1209"/>
      <c r="O157" s="1209"/>
      <c r="P157" s="1209"/>
      <c r="Q157" s="1209"/>
      <c r="R157" s="1209"/>
      <c r="S157" s="1209"/>
      <c r="T157" s="1209"/>
      <c r="U157" s="1209"/>
      <c r="V157" s="1209"/>
      <c r="W157" s="1209"/>
      <c r="X157" s="1209"/>
      <c r="Y157" s="1209"/>
      <c r="Z157" s="1209"/>
      <c r="AA157" s="1209"/>
      <c r="AB157" s="1209"/>
      <c r="AC157" s="1209"/>
      <c r="AD157" s="1209"/>
      <c r="AE157" s="1209"/>
      <c r="AF157" s="1209"/>
      <c r="AG157" s="1209"/>
      <c r="AH157" s="1209"/>
      <c r="AI157" s="1209"/>
      <c r="AJ157" s="1209"/>
      <c r="AK157" s="1209"/>
      <c r="AL157" s="1209"/>
      <c r="AM157" s="1209"/>
      <c r="AN157" s="1209"/>
      <c r="AO157" s="1209"/>
      <c r="AP157" s="1209"/>
      <c r="AQ157" s="1209"/>
      <c r="AR157" s="1209"/>
      <c r="AS157" s="1209"/>
      <c r="AT157" s="1209"/>
      <c r="AU157" s="1209"/>
      <c r="AV157" s="1209"/>
      <c r="AW157" s="1209"/>
      <c r="AX157" s="1209"/>
      <c r="AY157" s="1209"/>
      <c r="AZ157" s="1209"/>
    </row>
    <row r="158" spans="1:52">
      <c r="A158" s="1209"/>
      <c r="B158" s="1209"/>
      <c r="C158" s="1209"/>
      <c r="D158" s="1209"/>
      <c r="E158" s="1209"/>
      <c r="F158" s="1209"/>
      <c r="G158" s="1209"/>
      <c r="H158" s="1209"/>
      <c r="I158" s="1209"/>
      <c r="J158" s="1209"/>
      <c r="K158" s="1209"/>
      <c r="L158" s="1209"/>
      <c r="M158" s="1209"/>
      <c r="N158" s="1209"/>
      <c r="O158" s="1209"/>
      <c r="P158" s="1209"/>
      <c r="Q158" s="1209"/>
      <c r="R158" s="1209"/>
      <c r="S158" s="1209"/>
      <c r="T158" s="1209"/>
      <c r="U158" s="1209"/>
      <c r="V158" s="1209"/>
      <c r="W158" s="1209"/>
      <c r="X158" s="1209"/>
      <c r="Y158" s="1209"/>
      <c r="Z158" s="1209"/>
      <c r="AA158" s="1209"/>
      <c r="AB158" s="1209"/>
      <c r="AC158" s="1209"/>
      <c r="AD158" s="1209"/>
      <c r="AE158" s="1209"/>
      <c r="AF158" s="1209"/>
      <c r="AG158" s="1209"/>
      <c r="AH158" s="1209"/>
      <c r="AI158" s="1209"/>
      <c r="AJ158" s="1209"/>
      <c r="AK158" s="1209"/>
      <c r="AL158" s="1209"/>
      <c r="AM158" s="1209"/>
      <c r="AN158" s="1209"/>
      <c r="AO158" s="1209"/>
      <c r="AP158" s="1209"/>
      <c r="AQ158" s="1209"/>
      <c r="AR158" s="1209"/>
      <c r="AS158" s="1209"/>
      <c r="AT158" s="1209"/>
      <c r="AU158" s="1209"/>
      <c r="AV158" s="1209"/>
      <c r="AW158" s="1209"/>
      <c r="AX158" s="1209"/>
      <c r="AY158" s="1209"/>
      <c r="AZ158" s="1209"/>
    </row>
    <row r="159" spans="1:52">
      <c r="A159" s="1209"/>
      <c r="B159" s="1209"/>
      <c r="C159" s="1209"/>
      <c r="D159" s="1209"/>
      <c r="E159" s="1209"/>
      <c r="F159" s="1209"/>
      <c r="G159" s="1209"/>
      <c r="H159" s="1209"/>
      <c r="I159" s="1209"/>
      <c r="J159" s="1209"/>
      <c r="K159" s="1209"/>
      <c r="L159" s="1209"/>
      <c r="M159" s="1209"/>
      <c r="N159" s="1209"/>
      <c r="O159" s="1209"/>
      <c r="P159" s="1209"/>
      <c r="Q159" s="1209"/>
      <c r="R159" s="1209"/>
      <c r="S159" s="1209"/>
      <c r="T159" s="1209"/>
      <c r="U159" s="1209"/>
      <c r="V159" s="1209"/>
      <c r="W159" s="1209"/>
      <c r="X159" s="1209"/>
      <c r="Y159" s="1209"/>
      <c r="Z159" s="1209"/>
      <c r="AA159" s="1209"/>
      <c r="AB159" s="1209"/>
      <c r="AC159" s="1209"/>
      <c r="AD159" s="1209"/>
      <c r="AE159" s="1209"/>
      <c r="AF159" s="1209"/>
      <c r="AG159" s="1209"/>
      <c r="AH159" s="1209"/>
      <c r="AI159" s="1209"/>
      <c r="AJ159" s="1209"/>
      <c r="AK159" s="1209"/>
      <c r="AL159" s="1209"/>
      <c r="AM159" s="1209"/>
      <c r="AN159" s="1209"/>
      <c r="AO159" s="1209"/>
      <c r="AP159" s="1209"/>
      <c r="AQ159" s="1209"/>
      <c r="AR159" s="1209"/>
      <c r="AS159" s="1209"/>
      <c r="AT159" s="1209"/>
      <c r="AU159" s="1209"/>
      <c r="AV159" s="1209"/>
      <c r="AW159" s="1209"/>
      <c r="AX159" s="1209"/>
      <c r="AY159" s="1209"/>
      <c r="AZ159" s="1209"/>
    </row>
    <row r="160" spans="1:52">
      <c r="A160" s="1209"/>
      <c r="B160" s="1209"/>
      <c r="C160" s="1209"/>
      <c r="D160" s="1209"/>
      <c r="E160" s="1209"/>
      <c r="F160" s="1209"/>
      <c r="G160" s="1209"/>
      <c r="H160" s="1209"/>
      <c r="I160" s="1209"/>
      <c r="J160" s="1209"/>
      <c r="K160" s="1209"/>
      <c r="L160" s="1209"/>
      <c r="M160" s="1209"/>
      <c r="N160" s="1209"/>
      <c r="O160" s="1209"/>
      <c r="P160" s="1209"/>
      <c r="Q160" s="1209"/>
      <c r="R160" s="1209"/>
      <c r="S160" s="1209"/>
      <c r="T160" s="1209"/>
      <c r="U160" s="1209"/>
      <c r="V160" s="1209"/>
      <c r="W160" s="1209"/>
      <c r="X160" s="1209"/>
      <c r="Y160" s="1209"/>
      <c r="Z160" s="1209"/>
      <c r="AA160" s="1209"/>
      <c r="AB160" s="1209"/>
      <c r="AC160" s="1209"/>
      <c r="AD160" s="1209"/>
      <c r="AE160" s="1209"/>
      <c r="AF160" s="1209"/>
      <c r="AG160" s="1209"/>
      <c r="AH160" s="1209"/>
      <c r="AI160" s="1209"/>
      <c r="AJ160" s="1209"/>
      <c r="AK160" s="1209"/>
      <c r="AL160" s="1209"/>
      <c r="AM160" s="1209"/>
      <c r="AN160" s="1209"/>
      <c r="AO160" s="1209"/>
      <c r="AP160" s="1209"/>
      <c r="AQ160" s="1209"/>
      <c r="AR160" s="1209"/>
      <c r="AS160" s="1209"/>
      <c r="AT160" s="1209"/>
      <c r="AU160" s="1209"/>
      <c r="AV160" s="1209"/>
      <c r="AW160" s="1209"/>
      <c r="AX160" s="1209"/>
      <c r="AY160" s="1209"/>
      <c r="AZ160" s="1209"/>
    </row>
    <row r="161" spans="1:52">
      <c r="A161" s="1209"/>
      <c r="B161" s="1209"/>
      <c r="C161" s="1209"/>
      <c r="D161" s="1209"/>
      <c r="E161" s="1209"/>
      <c r="F161" s="1209"/>
      <c r="G161" s="1209"/>
      <c r="H161" s="1209"/>
      <c r="I161" s="1209"/>
      <c r="J161" s="1209"/>
      <c r="K161" s="1209"/>
      <c r="L161" s="1209"/>
      <c r="M161" s="1209"/>
      <c r="N161" s="1209"/>
      <c r="O161" s="1209"/>
      <c r="P161" s="1209"/>
      <c r="Q161" s="1209"/>
      <c r="R161" s="1209"/>
      <c r="S161" s="1209"/>
      <c r="T161" s="1209"/>
      <c r="U161" s="1209"/>
      <c r="V161" s="1209"/>
      <c r="W161" s="1209"/>
      <c r="X161" s="1209"/>
      <c r="Y161" s="1209"/>
      <c r="Z161" s="1209"/>
      <c r="AA161" s="1209"/>
      <c r="AB161" s="1209"/>
      <c r="AC161" s="1209"/>
      <c r="AD161" s="1209"/>
      <c r="AE161" s="1209"/>
      <c r="AF161" s="1209"/>
      <c r="AG161" s="1209"/>
      <c r="AH161" s="1209"/>
      <c r="AI161" s="1209"/>
      <c r="AJ161" s="1209"/>
      <c r="AK161" s="1209"/>
      <c r="AL161" s="1209"/>
      <c r="AM161" s="1209"/>
      <c r="AN161" s="1209"/>
      <c r="AO161" s="1209"/>
      <c r="AP161" s="1209"/>
      <c r="AQ161" s="1209"/>
      <c r="AR161" s="1209"/>
      <c r="AS161" s="1209"/>
      <c r="AT161" s="1209"/>
      <c r="AU161" s="1209"/>
      <c r="AV161" s="1209"/>
      <c r="AW161" s="1209"/>
      <c r="AX161" s="1209"/>
      <c r="AY161" s="1209"/>
      <c r="AZ161" s="1209"/>
    </row>
    <row r="162" spans="1:52">
      <c r="A162" s="1209"/>
      <c r="B162" s="1209"/>
      <c r="C162" s="1209"/>
      <c r="D162" s="1209"/>
      <c r="E162" s="1209"/>
      <c r="F162" s="1209"/>
      <c r="G162" s="1209"/>
      <c r="H162" s="1209"/>
      <c r="I162" s="1209"/>
      <c r="J162" s="1209"/>
      <c r="K162" s="1209"/>
      <c r="L162" s="1209"/>
      <c r="M162" s="1209"/>
      <c r="N162" s="1209"/>
      <c r="O162" s="1209"/>
      <c r="P162" s="1209"/>
      <c r="Q162" s="1209"/>
      <c r="R162" s="1209"/>
      <c r="S162" s="1209"/>
      <c r="T162" s="1209"/>
      <c r="U162" s="1209"/>
      <c r="V162" s="1209"/>
      <c r="W162" s="1209"/>
      <c r="X162" s="1209"/>
      <c r="Y162" s="1209"/>
      <c r="Z162" s="1209"/>
      <c r="AA162" s="1209"/>
      <c r="AB162" s="1209"/>
      <c r="AC162" s="1209"/>
      <c r="AD162" s="1209"/>
      <c r="AE162" s="1209"/>
      <c r="AF162" s="1209"/>
      <c r="AG162" s="1209"/>
      <c r="AH162" s="1209"/>
      <c r="AI162" s="1209"/>
      <c r="AJ162" s="1209"/>
      <c r="AK162" s="1209"/>
      <c r="AL162" s="1209"/>
      <c r="AM162" s="1209"/>
      <c r="AN162" s="1209"/>
      <c r="AO162" s="1209"/>
      <c r="AP162" s="1209"/>
      <c r="AQ162" s="1209"/>
      <c r="AR162" s="1209"/>
      <c r="AS162" s="1209"/>
      <c r="AT162" s="1209"/>
      <c r="AU162" s="1209"/>
      <c r="AV162" s="1209"/>
      <c r="AW162" s="1209"/>
      <c r="AX162" s="1209"/>
      <c r="AY162" s="1209"/>
      <c r="AZ162" s="1209"/>
    </row>
    <row r="163" spans="1:52">
      <c r="A163" s="1209"/>
      <c r="B163" s="1209"/>
      <c r="C163" s="1209"/>
      <c r="D163" s="1209"/>
      <c r="E163" s="1209"/>
      <c r="F163" s="1209"/>
      <c r="G163" s="1209"/>
      <c r="H163" s="1209"/>
      <c r="I163" s="1209"/>
      <c r="J163" s="1209"/>
      <c r="K163" s="1209"/>
      <c r="L163" s="1209"/>
      <c r="M163" s="1209"/>
      <c r="N163" s="1209"/>
      <c r="O163" s="1209"/>
      <c r="P163" s="1209"/>
      <c r="Q163" s="1209"/>
      <c r="R163" s="1209"/>
      <c r="S163" s="1209"/>
      <c r="T163" s="1209"/>
      <c r="U163" s="1209"/>
      <c r="V163" s="1209"/>
      <c r="W163" s="1209"/>
      <c r="X163" s="1209"/>
      <c r="Y163" s="1209"/>
      <c r="Z163" s="1209"/>
      <c r="AA163" s="1209"/>
      <c r="AB163" s="1209"/>
      <c r="AC163" s="1209"/>
      <c r="AD163" s="1209"/>
      <c r="AE163" s="1209"/>
      <c r="AF163" s="1209"/>
      <c r="AG163" s="1209"/>
      <c r="AH163" s="1209"/>
      <c r="AI163" s="1209"/>
      <c r="AJ163" s="1209"/>
      <c r="AK163" s="1209"/>
      <c r="AL163" s="1209"/>
      <c r="AM163" s="1209"/>
      <c r="AN163" s="1209"/>
      <c r="AO163" s="1209"/>
      <c r="AP163" s="1209"/>
      <c r="AQ163" s="1209"/>
      <c r="AR163" s="1209"/>
      <c r="AS163" s="1209"/>
      <c r="AT163" s="1209"/>
      <c r="AU163" s="1209"/>
      <c r="AV163" s="1209"/>
      <c r="AW163" s="1209"/>
      <c r="AX163" s="1209"/>
      <c r="AY163" s="1209"/>
      <c r="AZ163" s="1209"/>
    </row>
    <row r="164" spans="1:52">
      <c r="A164" s="1209"/>
      <c r="B164" s="1209"/>
      <c r="C164" s="1209"/>
      <c r="D164" s="1209"/>
      <c r="E164" s="1209"/>
      <c r="F164" s="1209"/>
      <c r="G164" s="1209"/>
      <c r="H164" s="1209"/>
      <c r="I164" s="1209"/>
      <c r="J164" s="1209"/>
      <c r="K164" s="1209"/>
      <c r="L164" s="1209"/>
      <c r="M164" s="1209"/>
      <c r="N164" s="1209"/>
      <c r="O164" s="1209"/>
      <c r="P164" s="1209"/>
      <c r="Q164" s="1209"/>
      <c r="R164" s="1209"/>
      <c r="S164" s="1209"/>
      <c r="T164" s="1209"/>
      <c r="U164" s="1209"/>
      <c r="V164" s="1209"/>
      <c r="W164" s="1209"/>
      <c r="X164" s="1209"/>
      <c r="Y164" s="1209"/>
      <c r="Z164" s="1209"/>
      <c r="AA164" s="1209"/>
      <c r="AB164" s="1209"/>
      <c r="AC164" s="1209"/>
      <c r="AD164" s="1209"/>
      <c r="AE164" s="1209"/>
      <c r="AF164" s="1209"/>
      <c r="AG164" s="1209"/>
      <c r="AH164" s="1209"/>
      <c r="AI164" s="1209"/>
      <c r="AJ164" s="1209"/>
      <c r="AK164" s="1209"/>
      <c r="AL164" s="1209"/>
      <c r="AM164" s="1209"/>
      <c r="AN164" s="1209"/>
      <c r="AO164" s="1209"/>
      <c r="AP164" s="1209"/>
      <c r="AQ164" s="1209"/>
      <c r="AR164" s="1209"/>
      <c r="AS164" s="1209"/>
      <c r="AT164" s="1209"/>
      <c r="AU164" s="1209"/>
      <c r="AV164" s="1209"/>
      <c r="AW164" s="1209"/>
      <c r="AX164" s="1209"/>
      <c r="AY164" s="1209"/>
      <c r="AZ164" s="1209"/>
    </row>
    <row r="165" spans="1:52">
      <c r="A165" s="1209"/>
      <c r="B165" s="1209"/>
      <c r="C165" s="1209"/>
      <c r="D165" s="1209"/>
      <c r="E165" s="1209"/>
      <c r="F165" s="1209"/>
      <c r="G165" s="1209"/>
      <c r="H165" s="1209"/>
      <c r="I165" s="1209"/>
      <c r="J165" s="1209"/>
      <c r="K165" s="1209"/>
      <c r="L165" s="1209"/>
      <c r="M165" s="1209"/>
      <c r="N165" s="1209"/>
      <c r="O165" s="1209"/>
      <c r="P165" s="1209"/>
      <c r="Q165" s="1209"/>
      <c r="R165" s="1209"/>
      <c r="S165" s="1209"/>
      <c r="T165" s="1209"/>
      <c r="U165" s="1209"/>
      <c r="V165" s="1209"/>
      <c r="W165" s="1209"/>
      <c r="X165" s="1209"/>
      <c r="Y165" s="1209"/>
      <c r="Z165" s="1209"/>
      <c r="AA165" s="1209"/>
      <c r="AB165" s="1209"/>
      <c r="AC165" s="1209"/>
      <c r="AD165" s="1209"/>
      <c r="AE165" s="1209"/>
      <c r="AF165" s="1209"/>
      <c r="AG165" s="1209"/>
      <c r="AH165" s="1209"/>
      <c r="AI165" s="1209"/>
      <c r="AJ165" s="1209"/>
      <c r="AK165" s="1209"/>
      <c r="AL165" s="1209"/>
      <c r="AM165" s="1209"/>
      <c r="AN165" s="1209"/>
      <c r="AO165" s="1209"/>
      <c r="AP165" s="1209"/>
      <c r="AQ165" s="1209"/>
      <c r="AR165" s="1209"/>
      <c r="AS165" s="1209"/>
      <c r="AT165" s="1209"/>
      <c r="AU165" s="1209"/>
      <c r="AV165" s="1209"/>
      <c r="AW165" s="1209"/>
      <c r="AX165" s="1209"/>
      <c r="AY165" s="1209"/>
      <c r="AZ165" s="1209"/>
    </row>
    <row r="166" spans="1:52">
      <c r="A166" s="1209"/>
      <c r="B166" s="1209"/>
      <c r="C166" s="1209"/>
      <c r="D166" s="1209"/>
      <c r="E166" s="1209"/>
      <c r="F166" s="1209"/>
      <c r="G166" s="1209"/>
      <c r="H166" s="1209"/>
      <c r="I166" s="1209"/>
      <c r="J166" s="1209"/>
      <c r="K166" s="1209"/>
      <c r="L166" s="1209"/>
      <c r="M166" s="1209"/>
      <c r="N166" s="1209"/>
      <c r="O166" s="1209"/>
      <c r="P166" s="1209"/>
      <c r="Q166" s="1209"/>
      <c r="R166" s="1209"/>
      <c r="S166" s="1209"/>
      <c r="T166" s="1209"/>
      <c r="U166" s="1209"/>
      <c r="V166" s="1209"/>
      <c r="W166" s="1209"/>
      <c r="X166" s="1209"/>
      <c r="Y166" s="1209"/>
      <c r="Z166" s="1209"/>
      <c r="AA166" s="1209"/>
      <c r="AB166" s="1209"/>
      <c r="AC166" s="1209"/>
      <c r="AD166" s="1209"/>
      <c r="AE166" s="1209"/>
      <c r="AF166" s="1209"/>
      <c r="AG166" s="1209"/>
      <c r="AH166" s="1209"/>
      <c r="AI166" s="1209"/>
      <c r="AJ166" s="1209"/>
      <c r="AK166" s="1209"/>
      <c r="AL166" s="1209"/>
      <c r="AM166" s="1209"/>
      <c r="AN166" s="1209"/>
      <c r="AO166" s="1209"/>
      <c r="AP166" s="1209"/>
      <c r="AQ166" s="1209"/>
      <c r="AR166" s="1209"/>
      <c r="AS166" s="1209"/>
      <c r="AT166" s="1209"/>
      <c r="AU166" s="1209"/>
      <c r="AV166" s="1209"/>
      <c r="AW166" s="1209"/>
      <c r="AX166" s="1209"/>
      <c r="AY166" s="1209"/>
      <c r="AZ166" s="1209"/>
    </row>
    <row r="167" spans="1:52">
      <c r="A167" s="1209"/>
      <c r="B167" s="1209"/>
      <c r="C167" s="1209"/>
      <c r="D167" s="1209"/>
      <c r="E167" s="1209"/>
      <c r="F167" s="1209"/>
      <c r="G167" s="1209"/>
      <c r="H167" s="1209"/>
      <c r="I167" s="1209"/>
      <c r="J167" s="1209"/>
      <c r="K167" s="1209"/>
      <c r="L167" s="1209"/>
      <c r="M167" s="1209"/>
      <c r="N167" s="1209"/>
      <c r="O167" s="1209"/>
      <c r="P167" s="1209"/>
      <c r="Q167" s="1209"/>
      <c r="R167" s="1209"/>
      <c r="S167" s="1209"/>
      <c r="T167" s="1209"/>
      <c r="U167" s="1209"/>
      <c r="V167" s="1209"/>
      <c r="W167" s="1209"/>
      <c r="X167" s="1209"/>
      <c r="Y167" s="1209"/>
      <c r="Z167" s="1209"/>
      <c r="AA167" s="1209"/>
      <c r="AB167" s="1209"/>
      <c r="AC167" s="1209"/>
      <c r="AD167" s="1209"/>
      <c r="AE167" s="1209"/>
      <c r="AF167" s="1209"/>
      <c r="AG167" s="1209"/>
      <c r="AH167" s="1209"/>
      <c r="AI167" s="1209"/>
      <c r="AJ167" s="1209"/>
      <c r="AK167" s="1209"/>
      <c r="AL167" s="1209"/>
      <c r="AM167" s="1209"/>
      <c r="AN167" s="1209"/>
      <c r="AO167" s="1209"/>
      <c r="AP167" s="1209"/>
      <c r="AQ167" s="1209"/>
      <c r="AR167" s="1209"/>
      <c r="AS167" s="1209"/>
      <c r="AT167" s="1209"/>
      <c r="AU167" s="1209"/>
      <c r="AV167" s="1209"/>
      <c r="AW167" s="1209"/>
      <c r="AX167" s="1209"/>
      <c r="AY167" s="1209"/>
      <c r="AZ167" s="1209"/>
    </row>
  </sheetData>
  <sheetProtection sheet="1" objects="1" scenarios="1"/>
  <mergeCells count="79">
    <mergeCell ref="C50:D50"/>
    <mergeCell ref="L55:M55"/>
    <mergeCell ref="B70:C70"/>
    <mergeCell ref="D70:E70"/>
    <mergeCell ref="B62:M65"/>
    <mergeCell ref="B69:C69"/>
    <mergeCell ref="L58:M58"/>
    <mergeCell ref="I58:J58"/>
    <mergeCell ref="C58:D58"/>
    <mergeCell ref="I57:J57"/>
    <mergeCell ref="C57:D57"/>
    <mergeCell ref="L56:M56"/>
    <mergeCell ref="I56:J56"/>
    <mergeCell ref="L53:M53"/>
    <mergeCell ref="C56:D56"/>
    <mergeCell ref="I46:J46"/>
    <mergeCell ref="C35:H35"/>
    <mergeCell ref="C36:H36"/>
    <mergeCell ref="C53:D53"/>
    <mergeCell ref="L44:M44"/>
    <mergeCell ref="B42:M42"/>
    <mergeCell ref="C45:D45"/>
    <mergeCell ref="C47:D47"/>
    <mergeCell ref="C46:D46"/>
    <mergeCell ref="I49:J49"/>
    <mergeCell ref="I48:J48"/>
    <mergeCell ref="C49:D49"/>
    <mergeCell ref="L45:M45"/>
    <mergeCell ref="I44:J44"/>
    <mergeCell ref="I45:J45"/>
    <mergeCell ref="L49:M49"/>
    <mergeCell ref="L48:M48"/>
    <mergeCell ref="C48:D48"/>
    <mergeCell ref="I55:J55"/>
    <mergeCell ref="I51:J51"/>
    <mergeCell ref="I52:J52"/>
    <mergeCell ref="C55:D55"/>
    <mergeCell ref="C51:D51"/>
    <mergeCell ref="L52:M52"/>
    <mergeCell ref="I54:J54"/>
    <mergeCell ref="L51:M51"/>
    <mergeCell ref="I53:J53"/>
    <mergeCell ref="L50:M50"/>
    <mergeCell ref="C54:D54"/>
    <mergeCell ref="C52:D52"/>
    <mergeCell ref="I50:J50"/>
    <mergeCell ref="L54:M54"/>
    <mergeCell ref="E11:H11"/>
    <mergeCell ref="C18:H18"/>
    <mergeCell ref="C16:H16"/>
    <mergeCell ref="B41:M41"/>
    <mergeCell ref="L57:M57"/>
    <mergeCell ref="L46:M46"/>
    <mergeCell ref="C39:G39"/>
    <mergeCell ref="I47:J47"/>
    <mergeCell ref="C27:H27"/>
    <mergeCell ref="J19:K19"/>
    <mergeCell ref="C28:H28"/>
    <mergeCell ref="C44:D44"/>
    <mergeCell ref="D20:G20"/>
    <mergeCell ref="D21:G21"/>
    <mergeCell ref="L47:M47"/>
    <mergeCell ref="C29:H29"/>
    <mergeCell ref="C6:G6"/>
    <mergeCell ref="D23:G23"/>
    <mergeCell ref="C19:H19"/>
    <mergeCell ref="C9:D9"/>
    <mergeCell ref="C8:D8"/>
    <mergeCell ref="C12:D12"/>
    <mergeCell ref="E8:G8"/>
    <mergeCell ref="G15:K15"/>
    <mergeCell ref="C13:D13"/>
    <mergeCell ref="E12:H12"/>
    <mergeCell ref="C14:H14"/>
    <mergeCell ref="C7:G7"/>
    <mergeCell ref="C10:D10"/>
    <mergeCell ref="E9:H9"/>
    <mergeCell ref="E10:H10"/>
    <mergeCell ref="C11:D11"/>
  </mergeCells>
  <printOptions horizontalCentered="1" verticalCentered="1"/>
  <pageMargins left="0.5" right="0.27" top="0.5" bottom="0.42" header="0.3" footer="0.3"/>
  <pageSetup paperSize="9" scale="86"/>
  <headerFooter alignWithMargins="0"/>
  <drawing r:id="rId1"/>
</worksheet>
</file>

<file path=xl/worksheets/sheet7.xml><?xml version="1.0" encoding="utf-8"?>
<worksheet xmlns="http://schemas.openxmlformats.org/spreadsheetml/2006/main" xmlns:r="http://schemas.openxmlformats.org/officeDocument/2006/relationships">
  <sheetPr>
    <tabColor rgb="FF1F4A7E"/>
  </sheetPr>
  <dimension ref="A1:AP120"/>
  <sheetViews>
    <sheetView showGridLines="0" showRowColHeaders="0" workbookViewId="0">
      <selection activeCell="AA15" sqref="AA15"/>
    </sheetView>
  </sheetViews>
  <sheetFormatPr defaultColWidth="10" defaultRowHeight="12.75"/>
  <cols>
    <col min="1" max="1" width="3.7109375" customWidth="1"/>
    <col min="2" max="2" width="4.42578125" customWidth="1"/>
    <col min="3" max="3" width="3.28515625" customWidth="1"/>
    <col min="4" max="4" width="6.42578125" customWidth="1"/>
    <col min="5" max="5" width="4.42578125" customWidth="1"/>
    <col min="6" max="6" width="6.28515625" customWidth="1"/>
    <col min="7" max="7" width="7.42578125" customWidth="1"/>
    <col min="8" max="11" width="4.42578125" customWidth="1"/>
    <col min="12" max="12" width="6.5703125" customWidth="1"/>
    <col min="13" max="13" width="4.42578125" customWidth="1"/>
    <col min="14" max="14" width="5" customWidth="1"/>
    <col min="15" max="15" width="4.42578125" customWidth="1"/>
    <col min="16" max="16" width="5.28515625" customWidth="1"/>
    <col min="17" max="17" width="5" customWidth="1"/>
    <col min="18" max="19" width="4.42578125" customWidth="1"/>
    <col min="20" max="20" width="8.85546875" customWidth="1"/>
    <col min="24" max="24" width="0" hidden="1" customWidth="1"/>
  </cols>
  <sheetData>
    <row r="1" spans="1:42">
      <c r="A1" s="1083"/>
      <c r="B1" s="1083"/>
      <c r="C1" s="1083"/>
      <c r="D1" s="1083"/>
      <c r="E1" s="1083"/>
      <c r="F1" s="1083"/>
      <c r="G1" s="1083"/>
      <c r="H1" s="1083"/>
      <c r="I1" s="1083"/>
      <c r="J1" s="1083"/>
      <c r="K1" s="1083"/>
      <c r="L1" s="1083"/>
      <c r="M1" s="1083"/>
      <c r="N1" s="1083"/>
      <c r="O1" s="1083"/>
      <c r="P1" s="1083"/>
      <c r="Q1" s="1083"/>
      <c r="R1" s="1083"/>
      <c r="S1" s="1083"/>
      <c r="T1" s="1083"/>
      <c r="U1" s="1083"/>
      <c r="V1" s="1083"/>
      <c r="W1" s="1083"/>
      <c r="X1" s="1083"/>
      <c r="Y1" s="1083"/>
      <c r="Z1" s="1083"/>
      <c r="AA1" s="1083"/>
      <c r="AB1" s="1083"/>
      <c r="AC1" s="1083"/>
      <c r="AD1" s="1083"/>
      <c r="AE1" s="1083"/>
      <c r="AF1" s="1083"/>
      <c r="AG1" s="1083"/>
      <c r="AH1" s="1083"/>
      <c r="AI1" s="1083"/>
      <c r="AJ1" s="1083"/>
      <c r="AK1" s="1083"/>
      <c r="AL1" s="1083"/>
      <c r="AM1" s="1083"/>
      <c r="AN1" s="1083"/>
      <c r="AO1" s="1083"/>
      <c r="AP1" s="1083"/>
    </row>
    <row r="2" spans="1:42" ht="7.5" customHeight="1">
      <c r="A2" s="1083"/>
      <c r="B2" s="1325"/>
      <c r="C2" s="1326"/>
      <c r="D2" s="1326"/>
      <c r="E2" s="1326"/>
      <c r="F2" s="1326"/>
      <c r="G2" s="1326"/>
      <c r="H2" s="1326"/>
      <c r="I2" s="1326"/>
      <c r="J2" s="1326"/>
      <c r="K2" s="1326"/>
      <c r="L2" s="1326"/>
      <c r="M2" s="1326"/>
      <c r="N2" s="1326"/>
      <c r="O2" s="1326"/>
      <c r="P2" s="1326"/>
      <c r="Q2" s="1326"/>
      <c r="R2" s="1326"/>
      <c r="S2" s="1326"/>
      <c r="T2" s="1327"/>
      <c r="U2" s="1083"/>
      <c r="V2" s="1083"/>
      <c r="W2" s="1083"/>
      <c r="X2" s="1083"/>
      <c r="Y2" s="1083"/>
      <c r="Z2" s="1083"/>
      <c r="AA2" s="1083"/>
      <c r="AB2" s="1083"/>
      <c r="AC2" s="1083"/>
      <c r="AD2" s="1083"/>
      <c r="AE2" s="1083"/>
      <c r="AF2" s="1083"/>
      <c r="AG2" s="1083"/>
      <c r="AH2" s="1083"/>
      <c r="AI2" s="1083"/>
      <c r="AJ2" s="1083"/>
      <c r="AK2" s="1083"/>
      <c r="AL2" s="1083"/>
      <c r="AM2" s="1083"/>
      <c r="AN2" s="1083"/>
      <c r="AO2" s="1083"/>
      <c r="AP2" s="1083"/>
    </row>
    <row r="3" spans="1:42" ht="20.25">
      <c r="A3" s="1083"/>
      <c r="B3" s="2272" t="s">
        <v>579</v>
      </c>
      <c r="C3" s="2273"/>
      <c r="D3" s="2273"/>
      <c r="E3" s="2273"/>
      <c r="F3" s="2273"/>
      <c r="G3" s="2273"/>
      <c r="H3" s="2273"/>
      <c r="I3" s="2273"/>
      <c r="J3" s="2273"/>
      <c r="K3" s="2273"/>
      <c r="L3" s="2273"/>
      <c r="M3" s="2273"/>
      <c r="N3" s="2273"/>
      <c r="O3" s="2273"/>
      <c r="P3" s="2273"/>
      <c r="Q3" s="2273"/>
      <c r="R3" s="2273"/>
      <c r="S3" s="2273"/>
      <c r="T3" s="2274"/>
      <c r="U3" s="1083"/>
      <c r="V3" s="1083"/>
      <c r="W3" s="1083"/>
      <c r="X3" s="1083"/>
      <c r="Y3" s="1083"/>
      <c r="Z3" s="1083"/>
      <c r="AA3" s="1083"/>
      <c r="AB3" s="1083"/>
      <c r="AC3" s="1083"/>
      <c r="AD3" s="1083"/>
      <c r="AE3" s="1083"/>
      <c r="AF3" s="1083"/>
      <c r="AG3" s="1083"/>
      <c r="AH3" s="1083"/>
      <c r="AI3" s="1083"/>
      <c r="AJ3" s="1083"/>
      <c r="AK3" s="1083"/>
      <c r="AL3" s="1083"/>
      <c r="AM3" s="1083"/>
      <c r="AN3" s="1083"/>
      <c r="AO3" s="1083"/>
      <c r="AP3" s="1083"/>
    </row>
    <row r="4" spans="1:42" ht="14.25">
      <c r="A4" s="1083"/>
      <c r="B4" s="2247" t="s">
        <v>629</v>
      </c>
      <c r="C4" s="2248"/>
      <c r="D4" s="2248"/>
      <c r="E4" s="2248"/>
      <c r="F4" s="2248"/>
      <c r="G4" s="2248"/>
      <c r="H4" s="2248"/>
      <c r="I4" s="2248"/>
      <c r="J4" s="2248"/>
      <c r="K4" s="2248"/>
      <c r="L4" s="2248"/>
      <c r="M4" s="2248"/>
      <c r="N4" s="2248"/>
      <c r="O4" s="2248"/>
      <c r="P4" s="2248"/>
      <c r="Q4" s="2248"/>
      <c r="R4" s="2248"/>
      <c r="S4" s="2248"/>
      <c r="T4" s="2249"/>
      <c r="U4" s="1083"/>
      <c r="V4" s="1083"/>
      <c r="W4" s="1083"/>
      <c r="X4" s="1083"/>
      <c r="Y4" s="1083"/>
      <c r="Z4" s="1083"/>
      <c r="AA4" s="1083"/>
      <c r="AB4" s="1083"/>
      <c r="AC4" s="1083"/>
      <c r="AD4" s="1083"/>
      <c r="AE4" s="1083"/>
      <c r="AF4" s="1083"/>
      <c r="AG4" s="1083"/>
      <c r="AH4" s="1083"/>
      <c r="AI4" s="1083"/>
      <c r="AJ4" s="1083"/>
      <c r="AK4" s="1083"/>
      <c r="AL4" s="1083"/>
      <c r="AM4" s="1083"/>
      <c r="AN4" s="1083"/>
      <c r="AO4" s="1083"/>
      <c r="AP4" s="1083"/>
    </row>
    <row r="5" spans="1:42">
      <c r="A5" s="1083"/>
      <c r="B5" s="2280"/>
      <c r="C5" s="2257"/>
      <c r="D5" s="2257"/>
      <c r="E5" s="2257"/>
      <c r="F5" s="2257"/>
      <c r="G5" s="2257"/>
      <c r="H5" s="2257"/>
      <c r="I5" s="2257"/>
      <c r="J5" s="2257"/>
      <c r="K5" s="2257"/>
      <c r="L5" s="2257"/>
      <c r="M5" s="2257"/>
      <c r="N5" s="2257"/>
      <c r="O5" s="2257"/>
      <c r="P5" s="2257"/>
      <c r="Q5" s="2257"/>
      <c r="R5" s="2257"/>
      <c r="S5" s="2257"/>
      <c r="T5" s="2261"/>
      <c r="U5" s="1083"/>
      <c r="V5" s="1083"/>
      <c r="W5" s="1083"/>
      <c r="X5" s="1083"/>
      <c r="Y5" s="1083"/>
      <c r="Z5" s="1083"/>
      <c r="AA5" s="1083"/>
      <c r="AB5" s="1083"/>
      <c r="AC5" s="1083"/>
      <c r="AD5" s="1083"/>
      <c r="AE5" s="1083"/>
      <c r="AF5" s="1083"/>
      <c r="AG5" s="1083"/>
      <c r="AH5" s="1083"/>
      <c r="AI5" s="1083"/>
      <c r="AJ5" s="1083"/>
      <c r="AK5" s="1083"/>
      <c r="AL5" s="1083"/>
      <c r="AM5" s="1083"/>
      <c r="AN5" s="1083"/>
      <c r="AO5" s="1083"/>
      <c r="AP5" s="1083"/>
    </row>
    <row r="6" spans="1:42" ht="18.75" customHeight="1">
      <c r="A6" s="1083"/>
      <c r="B6" s="2247" t="s">
        <v>580</v>
      </c>
      <c r="C6" s="2248"/>
      <c r="D6" s="2248"/>
      <c r="E6" s="2248"/>
      <c r="F6" s="2248"/>
      <c r="G6" s="2248"/>
      <c r="H6" s="2248"/>
      <c r="I6" s="2248"/>
      <c r="J6" s="2248"/>
      <c r="K6" s="2248"/>
      <c r="L6" s="2248"/>
      <c r="M6" s="2248"/>
      <c r="N6" s="2248"/>
      <c r="O6" s="2248"/>
      <c r="P6" s="2248"/>
      <c r="Q6" s="2248"/>
      <c r="R6" s="2248"/>
      <c r="S6" s="2248"/>
      <c r="T6" s="2249"/>
      <c r="U6" s="1083"/>
      <c r="V6" s="1083"/>
      <c r="W6" s="1083"/>
      <c r="X6" s="1083"/>
      <c r="Y6" s="1083"/>
      <c r="Z6" s="1083"/>
      <c r="AA6" s="1083"/>
      <c r="AB6" s="1083"/>
      <c r="AC6" s="1083"/>
      <c r="AD6" s="1083"/>
      <c r="AE6" s="1083"/>
      <c r="AF6" s="1083"/>
      <c r="AG6" s="1083"/>
      <c r="AH6" s="1083"/>
      <c r="AI6" s="1083"/>
      <c r="AJ6" s="1083"/>
      <c r="AK6" s="1083"/>
      <c r="AL6" s="1083"/>
      <c r="AM6" s="1083"/>
      <c r="AN6" s="1083"/>
      <c r="AO6" s="1083"/>
      <c r="AP6" s="1083"/>
    </row>
    <row r="7" spans="1:42" ht="6" customHeight="1">
      <c r="A7" s="1083"/>
      <c r="B7" s="1328"/>
      <c r="C7" s="1329"/>
      <c r="D7" s="1329"/>
      <c r="E7" s="1330"/>
      <c r="F7" s="1330"/>
      <c r="G7" s="1330"/>
      <c r="H7" s="1330"/>
      <c r="I7" s="1330"/>
      <c r="J7" s="1331"/>
      <c r="K7" s="1331"/>
      <c r="L7" s="1331"/>
      <c r="M7" s="1331"/>
      <c r="N7" s="1331"/>
      <c r="O7" s="1331"/>
      <c r="P7" s="1331"/>
      <c r="Q7" s="1331"/>
      <c r="R7" s="1331"/>
      <c r="S7" s="1331"/>
      <c r="T7" s="1332"/>
      <c r="U7" s="1083"/>
      <c r="V7" s="1083"/>
      <c r="W7" s="1083"/>
      <c r="X7" s="1083"/>
      <c r="Y7" s="1083"/>
      <c r="Z7" s="1083"/>
      <c r="AA7" s="1083"/>
      <c r="AB7" s="1083"/>
      <c r="AC7" s="1083"/>
      <c r="AD7" s="1083"/>
      <c r="AE7" s="1083"/>
      <c r="AF7" s="1083"/>
      <c r="AG7" s="1083"/>
      <c r="AH7" s="1083"/>
      <c r="AI7" s="1083"/>
      <c r="AJ7" s="1083"/>
      <c r="AK7" s="1083"/>
      <c r="AL7" s="1083"/>
      <c r="AM7" s="1083"/>
      <c r="AN7" s="1083"/>
      <c r="AO7" s="1083"/>
      <c r="AP7" s="1083"/>
    </row>
    <row r="8" spans="1:42" s="1333" customFormat="1" ht="17.25" customHeight="1">
      <c r="A8" s="1334"/>
      <c r="B8" s="1328">
        <v>1</v>
      </c>
      <c r="C8" s="2287" t="s">
        <v>622</v>
      </c>
      <c r="D8" s="2287"/>
      <c r="E8" s="2287"/>
      <c r="F8" s="2287"/>
      <c r="G8" s="2287"/>
      <c r="H8" s="2287"/>
      <c r="I8" s="2287"/>
      <c r="J8" s="1335" t="s">
        <v>624</v>
      </c>
      <c r="K8" s="2291" t="str">
        <f>CONCATENATE(DATA!E10,", ",DATA!E13,", ",DATA!E14)</f>
        <v>A.Nagesh, Executive Engineer,TGP Division No.1, Velgode</v>
      </c>
      <c r="L8" s="2291"/>
      <c r="M8" s="2291"/>
      <c r="N8" s="2291"/>
      <c r="O8" s="2291"/>
      <c r="P8" s="2291"/>
      <c r="Q8" s="2291"/>
      <c r="R8" s="2291"/>
      <c r="S8" s="2291"/>
      <c r="T8" s="2292"/>
      <c r="U8" s="1334"/>
      <c r="V8" s="1334"/>
      <c r="W8" s="1334"/>
      <c r="X8" s="1334"/>
      <c r="Y8" s="1334"/>
      <c r="Z8" s="1334"/>
      <c r="AA8" s="1334"/>
      <c r="AB8" s="1334"/>
      <c r="AC8" s="1334"/>
      <c r="AD8" s="1334"/>
      <c r="AE8" s="1334"/>
      <c r="AF8" s="1334"/>
      <c r="AG8" s="1334"/>
      <c r="AH8" s="1334"/>
      <c r="AI8" s="1334"/>
      <c r="AJ8" s="1334"/>
      <c r="AK8" s="1334"/>
      <c r="AL8" s="1334"/>
      <c r="AM8" s="1334"/>
      <c r="AN8" s="1334"/>
      <c r="AO8" s="1334"/>
      <c r="AP8" s="1334"/>
    </row>
    <row r="9" spans="1:42" s="1333" customFormat="1">
      <c r="A9" s="1334"/>
      <c r="B9" s="1328">
        <v>2</v>
      </c>
      <c r="C9" s="1329" t="s">
        <v>623</v>
      </c>
      <c r="D9" s="1329"/>
      <c r="E9" s="1329"/>
      <c r="F9" s="1329"/>
      <c r="G9" s="1329"/>
      <c r="H9" s="1329"/>
      <c r="I9" s="1329"/>
      <c r="J9" s="1335" t="s">
        <v>624</v>
      </c>
      <c r="K9" s="2254" t="str">
        <f>IF(DATA!E12="","",DATA!E12)</f>
        <v/>
      </c>
      <c r="L9" s="2254"/>
      <c r="M9" s="2254"/>
      <c r="N9" s="2254"/>
      <c r="O9" s="2254"/>
      <c r="P9" s="1329"/>
      <c r="Q9" s="1329"/>
      <c r="R9" s="1329"/>
      <c r="S9" s="1329"/>
      <c r="T9" s="1336"/>
      <c r="U9" s="1334"/>
      <c r="V9" s="1334"/>
      <c r="W9" s="1334"/>
      <c r="X9" s="1334"/>
      <c r="Y9" s="1334"/>
      <c r="Z9" s="1334"/>
      <c r="AA9" s="1334"/>
      <c r="AB9" s="1334"/>
      <c r="AC9" s="1334"/>
      <c r="AD9" s="1334"/>
      <c r="AE9" s="1334"/>
      <c r="AF9" s="1334"/>
      <c r="AG9" s="1334"/>
      <c r="AH9" s="1334"/>
      <c r="AI9" s="1334"/>
      <c r="AJ9" s="1334"/>
      <c r="AK9" s="1334"/>
      <c r="AL9" s="1334"/>
      <c r="AM9" s="1334"/>
      <c r="AN9" s="1334"/>
      <c r="AO9" s="1334"/>
      <c r="AP9" s="1334"/>
    </row>
    <row r="10" spans="1:42" s="1333" customFormat="1" ht="18.75" customHeight="1">
      <c r="A10" s="1334"/>
      <c r="B10" s="1337">
        <v>3</v>
      </c>
      <c r="C10" s="1329" t="s">
        <v>581</v>
      </c>
      <c r="D10" s="1329"/>
      <c r="E10" s="1331"/>
      <c r="F10" s="1331"/>
      <c r="G10" s="2259" t="s">
        <v>977</v>
      </c>
      <c r="H10" s="2259"/>
      <c r="I10" s="2259"/>
      <c r="J10" s="1335"/>
      <c r="K10" s="1338" t="s">
        <v>1</v>
      </c>
      <c r="L10" s="1338"/>
      <c r="M10" s="1338" t="s">
        <v>624</v>
      </c>
      <c r="N10" s="2246" t="str">
        <f>DATA!E11</f>
        <v>Deputy Executive Engineer</v>
      </c>
      <c r="O10" s="2246"/>
      <c r="P10" s="2246"/>
      <c r="Q10" s="2246"/>
      <c r="R10" s="2246"/>
      <c r="S10" s="2246"/>
      <c r="T10" s="1339"/>
      <c r="U10" s="1334"/>
      <c r="V10" s="1334"/>
      <c r="W10" s="1334"/>
      <c r="X10" s="1334"/>
      <c r="Y10" s="1334"/>
      <c r="Z10" s="1334"/>
      <c r="AA10" s="1334"/>
      <c r="AB10" s="1334"/>
      <c r="AC10" s="1334"/>
      <c r="AD10" s="1334"/>
      <c r="AE10" s="1334"/>
      <c r="AF10" s="1334"/>
      <c r="AG10" s="1334"/>
      <c r="AH10" s="1334"/>
      <c r="AI10" s="1334"/>
      <c r="AJ10" s="1334"/>
      <c r="AK10" s="1334"/>
      <c r="AL10" s="1334"/>
      <c r="AM10" s="1334"/>
      <c r="AN10" s="1334"/>
      <c r="AO10" s="1334"/>
      <c r="AP10" s="1334"/>
    </row>
    <row r="11" spans="1:42" ht="18" customHeight="1">
      <c r="A11" s="1083"/>
      <c r="B11" s="2275" t="s">
        <v>625</v>
      </c>
      <c r="C11" s="2276"/>
      <c r="D11" s="2276"/>
      <c r="E11" s="2276"/>
      <c r="F11" s="2276"/>
      <c r="G11" s="2276"/>
      <c r="H11" s="2276"/>
      <c r="I11" s="2276"/>
      <c r="J11" s="2276"/>
      <c r="K11" s="2276"/>
      <c r="L11" s="2276"/>
      <c r="M11" s="2276"/>
      <c r="N11" s="2276"/>
      <c r="O11" s="2276"/>
      <c r="P11" s="2276"/>
      <c r="Q11" s="2276"/>
      <c r="R11" s="2276"/>
      <c r="S11" s="2276"/>
      <c r="T11" s="2277"/>
      <c r="U11" s="1083"/>
      <c r="V11" s="1083"/>
      <c r="W11" s="1083"/>
      <c r="X11" s="1083"/>
      <c r="Y11" s="1083"/>
      <c r="Z11" s="1083"/>
      <c r="AA11" s="1083"/>
      <c r="AB11" s="1083"/>
      <c r="AC11" s="1083"/>
      <c r="AD11" s="1083"/>
      <c r="AE11" s="1083"/>
      <c r="AF11" s="1083"/>
      <c r="AG11" s="1083"/>
      <c r="AH11" s="1083"/>
      <c r="AI11" s="1083"/>
      <c r="AJ11" s="1083"/>
      <c r="AK11" s="1083"/>
      <c r="AL11" s="1083"/>
      <c r="AM11" s="1083"/>
      <c r="AN11" s="1083"/>
      <c r="AO11" s="1083"/>
      <c r="AP11" s="1083"/>
    </row>
    <row r="12" spans="1:42" s="1340" customFormat="1" ht="18" customHeight="1">
      <c r="A12" s="1341"/>
      <c r="B12" s="1342" t="s">
        <v>257</v>
      </c>
      <c r="C12" s="2282" t="s">
        <v>582</v>
      </c>
      <c r="D12" s="2283"/>
      <c r="E12" s="2283"/>
      <c r="F12" s="2283"/>
      <c r="G12" s="2283"/>
      <c r="H12" s="2283"/>
      <c r="I12" s="2283"/>
      <c r="J12" s="2283"/>
      <c r="K12" s="2283"/>
      <c r="L12" s="2284"/>
      <c r="M12" s="2269" t="s">
        <v>583</v>
      </c>
      <c r="N12" s="2270"/>
      <c r="O12" s="2270"/>
      <c r="P12" s="2285"/>
      <c r="Q12" s="2269" t="s">
        <v>584</v>
      </c>
      <c r="R12" s="2270"/>
      <c r="S12" s="2270"/>
      <c r="T12" s="2271"/>
      <c r="U12" s="1341"/>
      <c r="V12" s="1341"/>
      <c r="W12" s="1341"/>
      <c r="X12" s="1341"/>
      <c r="Y12" s="1341"/>
      <c r="Z12" s="1341"/>
      <c r="AA12" s="1341"/>
      <c r="AB12" s="1341"/>
      <c r="AC12" s="1341"/>
      <c r="AD12" s="1341"/>
      <c r="AE12" s="1341"/>
      <c r="AF12" s="1341"/>
      <c r="AG12" s="1341"/>
      <c r="AH12" s="1341"/>
      <c r="AI12" s="1341"/>
      <c r="AJ12" s="1341"/>
      <c r="AK12" s="1341"/>
      <c r="AL12" s="1341"/>
      <c r="AM12" s="1341"/>
      <c r="AN12" s="1341"/>
      <c r="AO12" s="1341"/>
      <c r="AP12" s="1341"/>
    </row>
    <row r="13" spans="1:42" ht="15" customHeight="1">
      <c r="A13" s="1083"/>
      <c r="B13" s="1343">
        <v>1</v>
      </c>
      <c r="C13" s="1344" t="s">
        <v>585</v>
      </c>
      <c r="D13" s="1329"/>
      <c r="E13" s="1329"/>
      <c r="F13" s="1329"/>
      <c r="G13" s="1329"/>
      <c r="H13" s="1329"/>
      <c r="I13" s="1329"/>
      <c r="J13" s="1329"/>
      <c r="K13" s="1329"/>
      <c r="L13" s="1345"/>
      <c r="M13" s="2263"/>
      <c r="N13" s="2263"/>
      <c r="O13" s="2263"/>
      <c r="P13" s="2263"/>
      <c r="Q13" s="2262"/>
      <c r="R13" s="2263"/>
      <c r="S13" s="2263"/>
      <c r="T13" s="2264"/>
      <c r="U13" s="1083"/>
      <c r="V13" s="1083"/>
      <c r="W13" s="1083"/>
      <c r="X13" s="1083"/>
      <c r="Y13" s="1083"/>
      <c r="Z13" s="1083"/>
      <c r="AA13" s="1083"/>
      <c r="AB13" s="1083"/>
      <c r="AC13" s="1083"/>
      <c r="AD13" s="1083"/>
      <c r="AE13" s="1083"/>
      <c r="AF13" s="1083"/>
      <c r="AG13" s="1083"/>
      <c r="AH13" s="1083"/>
      <c r="AI13" s="1083"/>
      <c r="AJ13" s="1083"/>
      <c r="AK13" s="1083"/>
      <c r="AL13" s="1083"/>
      <c r="AM13" s="1083"/>
      <c r="AN13" s="1083"/>
      <c r="AO13" s="1083"/>
      <c r="AP13" s="1083"/>
    </row>
    <row r="14" spans="1:42" s="1333" customFormat="1" ht="15" customHeight="1">
      <c r="A14" s="1334"/>
      <c r="B14" s="1346"/>
      <c r="C14" s="1347" t="s">
        <v>586</v>
      </c>
      <c r="D14" s="1329" t="s">
        <v>587</v>
      </c>
      <c r="E14" s="1329"/>
      <c r="F14" s="1329"/>
      <c r="G14" s="1329"/>
      <c r="H14" s="1329"/>
      <c r="I14" s="2245">
        <f>IF(DATA!AH49=1,0,'Annexure -I I'!P12)</f>
        <v>12000</v>
      </c>
      <c r="J14" s="2245"/>
      <c r="K14" s="1348" t="s">
        <v>588</v>
      </c>
      <c r="L14" s="1349"/>
      <c r="M14" s="2281">
        <f>IF(DATA!AH49=1,0,'Annexure -I I'!U12)</f>
        <v>144000</v>
      </c>
      <c r="N14" s="2257"/>
      <c r="O14" s="2257"/>
      <c r="P14" s="2257"/>
      <c r="Q14" s="2260" t="str">
        <f>IF(DATA!AH49=1,0,"Receipt Produced")</f>
        <v>Receipt Produced</v>
      </c>
      <c r="R14" s="2257"/>
      <c r="S14" s="2257"/>
      <c r="T14" s="2261"/>
      <c r="U14" s="1334"/>
      <c r="V14" s="1334"/>
      <c r="W14" s="1334"/>
      <c r="X14" s="1334"/>
      <c r="Y14" s="1334"/>
      <c r="Z14" s="1334"/>
      <c r="AA14" s="1334"/>
      <c r="AB14" s="1334"/>
      <c r="AC14" s="1334"/>
      <c r="AD14" s="1334"/>
      <c r="AE14" s="1334"/>
      <c r="AF14" s="1334"/>
      <c r="AG14" s="1334"/>
      <c r="AH14" s="1334"/>
      <c r="AI14" s="1334"/>
      <c r="AJ14" s="1334"/>
      <c r="AK14" s="1334"/>
      <c r="AL14" s="1334"/>
      <c r="AM14" s="1334"/>
      <c r="AN14" s="1334"/>
      <c r="AO14" s="1334"/>
      <c r="AP14" s="1334"/>
    </row>
    <row r="15" spans="1:42" s="1333" customFormat="1" ht="15" customHeight="1">
      <c r="A15" s="1334"/>
      <c r="B15" s="1346"/>
      <c r="C15" s="1347" t="s">
        <v>589</v>
      </c>
      <c r="D15" s="1329" t="s">
        <v>590</v>
      </c>
      <c r="E15" s="1329"/>
      <c r="F15" s="1329"/>
      <c r="G15" s="1329"/>
      <c r="H15" s="1329"/>
      <c r="I15" s="1329"/>
      <c r="J15" s="1329"/>
      <c r="K15" s="1329"/>
      <c r="L15" s="1349"/>
      <c r="M15" s="2257"/>
      <c r="N15" s="2257"/>
      <c r="O15" s="2257"/>
      <c r="P15" s="2258"/>
      <c r="Q15" s="2260"/>
      <c r="R15" s="2257"/>
      <c r="S15" s="2257"/>
      <c r="T15" s="2261"/>
      <c r="U15" s="1334"/>
      <c r="V15" s="1334"/>
      <c r="W15" s="1334"/>
      <c r="X15" s="1334"/>
      <c r="Y15" s="1334"/>
      <c r="Z15" s="1334"/>
      <c r="AA15" s="1334"/>
      <c r="AB15" s="1334"/>
      <c r="AC15" s="1334"/>
      <c r="AD15" s="1334"/>
      <c r="AE15" s="1334"/>
      <c r="AF15" s="1334"/>
      <c r="AG15" s="1334"/>
      <c r="AH15" s="1334"/>
      <c r="AI15" s="1334"/>
      <c r="AJ15" s="1334"/>
      <c r="AK15" s="1334"/>
      <c r="AL15" s="1334"/>
      <c r="AM15" s="1334"/>
      <c r="AN15" s="1334"/>
      <c r="AO15" s="1334"/>
      <c r="AP15" s="1334"/>
    </row>
    <row r="16" spans="1:42" s="1333" customFormat="1" ht="15" customHeight="1">
      <c r="A16" s="1334"/>
      <c r="B16" s="1346"/>
      <c r="C16" s="1347" t="s">
        <v>591</v>
      </c>
      <c r="D16" s="1329" t="s">
        <v>592</v>
      </c>
      <c r="E16" s="1329"/>
      <c r="F16" s="1329"/>
      <c r="G16" s="1329"/>
      <c r="H16" s="1329"/>
      <c r="I16" s="1329"/>
      <c r="J16" s="1329"/>
      <c r="K16" s="1329"/>
      <c r="L16" s="1349"/>
      <c r="M16" s="2257"/>
      <c r="N16" s="2257"/>
      <c r="O16" s="2257"/>
      <c r="P16" s="2258"/>
      <c r="Q16" s="2260"/>
      <c r="R16" s="2257"/>
      <c r="S16" s="2257"/>
      <c r="T16" s="2261"/>
      <c r="U16" s="1334"/>
      <c r="V16" s="1334"/>
      <c r="W16" s="1334"/>
      <c r="X16" s="1334"/>
      <c r="Y16" s="1334"/>
      <c r="Z16" s="1334"/>
      <c r="AA16" s="1334"/>
      <c r="AB16" s="1334"/>
      <c r="AC16" s="1334"/>
      <c r="AD16" s="1334"/>
      <c r="AE16" s="1334"/>
      <c r="AF16" s="1334"/>
      <c r="AG16" s="1334"/>
      <c r="AH16" s="1334"/>
      <c r="AI16" s="1334"/>
      <c r="AJ16" s="1334"/>
      <c r="AK16" s="1334"/>
      <c r="AL16" s="1334"/>
      <c r="AM16" s="1334"/>
      <c r="AN16" s="1334"/>
      <c r="AO16" s="1334"/>
      <c r="AP16" s="1334"/>
    </row>
    <row r="17" spans="1:42" s="1333" customFormat="1" ht="15" customHeight="1">
      <c r="A17" s="1334"/>
      <c r="B17" s="1350"/>
      <c r="C17" s="1351" t="s">
        <v>593</v>
      </c>
      <c r="D17" s="1338" t="s">
        <v>594</v>
      </c>
      <c r="E17" s="1338"/>
      <c r="F17" s="1338"/>
      <c r="G17" s="1338"/>
      <c r="H17" s="1338"/>
      <c r="I17" s="1338"/>
      <c r="J17" s="1338"/>
      <c r="K17" s="1338"/>
      <c r="L17" s="1352"/>
      <c r="M17" s="2259"/>
      <c r="N17" s="2259"/>
      <c r="O17" s="2259"/>
      <c r="P17" s="2266"/>
      <c r="Q17" s="2267"/>
      <c r="R17" s="2259"/>
      <c r="S17" s="2259"/>
      <c r="T17" s="2268"/>
      <c r="U17" s="1334"/>
      <c r="V17" s="1334"/>
      <c r="W17" s="1334"/>
      <c r="X17" s="1334"/>
      <c r="Y17" s="1334"/>
      <c r="Z17" s="1334"/>
      <c r="AA17" s="1334"/>
      <c r="AB17" s="1334"/>
      <c r="AC17" s="1334"/>
      <c r="AD17" s="1334"/>
      <c r="AE17" s="1334"/>
      <c r="AF17" s="1334"/>
      <c r="AG17" s="1334"/>
      <c r="AH17" s="1334"/>
      <c r="AI17" s="1334"/>
      <c r="AJ17" s="1334"/>
      <c r="AK17" s="1334"/>
      <c r="AL17" s="1334"/>
      <c r="AM17" s="1334"/>
      <c r="AN17" s="1334"/>
      <c r="AO17" s="1334"/>
      <c r="AP17" s="1334"/>
    </row>
    <row r="18" spans="1:42" ht="16.5" customHeight="1">
      <c r="A18" s="1083"/>
      <c r="B18" s="1346">
        <v>2</v>
      </c>
      <c r="C18" s="1344" t="s">
        <v>595</v>
      </c>
      <c r="D18" s="1329"/>
      <c r="E18" s="1329"/>
      <c r="F18" s="1329"/>
      <c r="G18" s="1329"/>
      <c r="H18" s="1329"/>
      <c r="I18" s="1329"/>
      <c r="J18" s="1329"/>
      <c r="K18" s="1329"/>
      <c r="L18" s="1329"/>
      <c r="M18" s="2260"/>
      <c r="N18" s="2257"/>
      <c r="O18" s="2257"/>
      <c r="P18" s="2257"/>
      <c r="Q18" s="2260"/>
      <c r="R18" s="2257"/>
      <c r="S18" s="2257"/>
      <c r="T18" s="2261"/>
      <c r="U18" s="1083"/>
      <c r="V18" s="1083"/>
      <c r="W18" s="1083"/>
      <c r="X18" s="1083"/>
      <c r="Y18" s="1083"/>
      <c r="Z18" s="1083"/>
      <c r="AA18" s="1083"/>
      <c r="AB18" s="1083"/>
      <c r="AC18" s="1083"/>
      <c r="AD18" s="1083"/>
      <c r="AE18" s="1083"/>
      <c r="AF18" s="1083"/>
      <c r="AG18" s="1083"/>
      <c r="AH18" s="1083"/>
      <c r="AI18" s="1083"/>
      <c r="AJ18" s="1083"/>
      <c r="AK18" s="1083"/>
      <c r="AL18" s="1083"/>
      <c r="AM18" s="1083"/>
      <c r="AN18" s="1083"/>
      <c r="AO18" s="1083"/>
      <c r="AP18" s="1083"/>
    </row>
    <row r="19" spans="1:42" ht="15.75" customHeight="1">
      <c r="A19" s="1083"/>
      <c r="B19" s="1346">
        <v>3</v>
      </c>
      <c r="C19" s="1344" t="s">
        <v>596</v>
      </c>
      <c r="D19" s="1329"/>
      <c r="E19" s="1329"/>
      <c r="F19" s="1329"/>
      <c r="G19" s="1329"/>
      <c r="H19" s="1329"/>
      <c r="I19" s="1329"/>
      <c r="J19" s="1329"/>
      <c r="K19" s="1329"/>
      <c r="L19" s="1329"/>
      <c r="M19" s="2260"/>
      <c r="N19" s="2257"/>
      <c r="O19" s="2257"/>
      <c r="P19" s="2257"/>
      <c r="Q19" s="2260"/>
      <c r="R19" s="2257"/>
      <c r="S19" s="2257"/>
      <c r="T19" s="2261"/>
      <c r="U19" s="1083"/>
      <c r="V19" s="1083"/>
      <c r="W19" s="1083"/>
      <c r="X19" s="1083"/>
      <c r="Y19" s="1083"/>
      <c r="Z19" s="1083"/>
      <c r="AA19" s="1083"/>
      <c r="AB19" s="1083"/>
      <c r="AC19" s="1083"/>
      <c r="AD19" s="1083"/>
      <c r="AE19" s="1083"/>
      <c r="AF19" s="1083"/>
      <c r="AG19" s="1083"/>
      <c r="AH19" s="1083"/>
      <c r="AI19" s="1083"/>
      <c r="AJ19" s="1083"/>
      <c r="AK19" s="1083"/>
      <c r="AL19" s="1083"/>
      <c r="AM19" s="1083"/>
      <c r="AN19" s="1083"/>
      <c r="AO19" s="1083"/>
      <c r="AP19" s="1083"/>
    </row>
    <row r="20" spans="1:42" s="1333" customFormat="1" ht="15" customHeight="1">
      <c r="A20" s="1334"/>
      <c r="B20" s="1346"/>
      <c r="C20" s="1347" t="s">
        <v>586</v>
      </c>
      <c r="D20" s="1329" t="s">
        <v>597</v>
      </c>
      <c r="E20" s="1329"/>
      <c r="F20" s="1329"/>
      <c r="G20" s="1329"/>
      <c r="H20" s="1329"/>
      <c r="I20" s="1329"/>
      <c r="J20" s="1329"/>
      <c r="K20" s="1329"/>
      <c r="L20" s="1329"/>
      <c r="M20" s="2265"/>
      <c r="N20" s="2257"/>
      <c r="O20" s="2257"/>
      <c r="P20" s="2257"/>
      <c r="Q20" s="2260"/>
      <c r="R20" s="2257"/>
      <c r="S20" s="2257"/>
      <c r="T20" s="2261"/>
      <c r="U20" s="1334"/>
      <c r="V20" s="1334"/>
      <c r="W20" s="1334"/>
      <c r="X20" s="1334"/>
      <c r="Y20" s="1334"/>
      <c r="Z20" s="1334"/>
      <c r="AA20" s="1334"/>
      <c r="AB20" s="1334"/>
      <c r="AC20" s="1334"/>
      <c r="AD20" s="1334"/>
      <c r="AE20" s="1334"/>
      <c r="AF20" s="1334"/>
      <c r="AG20" s="1334"/>
      <c r="AH20" s="1334"/>
      <c r="AI20" s="1334"/>
      <c r="AJ20" s="1334"/>
      <c r="AK20" s="1334"/>
      <c r="AL20" s="1334"/>
      <c r="AM20" s="1334"/>
      <c r="AN20" s="1334"/>
      <c r="AO20" s="1334"/>
      <c r="AP20" s="1334"/>
    </row>
    <row r="21" spans="1:42" s="1333" customFormat="1" ht="15" customHeight="1">
      <c r="A21" s="1334"/>
      <c r="B21" s="1346"/>
      <c r="C21" s="1347" t="s">
        <v>589</v>
      </c>
      <c r="D21" s="1329" t="s">
        <v>598</v>
      </c>
      <c r="E21" s="1329"/>
      <c r="F21" s="1329"/>
      <c r="G21" s="1329"/>
      <c r="H21" s="1329"/>
      <c r="I21" s="1329"/>
      <c r="J21" s="1329"/>
      <c r="K21" s="1329"/>
      <c r="L21" s="1329"/>
      <c r="M21" s="2260"/>
      <c r="N21" s="2257"/>
      <c r="O21" s="2257"/>
      <c r="P21" s="2257"/>
      <c r="Q21" s="2260"/>
      <c r="R21" s="2257"/>
      <c r="S21" s="2257"/>
      <c r="T21" s="2261"/>
      <c r="U21" s="1334"/>
      <c r="V21" s="1334"/>
      <c r="W21" s="1334"/>
      <c r="X21" s="1334"/>
      <c r="Y21" s="1334"/>
      <c r="Z21" s="1334"/>
      <c r="AA21" s="1334"/>
      <c r="AB21" s="1334"/>
      <c r="AC21" s="1334"/>
      <c r="AD21" s="1334"/>
      <c r="AE21" s="1334"/>
      <c r="AF21" s="1334"/>
      <c r="AG21" s="1334"/>
      <c r="AH21" s="1334"/>
      <c r="AI21" s="1334"/>
      <c r="AJ21" s="1334"/>
      <c r="AK21" s="1334"/>
      <c r="AL21" s="1334"/>
      <c r="AM21" s="1334"/>
      <c r="AN21" s="1334"/>
      <c r="AO21" s="1334"/>
      <c r="AP21" s="1334"/>
    </row>
    <row r="22" spans="1:42" s="1333" customFormat="1" ht="15" customHeight="1">
      <c r="A22" s="1334"/>
      <c r="B22" s="1346"/>
      <c r="C22" s="1347" t="s">
        <v>591</v>
      </c>
      <c r="D22" s="1329" t="s">
        <v>599</v>
      </c>
      <c r="E22" s="1353"/>
      <c r="F22" s="1329"/>
      <c r="G22" s="1354"/>
      <c r="H22" s="1354"/>
      <c r="I22" s="1354"/>
      <c r="J22" s="1354"/>
      <c r="K22" s="1354"/>
      <c r="L22" s="1354"/>
      <c r="M22" s="2260"/>
      <c r="N22" s="2257"/>
      <c r="O22" s="2257"/>
      <c r="P22" s="2257"/>
      <c r="Q22" s="2260"/>
      <c r="R22" s="2257"/>
      <c r="S22" s="2257"/>
      <c r="T22" s="2261"/>
      <c r="U22" s="1334"/>
      <c r="V22" s="1334"/>
      <c r="W22" s="1334"/>
      <c r="X22" s="1334"/>
      <c r="Y22" s="1334"/>
      <c r="Z22" s="1334"/>
      <c r="AA22" s="1334"/>
      <c r="AB22" s="1334"/>
      <c r="AC22" s="1334"/>
      <c r="AD22" s="1334"/>
      <c r="AE22" s="1334"/>
      <c r="AF22" s="1334"/>
      <c r="AG22" s="1334"/>
      <c r="AH22" s="1334"/>
      <c r="AI22" s="1334"/>
      <c r="AJ22" s="1334"/>
      <c r="AK22" s="1334"/>
      <c r="AL22" s="1334"/>
      <c r="AM22" s="1334"/>
      <c r="AN22" s="1334"/>
      <c r="AO22" s="1334"/>
      <c r="AP22" s="1334"/>
    </row>
    <row r="23" spans="1:42" s="1333" customFormat="1" ht="15" customHeight="1">
      <c r="A23" s="1334"/>
      <c r="B23" s="1346"/>
      <c r="C23" s="1347" t="s">
        <v>593</v>
      </c>
      <c r="D23" s="1329" t="s">
        <v>600</v>
      </c>
      <c r="E23" s="1353"/>
      <c r="F23" s="1329"/>
      <c r="G23" s="1354"/>
      <c r="H23" s="1354"/>
      <c r="I23" s="1354"/>
      <c r="J23" s="1354"/>
      <c r="K23" s="1354"/>
      <c r="L23" s="1354"/>
      <c r="M23" s="2260"/>
      <c r="N23" s="2257"/>
      <c r="O23" s="2257"/>
      <c r="P23" s="2257"/>
      <c r="Q23" s="2260"/>
      <c r="R23" s="2257"/>
      <c r="S23" s="2257"/>
      <c r="T23" s="2261"/>
      <c r="U23" s="1334"/>
      <c r="V23" s="1334"/>
      <c r="W23" s="1334"/>
      <c r="X23" s="1334"/>
      <c r="Y23" s="1334"/>
      <c r="Z23" s="1334"/>
      <c r="AA23" s="1334"/>
      <c r="AB23" s="1334"/>
      <c r="AC23" s="1334"/>
      <c r="AD23" s="1334"/>
      <c r="AE23" s="1334"/>
      <c r="AF23" s="1334"/>
      <c r="AG23" s="1334"/>
      <c r="AH23" s="1334"/>
      <c r="AI23" s="1334"/>
      <c r="AJ23" s="1334"/>
      <c r="AK23" s="1334"/>
      <c r="AL23" s="1334"/>
      <c r="AM23" s="1334"/>
      <c r="AN23" s="1334"/>
      <c r="AO23" s="1334"/>
      <c r="AP23" s="1334"/>
    </row>
    <row r="24" spans="1:42" s="1333" customFormat="1" ht="15" customHeight="1">
      <c r="A24" s="1334"/>
      <c r="B24" s="1346"/>
      <c r="C24" s="1347" t="s">
        <v>265</v>
      </c>
      <c r="D24" s="1329" t="s">
        <v>601</v>
      </c>
      <c r="E24" s="1353"/>
      <c r="F24" s="1329"/>
      <c r="G24" s="1354"/>
      <c r="H24" s="1354"/>
      <c r="I24" s="1354"/>
      <c r="J24" s="1354"/>
      <c r="K24" s="1354"/>
      <c r="L24" s="1354"/>
      <c r="M24" s="2260"/>
      <c r="N24" s="2257"/>
      <c r="O24" s="2257"/>
      <c r="P24" s="2257"/>
      <c r="Q24" s="2260"/>
      <c r="R24" s="2257"/>
      <c r="S24" s="2257"/>
      <c r="T24" s="2261"/>
      <c r="U24" s="1334"/>
      <c r="V24" s="1334"/>
      <c r="W24" s="1334"/>
      <c r="X24" s="1334"/>
      <c r="Y24" s="1334"/>
      <c r="Z24" s="1334"/>
      <c r="AA24" s="1334"/>
      <c r="AB24" s="1334"/>
      <c r="AC24" s="1334"/>
      <c r="AD24" s="1334"/>
      <c r="AE24" s="1334"/>
      <c r="AF24" s="1334"/>
      <c r="AG24" s="1334"/>
      <c r="AH24" s="1334"/>
      <c r="AI24" s="1334"/>
      <c r="AJ24" s="1334"/>
      <c r="AK24" s="1334"/>
      <c r="AL24" s="1334"/>
      <c r="AM24" s="1334"/>
      <c r="AN24" s="1334"/>
      <c r="AO24" s="1334"/>
      <c r="AP24" s="1334"/>
    </row>
    <row r="25" spans="1:42" s="1333" customFormat="1" ht="15" customHeight="1">
      <c r="A25" s="1334"/>
      <c r="B25" s="1346"/>
      <c r="C25" s="1347" t="s">
        <v>267</v>
      </c>
      <c r="D25" s="1329" t="s">
        <v>602</v>
      </c>
      <c r="E25" s="1329"/>
      <c r="F25" s="1329"/>
      <c r="G25" s="1329"/>
      <c r="H25" s="1329"/>
      <c r="I25" s="1329"/>
      <c r="J25" s="1329"/>
      <c r="K25" s="1329"/>
      <c r="L25" s="1329"/>
      <c r="M25" s="2260"/>
      <c r="N25" s="2257"/>
      <c r="O25" s="2257"/>
      <c r="P25" s="2257"/>
      <c r="Q25" s="2260"/>
      <c r="R25" s="2257"/>
      <c r="S25" s="2257"/>
      <c r="T25" s="2261"/>
      <c r="U25" s="1334"/>
      <c r="V25" s="1334"/>
      <c r="W25" s="1334"/>
      <c r="X25" s="1334"/>
      <c r="Y25" s="1334"/>
      <c r="Z25" s="1334"/>
      <c r="AA25" s="1334"/>
      <c r="AB25" s="1334"/>
      <c r="AC25" s="1334"/>
      <c r="AD25" s="1334"/>
      <c r="AE25" s="1334"/>
      <c r="AF25" s="1334"/>
      <c r="AG25" s="1334"/>
      <c r="AH25" s="1334"/>
      <c r="AI25" s="1334"/>
      <c r="AJ25" s="1334"/>
      <c r="AK25" s="1334"/>
      <c r="AL25" s="1334"/>
      <c r="AM25" s="1334"/>
      <c r="AN25" s="1334"/>
      <c r="AO25" s="1334"/>
      <c r="AP25" s="1334"/>
    </row>
    <row r="26" spans="1:42" s="1333" customFormat="1" ht="15" customHeight="1">
      <c r="A26" s="1334"/>
      <c r="B26" s="1350"/>
      <c r="C26" s="1351" t="s">
        <v>268</v>
      </c>
      <c r="D26" s="1338" t="s">
        <v>535</v>
      </c>
      <c r="E26" s="1338"/>
      <c r="F26" s="1338"/>
      <c r="G26" s="1338"/>
      <c r="H26" s="1338"/>
      <c r="I26" s="1338"/>
      <c r="J26" s="1338"/>
      <c r="K26" s="1338"/>
      <c r="L26" s="1338"/>
      <c r="M26" s="2267"/>
      <c r="N26" s="2259"/>
      <c r="O26" s="2259"/>
      <c r="P26" s="2259"/>
      <c r="Q26" s="2267"/>
      <c r="R26" s="2259"/>
      <c r="S26" s="2259"/>
      <c r="T26" s="2268"/>
      <c r="U26" s="1334"/>
      <c r="V26" s="1334"/>
      <c r="W26" s="1334"/>
      <c r="X26" s="1334"/>
      <c r="Y26" s="1334"/>
      <c r="Z26" s="1334"/>
      <c r="AA26" s="1334"/>
      <c r="AB26" s="1334"/>
      <c r="AC26" s="1334"/>
      <c r="AD26" s="1334"/>
      <c r="AE26" s="1334"/>
      <c r="AF26" s="1334"/>
      <c r="AG26" s="1334"/>
      <c r="AH26" s="1334"/>
      <c r="AI26" s="1334"/>
      <c r="AJ26" s="1334"/>
      <c r="AK26" s="1334"/>
      <c r="AL26" s="1334"/>
      <c r="AM26" s="1334"/>
      <c r="AN26" s="1334"/>
      <c r="AO26" s="1334"/>
      <c r="AP26" s="1334"/>
    </row>
    <row r="27" spans="1:42" ht="16.5" customHeight="1">
      <c r="A27" s="1083"/>
      <c r="B27" s="1346">
        <v>4</v>
      </c>
      <c r="C27" s="1344" t="s">
        <v>603</v>
      </c>
      <c r="D27" s="1329"/>
      <c r="E27" s="1353"/>
      <c r="F27" s="1329"/>
      <c r="G27" s="1329"/>
      <c r="H27" s="1329"/>
      <c r="I27" s="1329"/>
      <c r="J27" s="1329"/>
      <c r="K27" s="1329"/>
      <c r="L27" s="1329"/>
      <c r="M27" s="2262"/>
      <c r="N27" s="2263"/>
      <c r="O27" s="2263"/>
      <c r="P27" s="2286"/>
      <c r="Q27" s="2262"/>
      <c r="R27" s="2263"/>
      <c r="S27" s="2263"/>
      <c r="T27" s="2264"/>
      <c r="U27" s="1083"/>
      <c r="V27" s="1083"/>
      <c r="W27" s="1083"/>
      <c r="X27" s="1083">
        <f>'Annexure -I I'!K37</f>
        <v>189717</v>
      </c>
      <c r="Y27" s="1083"/>
      <c r="Z27" s="1083"/>
      <c r="AA27" s="1083"/>
      <c r="AB27" s="1083"/>
      <c r="AC27" s="1083"/>
      <c r="AD27" s="1083"/>
      <c r="AE27" s="1083"/>
      <c r="AF27" s="1083"/>
      <c r="AG27" s="1083"/>
      <c r="AH27" s="1083"/>
      <c r="AI27" s="1083"/>
      <c r="AJ27" s="1083"/>
      <c r="AK27" s="1083"/>
      <c r="AL27" s="1083"/>
      <c r="AM27" s="1083"/>
      <c r="AN27" s="1083"/>
      <c r="AO27" s="1083"/>
      <c r="AP27" s="1083"/>
    </row>
    <row r="28" spans="1:42" ht="16.5" customHeight="1">
      <c r="A28" s="1083"/>
      <c r="B28" s="1355" t="s">
        <v>309</v>
      </c>
      <c r="C28" s="2288" t="s">
        <v>621</v>
      </c>
      <c r="D28" s="2289"/>
      <c r="E28" s="2289"/>
      <c r="F28" s="2289"/>
      <c r="G28" s="2289"/>
      <c r="H28" s="2289"/>
      <c r="I28" s="2289"/>
      <c r="J28" s="2289"/>
      <c r="K28" s="2289"/>
      <c r="L28" s="2290"/>
      <c r="M28" s="1354"/>
      <c r="N28" s="1354"/>
      <c r="O28" s="1354"/>
      <c r="P28" s="1354"/>
      <c r="Q28" s="2260"/>
      <c r="R28" s="2257"/>
      <c r="S28" s="2257"/>
      <c r="T28" s="2261"/>
      <c r="U28" s="1083"/>
      <c r="V28" s="1083"/>
      <c r="W28" s="1083"/>
      <c r="X28" s="1083">
        <f>IF('Annexure -I I'!K47="",0,'Annexure -I I'!K47)</f>
        <v>0</v>
      </c>
      <c r="Y28" s="1083"/>
      <c r="Z28" s="1083"/>
      <c r="AA28" s="1083"/>
      <c r="AB28" s="1083"/>
      <c r="AC28" s="1083"/>
      <c r="AD28" s="1083"/>
      <c r="AE28" s="1083"/>
      <c r="AF28" s="1083"/>
      <c r="AG28" s="1083"/>
      <c r="AH28" s="1083"/>
      <c r="AI28" s="1083"/>
      <c r="AJ28" s="1083"/>
      <c r="AK28" s="1083"/>
      <c r="AL28" s="1083"/>
      <c r="AM28" s="1083"/>
      <c r="AN28" s="1083"/>
      <c r="AO28" s="1083"/>
      <c r="AP28" s="1083"/>
    </row>
    <row r="29" spans="1:42" ht="15" customHeight="1">
      <c r="A29" s="1083"/>
      <c r="B29" s="1355"/>
      <c r="C29" s="1329" t="s">
        <v>265</v>
      </c>
      <c r="D29" s="1335" t="str">
        <f>'Form-16'!C49</f>
        <v>80C</v>
      </c>
      <c r="E29" s="1356" t="str">
        <f>'Form-16'!D49</f>
        <v>PF</v>
      </c>
      <c r="F29" s="1357"/>
      <c r="G29" s="1358"/>
      <c r="H29" s="1358"/>
      <c r="I29" s="1358"/>
      <c r="J29" s="1358"/>
      <c r="K29" s="1358"/>
      <c r="L29" s="1358"/>
      <c r="M29" s="2256">
        <f>IF(DATA!AH49=1,0,(X27+X28))</f>
        <v>189717</v>
      </c>
      <c r="N29" s="2257"/>
      <c r="O29" s="2257"/>
      <c r="P29" s="2258"/>
      <c r="Q29" s="2253" t="str">
        <f>IF(DATA!AH49=1,0,IF(M29&gt;0,"Salary deduction",""))</f>
        <v>Salary deduction</v>
      </c>
      <c r="R29" s="2254"/>
      <c r="S29" s="2254"/>
      <c r="T29" s="2255"/>
      <c r="U29" s="1083"/>
      <c r="V29" s="1083"/>
      <c r="W29" s="1083"/>
      <c r="X29" s="1083"/>
      <c r="Y29" s="1083"/>
      <c r="Z29" s="1083"/>
      <c r="AA29" s="1083"/>
      <c r="AB29" s="1083"/>
      <c r="AC29" s="1083"/>
      <c r="AD29" s="1083"/>
      <c r="AE29" s="1083"/>
      <c r="AF29" s="1083"/>
      <c r="AG29" s="1083"/>
      <c r="AH29" s="1083"/>
      <c r="AI29" s="1083"/>
      <c r="AJ29" s="1083"/>
      <c r="AK29" s="1083"/>
      <c r="AL29" s="1083"/>
      <c r="AM29" s="1083"/>
      <c r="AN29" s="1083"/>
      <c r="AO29" s="1083"/>
      <c r="AP29" s="1083"/>
    </row>
    <row r="30" spans="1:42" ht="15" customHeight="1">
      <c r="A30" s="1083"/>
      <c r="B30" s="1355"/>
      <c r="C30" s="1329" t="s">
        <v>267</v>
      </c>
      <c r="D30" s="1335" t="str">
        <f>'Form-16'!C50</f>
        <v>80C</v>
      </c>
      <c r="E30" s="1356" t="str">
        <f>'Form-16'!D50</f>
        <v>A.P.G.L.I</v>
      </c>
      <c r="F30" s="1357"/>
      <c r="G30" s="1330"/>
      <c r="H30" s="1330"/>
      <c r="I30" s="1330"/>
      <c r="J30" s="1331"/>
      <c r="K30" s="1331"/>
      <c r="L30" s="1331"/>
      <c r="M30" s="2256">
        <f>IF(DATA!AH49=1,0,'Annexure -I I'!K38)</f>
        <v>24000</v>
      </c>
      <c r="N30" s="2257"/>
      <c r="O30" s="2257"/>
      <c r="P30" s="2258"/>
      <c r="Q30" s="2253" t="str">
        <f>IF(DATA!AH49=1,0,IF(M30&gt;0,"Salary deduction",""))</f>
        <v>Salary deduction</v>
      </c>
      <c r="R30" s="2254"/>
      <c r="S30" s="2254"/>
      <c r="T30" s="2255"/>
      <c r="U30" s="1083"/>
      <c r="V30" s="1083"/>
      <c r="W30" s="1083"/>
      <c r="X30" s="1083"/>
      <c r="Y30" s="1083"/>
      <c r="Z30" s="1083"/>
      <c r="AA30" s="1083"/>
      <c r="AB30" s="1083"/>
      <c r="AC30" s="1083"/>
      <c r="AD30" s="1083"/>
      <c r="AE30" s="1083"/>
      <c r="AF30" s="1083"/>
      <c r="AG30" s="1083"/>
      <c r="AH30" s="1083"/>
      <c r="AI30" s="1083"/>
      <c r="AJ30" s="1083"/>
      <c r="AK30" s="1083"/>
      <c r="AL30" s="1083"/>
      <c r="AM30" s="1083"/>
      <c r="AN30" s="1083"/>
      <c r="AO30" s="1083"/>
      <c r="AP30" s="1083"/>
    </row>
    <row r="31" spans="1:42" ht="15" customHeight="1">
      <c r="A31" s="1083"/>
      <c r="B31" s="1355"/>
      <c r="C31" s="1329" t="s">
        <v>268</v>
      </c>
      <c r="D31" s="1335" t="str">
        <f>'Form-16'!C51</f>
        <v>80C</v>
      </c>
      <c r="E31" s="1356" t="str">
        <f>'Form-16'!D51</f>
        <v>G.I.S</v>
      </c>
      <c r="F31" s="1357"/>
      <c r="G31" s="1329"/>
      <c r="H31" s="1329"/>
      <c r="I31" s="1329"/>
      <c r="J31" s="1359"/>
      <c r="K31" s="1359"/>
      <c r="L31" s="1359"/>
      <c r="M31" s="2256">
        <f>IF(DATA!AH49=1,0,'Annexure -I I'!K39)</f>
        <v>1440</v>
      </c>
      <c r="N31" s="2257"/>
      <c r="O31" s="2257"/>
      <c r="P31" s="2258"/>
      <c r="Q31" s="2253" t="str">
        <f>IF(DATA!AH49=1,0,IF(M31&gt;0,"Salary deduction",""))</f>
        <v>Salary deduction</v>
      </c>
      <c r="R31" s="2254"/>
      <c r="S31" s="2254"/>
      <c r="T31" s="2255"/>
      <c r="U31" s="1083"/>
      <c r="V31" s="1083"/>
      <c r="W31" s="1083"/>
      <c r="X31" s="1083"/>
      <c r="Y31" s="1083"/>
      <c r="Z31" s="1083"/>
      <c r="AA31" s="1083"/>
      <c r="AB31" s="1083"/>
      <c r="AC31" s="1083"/>
      <c r="AD31" s="1083"/>
      <c r="AE31" s="1083"/>
      <c r="AF31" s="1083"/>
      <c r="AG31" s="1083"/>
      <c r="AH31" s="1083"/>
      <c r="AI31" s="1083"/>
      <c r="AJ31" s="1083"/>
      <c r="AK31" s="1083"/>
      <c r="AL31" s="1083"/>
      <c r="AM31" s="1083"/>
      <c r="AN31" s="1083"/>
      <c r="AO31" s="1083"/>
      <c r="AP31" s="1083"/>
    </row>
    <row r="32" spans="1:42" ht="15" customHeight="1">
      <c r="A32" s="1083"/>
      <c r="B32" s="1355"/>
      <c r="C32" s="1329" t="s">
        <v>278</v>
      </c>
      <c r="D32" s="1335" t="str">
        <f>'Form-16'!C52</f>
        <v>80C</v>
      </c>
      <c r="E32" s="1356" t="str">
        <f>'Form-16'!D52</f>
        <v xml:space="preserve">LIC Policies Monthly Premium in Salary </v>
      </c>
      <c r="F32" s="1357"/>
      <c r="G32" s="1360"/>
      <c r="H32" s="1360"/>
      <c r="I32" s="1360"/>
      <c r="J32" s="1329"/>
      <c r="K32" s="1329"/>
      <c r="L32" s="1329"/>
      <c r="M32" s="2256">
        <f>IF(DATA!AH49=1,0,'Annexure -I I'!K40)</f>
        <v>0</v>
      </c>
      <c r="N32" s="2257"/>
      <c r="O32" s="2257"/>
      <c r="P32" s="2258"/>
      <c r="Q32" s="2253" t="str">
        <f>IF(DATA!AH49=1,0,IF(M32&gt;0,"Salary deduction",""))</f>
        <v/>
      </c>
      <c r="R32" s="2254"/>
      <c r="S32" s="2254"/>
      <c r="T32" s="2255"/>
      <c r="U32" s="1083"/>
      <c r="V32" s="1083"/>
      <c r="W32" s="1083"/>
      <c r="X32" s="1083"/>
      <c r="Y32" s="1361"/>
      <c r="Z32" s="1083"/>
      <c r="AA32" s="1083"/>
      <c r="AB32" s="1083"/>
      <c r="AC32" s="1083"/>
      <c r="AD32" s="1083"/>
      <c r="AE32" s="1083"/>
      <c r="AF32" s="1083"/>
      <c r="AG32" s="1083"/>
      <c r="AH32" s="1083"/>
      <c r="AI32" s="1083"/>
      <c r="AJ32" s="1083"/>
      <c r="AK32" s="1083"/>
      <c r="AL32" s="1083"/>
      <c r="AM32" s="1083"/>
      <c r="AN32" s="1083"/>
      <c r="AO32" s="1083"/>
      <c r="AP32" s="1083"/>
    </row>
    <row r="33" spans="1:42" ht="15" customHeight="1">
      <c r="A33" s="1083"/>
      <c r="B33" s="1355"/>
      <c r="C33" s="1329" t="s">
        <v>279</v>
      </c>
      <c r="D33" s="1335" t="str">
        <f>'Form-16'!C53</f>
        <v>80C</v>
      </c>
      <c r="E33" s="1356" t="str">
        <f>'Form-16'!D53</f>
        <v>LIC Policies premium - Yearly</v>
      </c>
      <c r="F33" s="1357"/>
      <c r="G33" s="1360"/>
      <c r="H33" s="1360"/>
      <c r="I33" s="1360"/>
      <c r="J33" s="1360"/>
      <c r="K33" s="1360"/>
      <c r="L33" s="1360"/>
      <c r="M33" s="2256">
        <f>IF(DATA!AH49=1,0,'Annexure -I I'!K41)</f>
        <v>0</v>
      </c>
      <c r="N33" s="2257"/>
      <c r="O33" s="2257"/>
      <c r="P33" s="2258"/>
      <c r="Q33" s="2253" t="str">
        <f>IF(DATA!AH49=1,0,IF(M33&gt;0,"Receipt Added",""))</f>
        <v/>
      </c>
      <c r="R33" s="2254"/>
      <c r="S33" s="2254"/>
      <c r="T33" s="2255"/>
      <c r="U33" s="1083"/>
      <c r="V33" s="1083"/>
      <c r="W33" s="1083"/>
      <c r="X33" s="1083"/>
      <c r="Y33" s="1083"/>
      <c r="Z33" s="1083"/>
      <c r="AA33" s="1083"/>
      <c r="AB33" s="1083"/>
      <c r="AC33" s="1083"/>
      <c r="AD33" s="1083"/>
      <c r="AE33" s="1083"/>
      <c r="AF33" s="1083"/>
      <c r="AG33" s="1083"/>
      <c r="AH33" s="1083"/>
      <c r="AI33" s="1083"/>
      <c r="AJ33" s="1083"/>
      <c r="AK33" s="1083"/>
      <c r="AL33" s="1083"/>
      <c r="AM33" s="1083"/>
      <c r="AN33" s="1083"/>
      <c r="AO33" s="1083"/>
      <c r="AP33" s="1083"/>
    </row>
    <row r="34" spans="1:42" ht="15" customHeight="1">
      <c r="A34" s="1083"/>
      <c r="B34" s="1355"/>
      <c r="C34" s="1329" t="s">
        <v>280</v>
      </c>
      <c r="D34" s="1335" t="str">
        <f>'Form-16'!C54</f>
        <v>80C</v>
      </c>
      <c r="E34" s="1356" t="str">
        <f>'Form-16'!D54</f>
        <v>Exide Life Insurance</v>
      </c>
      <c r="F34" s="1357"/>
      <c r="G34" s="1360"/>
      <c r="H34" s="1360"/>
      <c r="I34" s="1360"/>
      <c r="J34" s="1360"/>
      <c r="K34" s="1360"/>
      <c r="L34" s="1360"/>
      <c r="M34" s="2256">
        <f>IF(DATA!AH49=1,0,'Annexure -I I'!K42)</f>
        <v>0</v>
      </c>
      <c r="N34" s="2257"/>
      <c r="O34" s="2257"/>
      <c r="P34" s="2258"/>
      <c r="Q34" s="2253" t="str">
        <f>IF(DATA!AH49=1,0,IF(M34&gt;0,"Receipt Added",""))</f>
        <v/>
      </c>
      <c r="R34" s="2254"/>
      <c r="S34" s="2254"/>
      <c r="T34" s="2255"/>
      <c r="U34" s="1083"/>
      <c r="V34" s="1083"/>
      <c r="W34" s="1083"/>
      <c r="X34" s="1083"/>
      <c r="Y34" s="1083"/>
      <c r="Z34" s="1083"/>
      <c r="AA34" s="1083"/>
      <c r="AB34" s="1083"/>
      <c r="AC34" s="1083"/>
      <c r="AD34" s="1083"/>
      <c r="AE34" s="1083"/>
      <c r="AF34" s="1083"/>
      <c r="AG34" s="1083"/>
      <c r="AH34" s="1083"/>
      <c r="AI34" s="1083"/>
      <c r="AJ34" s="1083"/>
      <c r="AK34" s="1083"/>
      <c r="AL34" s="1083"/>
      <c r="AM34" s="1083"/>
      <c r="AN34" s="1083"/>
      <c r="AO34" s="1083"/>
      <c r="AP34" s="1083"/>
    </row>
    <row r="35" spans="1:42" ht="15" customHeight="1">
      <c r="A35" s="1083"/>
      <c r="B35" s="1355"/>
      <c r="C35" s="1329" t="s">
        <v>274</v>
      </c>
      <c r="D35" s="1335" t="str">
        <f>'Form-16'!C55</f>
        <v>80C</v>
      </c>
      <c r="E35" s="1356" t="str">
        <f>'Form-16'!D55</f>
        <v>Sukanya Samruddhi Yojana</v>
      </c>
      <c r="F35" s="1357"/>
      <c r="G35" s="1360"/>
      <c r="H35" s="1360"/>
      <c r="I35" s="1360"/>
      <c r="J35" s="1360"/>
      <c r="K35" s="1360"/>
      <c r="L35" s="1360"/>
      <c r="M35" s="2256">
        <f>IF(DATA!AH49=1,0,'Annexure -I I'!K43)</f>
        <v>0</v>
      </c>
      <c r="N35" s="2257"/>
      <c r="O35" s="2257"/>
      <c r="P35" s="2258"/>
      <c r="Q35" s="2253" t="str">
        <f>IF(DATA!AH49=1,0,IF(M35&gt;0,"Receipt Added",""))</f>
        <v/>
      </c>
      <c r="R35" s="2254"/>
      <c r="S35" s="2254"/>
      <c r="T35" s="2255"/>
      <c r="U35" s="1083"/>
      <c r="V35" s="1083"/>
      <c r="W35" s="1083"/>
      <c r="X35" s="1083"/>
      <c r="Y35" s="1083"/>
      <c r="Z35" s="1083"/>
      <c r="AA35" s="1083"/>
      <c r="AB35" s="1083"/>
      <c r="AC35" s="1083"/>
      <c r="AD35" s="1083"/>
      <c r="AE35" s="1083"/>
      <c r="AF35" s="1083"/>
      <c r="AG35" s="1083"/>
      <c r="AH35" s="1083"/>
      <c r="AI35" s="1083"/>
      <c r="AJ35" s="1083"/>
      <c r="AK35" s="1083"/>
      <c r="AL35" s="1083"/>
      <c r="AM35" s="1083"/>
      <c r="AN35" s="1083"/>
      <c r="AO35" s="1083"/>
      <c r="AP35" s="1083"/>
    </row>
    <row r="36" spans="1:42" ht="15" customHeight="1">
      <c r="A36" s="1083"/>
      <c r="B36" s="1355"/>
      <c r="C36" s="1329" t="s">
        <v>275</v>
      </c>
      <c r="D36" s="1335" t="str">
        <f>'Form-16'!C56</f>
        <v>80C</v>
      </c>
      <c r="E36" s="1356" t="str">
        <f>'Form-16'!D56</f>
        <v>PLI (Postal Life Insurance)</v>
      </c>
      <c r="F36" s="1357"/>
      <c r="G36" s="1360"/>
      <c r="H36" s="1360"/>
      <c r="I36" s="1360"/>
      <c r="J36" s="1360"/>
      <c r="K36" s="1360"/>
      <c r="L36" s="1360"/>
      <c r="M36" s="2256">
        <f>IF(DATA!AH49=1,0,'Annexure -I I'!K44)</f>
        <v>0</v>
      </c>
      <c r="N36" s="2257"/>
      <c r="O36" s="2257"/>
      <c r="P36" s="2258"/>
      <c r="Q36" s="2253" t="str">
        <f>IF(DATA!AH49=1,0,IF(M36&gt;0,"Receipt Added",""))</f>
        <v/>
      </c>
      <c r="R36" s="2254"/>
      <c r="S36" s="2254"/>
      <c r="T36" s="2255"/>
      <c r="U36" s="1083"/>
      <c r="V36" s="1083"/>
      <c r="W36" s="1083"/>
      <c r="X36" s="1083"/>
      <c r="Y36" s="1083"/>
      <c r="Z36" s="1083"/>
      <c r="AA36" s="1083"/>
      <c r="AB36" s="1083"/>
      <c r="AC36" s="1083"/>
      <c r="AD36" s="1083"/>
      <c r="AE36" s="1083"/>
      <c r="AF36" s="1083"/>
      <c r="AG36" s="1083"/>
      <c r="AH36" s="1083"/>
      <c r="AI36" s="1083"/>
      <c r="AJ36" s="1083"/>
      <c r="AK36" s="1083"/>
      <c r="AL36" s="1083"/>
      <c r="AM36" s="1083"/>
      <c r="AN36" s="1083"/>
      <c r="AO36" s="1083"/>
      <c r="AP36" s="1083"/>
    </row>
    <row r="37" spans="1:42" ht="15" customHeight="1">
      <c r="A37" s="1083"/>
      <c r="B37" s="1355"/>
      <c r="C37" s="1329" t="s">
        <v>385</v>
      </c>
      <c r="D37" s="1335" t="s">
        <v>614</v>
      </c>
      <c r="E37" s="1356" t="str">
        <f>'Form-16'!D57</f>
        <v>Housing Loan Principal Amount</v>
      </c>
      <c r="F37" s="1357"/>
      <c r="G37" s="1360"/>
      <c r="H37" s="1360"/>
      <c r="I37" s="1360"/>
      <c r="J37" s="1360"/>
      <c r="K37" s="1360"/>
      <c r="L37" s="1360"/>
      <c r="M37" s="2256">
        <f>IF(DATA!AH49=1,0,'Annexure -I I'!K45)</f>
        <v>0</v>
      </c>
      <c r="N37" s="2257"/>
      <c r="O37" s="2257"/>
      <c r="P37" s="2258"/>
      <c r="Q37" s="2253" t="str">
        <f>IF(DATA!AH49=1,0,IF(M37&gt;0,"Receipt Added",""))</f>
        <v/>
      </c>
      <c r="R37" s="2254"/>
      <c r="S37" s="2254"/>
      <c r="T37" s="2255"/>
      <c r="U37" s="1083"/>
      <c r="V37" s="1083"/>
      <c r="W37" s="1083"/>
      <c r="X37" s="1083"/>
      <c r="Y37" s="1083"/>
      <c r="Z37" s="1083"/>
      <c r="AA37" s="1083"/>
      <c r="AB37" s="1083"/>
      <c r="AC37" s="1083"/>
      <c r="AD37" s="1083"/>
      <c r="AE37" s="1083"/>
      <c r="AF37" s="1083"/>
      <c r="AG37" s="1083"/>
      <c r="AH37" s="1083"/>
      <c r="AI37" s="1083"/>
      <c r="AJ37" s="1083"/>
      <c r="AK37" s="1083"/>
      <c r="AL37" s="1083"/>
      <c r="AM37" s="1083"/>
      <c r="AN37" s="1083"/>
      <c r="AO37" s="1083"/>
      <c r="AP37" s="1083"/>
    </row>
    <row r="38" spans="1:42" ht="15" customHeight="1">
      <c r="A38" s="1083"/>
      <c r="B38" s="1355"/>
      <c r="C38" s="1329"/>
      <c r="D38" s="1329" t="s">
        <v>620</v>
      </c>
      <c r="E38" s="1356"/>
      <c r="F38" s="1357"/>
      <c r="G38" s="1329"/>
      <c r="H38" s="1329"/>
      <c r="I38" s="1329"/>
      <c r="J38" s="1360"/>
      <c r="K38" s="1360"/>
      <c r="L38" s="1360"/>
      <c r="M38" s="2256">
        <f>IF(DATA!AH49=1,0,'Annexure -I I'!K46+X28)</f>
        <v>215157</v>
      </c>
      <c r="N38" s="2257"/>
      <c r="O38" s="2257"/>
      <c r="P38" s="2258"/>
      <c r="Q38" s="2253"/>
      <c r="R38" s="2254"/>
      <c r="S38" s="2254"/>
      <c r="T38" s="2255"/>
      <c r="U38" s="1083"/>
      <c r="V38" s="1083"/>
      <c r="W38" s="1083"/>
      <c r="X38" s="1083"/>
      <c r="Y38" s="1083"/>
      <c r="Z38" s="1083"/>
      <c r="AA38" s="1083"/>
      <c r="AB38" s="1083"/>
      <c r="AC38" s="1083"/>
      <c r="AD38" s="1083"/>
      <c r="AE38" s="1083"/>
      <c r="AF38" s="1083"/>
      <c r="AG38" s="1083"/>
      <c r="AH38" s="1083"/>
      <c r="AI38" s="1083"/>
      <c r="AJ38" s="1083"/>
      <c r="AK38" s="1083"/>
      <c r="AL38" s="1083"/>
      <c r="AM38" s="1083"/>
      <c r="AN38" s="1083"/>
      <c r="AO38" s="1083"/>
      <c r="AP38" s="1083"/>
    </row>
    <row r="39" spans="1:42" ht="15" customHeight="1">
      <c r="A39" s="1083"/>
      <c r="B39" s="1355"/>
      <c r="C39" s="1329"/>
      <c r="D39" s="1362" t="str">
        <f>'Annexure -I I'!C48</f>
        <v>80TTA</v>
      </c>
      <c r="E39" s="1356" t="str">
        <f>'Annexure -I I'!D48</f>
        <v>Intrest on Saving Account ( Not Fixed Deposit )</v>
      </c>
      <c r="F39" s="1357"/>
      <c r="G39" s="1329"/>
      <c r="H39" s="1329"/>
      <c r="I39" s="1329"/>
      <c r="J39" s="1360"/>
      <c r="K39" s="1360"/>
      <c r="L39" s="1360"/>
      <c r="M39" s="2256">
        <f>IF(DATA!AH49=1,0,'Annexure -I I'!K48)</f>
        <v>0</v>
      </c>
      <c r="N39" s="2278"/>
      <c r="O39" s="2278"/>
      <c r="P39" s="2279"/>
      <c r="Q39" s="2253" t="str">
        <f>IF(M39&gt;0,"Receipt Added","")</f>
        <v/>
      </c>
      <c r="R39" s="2254"/>
      <c r="S39" s="2254"/>
      <c r="T39" s="2255"/>
      <c r="U39" s="1083"/>
      <c r="V39" s="1083"/>
      <c r="W39" s="1083"/>
      <c r="X39" s="1083"/>
      <c r="Y39" s="1083"/>
      <c r="Z39" s="1083"/>
      <c r="AA39" s="1083"/>
      <c r="AB39" s="1083"/>
      <c r="AC39" s="1083"/>
      <c r="AD39" s="1083"/>
      <c r="AE39" s="1083"/>
      <c r="AF39" s="1083"/>
      <c r="AG39" s="1083"/>
      <c r="AH39" s="1083"/>
      <c r="AI39" s="1083"/>
      <c r="AJ39" s="1083"/>
      <c r="AK39" s="1083"/>
      <c r="AL39" s="1083"/>
      <c r="AM39" s="1083"/>
      <c r="AN39" s="1083"/>
      <c r="AO39" s="1083"/>
      <c r="AP39" s="1083"/>
    </row>
    <row r="40" spans="1:42" ht="24.75" customHeight="1">
      <c r="A40" s="1083"/>
      <c r="B40" s="1355" t="s">
        <v>317</v>
      </c>
      <c r="C40" s="2288" t="s">
        <v>604</v>
      </c>
      <c r="D40" s="2289"/>
      <c r="E40" s="2289"/>
      <c r="F40" s="2289"/>
      <c r="G40" s="2289"/>
      <c r="H40" s="2289"/>
      <c r="I40" s="2289"/>
      <c r="J40" s="2289"/>
      <c r="K40" s="2289"/>
      <c r="L40" s="2290"/>
      <c r="M40" s="2260"/>
      <c r="N40" s="2257"/>
      <c r="O40" s="2257"/>
      <c r="P40" s="2258"/>
      <c r="Q40" s="2253"/>
      <c r="R40" s="2254"/>
      <c r="S40" s="2254"/>
      <c r="T40" s="2255"/>
      <c r="U40" s="1083"/>
      <c r="V40" s="1083"/>
      <c r="W40" s="1083"/>
      <c r="X40" s="1083"/>
      <c r="Y40" s="1083"/>
      <c r="Z40" s="1083"/>
      <c r="AA40" s="1083"/>
      <c r="AB40" s="1083"/>
      <c r="AC40" s="1083"/>
      <c r="AD40" s="1083"/>
      <c r="AE40" s="1083"/>
      <c r="AF40" s="1083"/>
      <c r="AG40" s="1083"/>
      <c r="AH40" s="1083"/>
      <c r="AI40" s="1083"/>
      <c r="AJ40" s="1083"/>
      <c r="AK40" s="1083"/>
      <c r="AL40" s="1083"/>
      <c r="AM40" s="1083"/>
      <c r="AN40" s="1083"/>
      <c r="AO40" s="1083"/>
      <c r="AP40" s="1083"/>
    </row>
    <row r="41" spans="1:42" ht="15" customHeight="1">
      <c r="A41" s="1083"/>
      <c r="B41" s="1355"/>
      <c r="C41" s="1330" t="s">
        <v>281</v>
      </c>
      <c r="D41" s="1330" t="str">
        <f>'Annexure -I I'!D27</f>
        <v>80G</v>
      </c>
      <c r="E41" s="1330" t="str">
        <f>'Annexure -I I'!E27</f>
        <v>E.W.F. &amp; S.W.F &amp; CMRF</v>
      </c>
      <c r="F41" s="1330"/>
      <c r="G41" s="1330"/>
      <c r="H41" s="1330"/>
      <c r="I41" s="1330"/>
      <c r="J41" s="1330"/>
      <c r="K41" s="1330"/>
      <c r="L41" s="1330"/>
      <c r="M41" s="2250">
        <f>'Annexure -I I'!K27</f>
        <v>150</v>
      </c>
      <c r="N41" s="2251"/>
      <c r="O41" s="2251"/>
      <c r="P41" s="2252"/>
      <c r="Q41" s="2253" t="str">
        <f>IF(M41&gt;0,"Salary deduction","")</f>
        <v>Salary deduction</v>
      </c>
      <c r="R41" s="2254"/>
      <c r="S41" s="2254"/>
      <c r="T41" s="2255"/>
      <c r="U41" s="1083"/>
      <c r="V41" s="1083"/>
      <c r="W41" s="1083"/>
      <c r="X41" s="1083"/>
      <c r="Y41" s="1083"/>
      <c r="Z41" s="1083"/>
      <c r="AA41" s="1083"/>
      <c r="AB41" s="1083"/>
      <c r="AC41" s="1083"/>
      <c r="AD41" s="1083"/>
      <c r="AE41" s="1083"/>
      <c r="AF41" s="1083"/>
      <c r="AG41" s="1083"/>
      <c r="AH41" s="1083"/>
      <c r="AI41" s="1083"/>
      <c r="AJ41" s="1083"/>
      <c r="AK41" s="1083"/>
      <c r="AL41" s="1083"/>
      <c r="AM41" s="1083"/>
      <c r="AN41" s="1083"/>
      <c r="AO41" s="1083"/>
      <c r="AP41" s="1083"/>
    </row>
    <row r="42" spans="1:42" ht="15" customHeight="1">
      <c r="A42" s="1083"/>
      <c r="B42" s="1346"/>
      <c r="C42" s="1329" t="s">
        <v>605</v>
      </c>
      <c r="D42" s="1330" t="str">
        <f>'Annexure -I I'!D28</f>
        <v>80EE</v>
      </c>
      <c r="E42" s="1330" t="str">
        <f>'Annexure -I I'!E28</f>
        <v>Interest of Housing Loan 80EE</v>
      </c>
      <c r="F42" s="1354"/>
      <c r="G42" s="1329"/>
      <c r="H42" s="1329"/>
      <c r="I42" s="1329"/>
      <c r="J42" s="1329"/>
      <c r="K42" s="1329"/>
      <c r="L42" s="1329"/>
      <c r="M42" s="2250">
        <f>IF(DATA!AH49=1,0,'Annexure -I I'!K28)</f>
        <v>0</v>
      </c>
      <c r="N42" s="2251"/>
      <c r="O42" s="2251"/>
      <c r="P42" s="2252"/>
      <c r="Q42" s="2253" t="str">
        <f>IF(DATA!AH49=1,0,IF(M42&gt;0,"Receipt Added",""))</f>
        <v/>
      </c>
      <c r="R42" s="2254"/>
      <c r="S42" s="2254"/>
      <c r="T42" s="2255"/>
      <c r="U42" s="1083"/>
      <c r="V42" s="1083"/>
      <c r="W42" s="1083"/>
      <c r="X42" s="1083"/>
      <c r="Y42" s="1083"/>
      <c r="Z42" s="1083"/>
      <c r="AA42" s="1083"/>
      <c r="AB42" s="1083"/>
      <c r="AC42" s="1083"/>
      <c r="AD42" s="1083"/>
      <c r="AE42" s="1083"/>
      <c r="AF42" s="1083"/>
      <c r="AG42" s="1083"/>
      <c r="AH42" s="1083"/>
      <c r="AI42" s="1083"/>
      <c r="AJ42" s="1083"/>
      <c r="AK42" s="1083"/>
      <c r="AL42" s="1083"/>
      <c r="AM42" s="1083"/>
      <c r="AN42" s="1083"/>
      <c r="AO42" s="1083"/>
      <c r="AP42" s="1083"/>
    </row>
    <row r="43" spans="1:42" ht="15" customHeight="1">
      <c r="A43" s="1083"/>
      <c r="B43" s="1346"/>
      <c r="C43" s="1329" t="s">
        <v>606</v>
      </c>
      <c r="D43" s="1330" t="str">
        <f>'Annexure -I I'!D29</f>
        <v>80EEA</v>
      </c>
      <c r="E43" s="1330" t="str">
        <f>'Annexure -I I'!E29</f>
        <v>Interest of HBA Loan 80EEA</v>
      </c>
      <c r="F43" s="1329"/>
      <c r="G43" s="1329"/>
      <c r="H43" s="1329"/>
      <c r="I43" s="1329"/>
      <c r="J43" s="1329"/>
      <c r="K43" s="1329"/>
      <c r="L43" s="1329"/>
      <c r="M43" s="2250">
        <f>IF(DATA!AH49=1,0,'Annexure -I I'!K29)</f>
        <v>0</v>
      </c>
      <c r="N43" s="2251"/>
      <c r="O43" s="2251"/>
      <c r="P43" s="2252"/>
      <c r="Q43" s="2253" t="str">
        <f>IF(DATA!AH49=1,0,IF(M43&gt;0,"Receipt Added",""))</f>
        <v/>
      </c>
      <c r="R43" s="2254"/>
      <c r="S43" s="2254"/>
      <c r="T43" s="2255"/>
      <c r="U43" s="1083"/>
      <c r="V43" s="1083"/>
      <c r="W43" s="1083"/>
      <c r="X43" s="1083"/>
      <c r="Y43" s="1083"/>
      <c r="Z43" s="1083"/>
      <c r="AA43" s="1083"/>
      <c r="AB43" s="1083"/>
      <c r="AC43" s="1083"/>
      <c r="AD43" s="1083"/>
      <c r="AE43" s="1083"/>
      <c r="AF43" s="1083"/>
      <c r="AG43" s="1083"/>
      <c r="AH43" s="1083"/>
      <c r="AI43" s="1083"/>
      <c r="AJ43" s="1083"/>
      <c r="AK43" s="1083"/>
      <c r="AL43" s="1083"/>
      <c r="AM43" s="1083"/>
      <c r="AN43" s="1083"/>
      <c r="AO43" s="1083"/>
      <c r="AP43" s="1083"/>
    </row>
    <row r="44" spans="1:42" ht="15" customHeight="1">
      <c r="A44" s="1083"/>
      <c r="B44" s="1346"/>
      <c r="C44" s="1329" t="s">
        <v>607</v>
      </c>
      <c r="D44" s="1330" t="str">
        <f>'Annexure -I I'!D30</f>
        <v>24B</v>
      </c>
      <c r="E44" s="1330" t="str">
        <f>'Annexure -I I'!E30</f>
        <v>Interest of Housing Loan Section 24</v>
      </c>
      <c r="F44" s="1329"/>
      <c r="G44" s="1329"/>
      <c r="H44" s="1329"/>
      <c r="I44" s="1329"/>
      <c r="J44" s="1329"/>
      <c r="K44" s="1329"/>
      <c r="L44" s="1329"/>
      <c r="M44" s="2250">
        <f>IF(DATA!AH49=1,0,'Annexure -I I'!K30)</f>
        <v>0</v>
      </c>
      <c r="N44" s="2251"/>
      <c r="O44" s="2251"/>
      <c r="P44" s="2252"/>
      <c r="Q44" s="2253" t="str">
        <f>IF(DATA!AH49=1,0,IF(M44&gt;0,"Receipt Added",""))</f>
        <v/>
      </c>
      <c r="R44" s="2254"/>
      <c r="S44" s="2254"/>
      <c r="T44" s="2255"/>
      <c r="U44" s="1083"/>
      <c r="V44" s="1083"/>
      <c r="W44" s="1083"/>
      <c r="X44" s="1083"/>
      <c r="Y44" s="1083"/>
      <c r="Z44" s="1083"/>
      <c r="AA44" s="1083"/>
      <c r="AB44" s="1083"/>
      <c r="AC44" s="1083"/>
      <c r="AD44" s="1083"/>
      <c r="AE44" s="1083"/>
      <c r="AF44" s="1083"/>
      <c r="AG44" s="1083"/>
      <c r="AH44" s="1083"/>
      <c r="AI44" s="1083"/>
      <c r="AJ44" s="1083"/>
      <c r="AK44" s="1083"/>
      <c r="AL44" s="1083"/>
      <c r="AM44" s="1083"/>
      <c r="AN44" s="1083"/>
      <c r="AO44" s="1083"/>
      <c r="AP44" s="1083"/>
    </row>
    <row r="45" spans="1:42" ht="15" customHeight="1">
      <c r="A45" s="1083"/>
      <c r="B45" s="1346"/>
      <c r="C45" s="1329" t="s">
        <v>608</v>
      </c>
      <c r="D45" s="1330" t="str">
        <f>'Annexure -I I'!D31</f>
        <v>80U</v>
      </c>
      <c r="E45" s="1363" t="str">
        <f>'Annexure -I I'!E31</f>
        <v>Disabled Person (PH)-above 40% disability ( Rule 11A)</v>
      </c>
      <c r="F45" s="1329"/>
      <c r="G45" s="1329"/>
      <c r="H45" s="1329"/>
      <c r="I45" s="1329"/>
      <c r="J45" s="1329"/>
      <c r="K45" s="1329"/>
      <c r="L45" s="1349"/>
      <c r="M45" s="2250">
        <f>IF(DATA!AH49=1,0,'Annexure -I I'!K31)</f>
        <v>0</v>
      </c>
      <c r="N45" s="2251"/>
      <c r="O45" s="2251"/>
      <c r="P45" s="2252"/>
      <c r="Q45" s="2253" t="str">
        <f>IF(DATA!AH49=1,0,IF(M45&gt;0,"Receipt Added",""))</f>
        <v/>
      </c>
      <c r="R45" s="2254"/>
      <c r="S45" s="2254"/>
      <c r="T45" s="2255"/>
      <c r="U45" s="1083"/>
      <c r="V45" s="1083"/>
      <c r="W45" s="1083"/>
      <c r="X45" s="1083"/>
      <c r="Y45" s="1083"/>
      <c r="Z45" s="1083"/>
      <c r="AA45" s="1083"/>
      <c r="AB45" s="1083"/>
      <c r="AC45" s="1083"/>
      <c r="AD45" s="1083"/>
      <c r="AE45" s="1083"/>
      <c r="AF45" s="1083"/>
      <c r="AG45" s="1083"/>
      <c r="AH45" s="1083"/>
      <c r="AI45" s="1083"/>
      <c r="AJ45" s="1083"/>
      <c r="AK45" s="1083"/>
      <c r="AL45" s="1083"/>
      <c r="AM45" s="1083"/>
      <c r="AN45" s="1083"/>
      <c r="AO45" s="1083"/>
      <c r="AP45" s="1083"/>
    </row>
    <row r="46" spans="1:42" ht="15" customHeight="1">
      <c r="A46" s="1083"/>
      <c r="B46" s="1346"/>
      <c r="C46" s="1329" t="s">
        <v>609</v>
      </c>
      <c r="D46" s="1330" t="str">
        <f>'Annexure -I I'!D32</f>
        <v>80d</v>
      </c>
      <c r="E46" s="1330" t="str">
        <f>'Annexure -I I'!E32</f>
        <v>Employees Health Cards Premium in AP</v>
      </c>
      <c r="F46" s="1329"/>
      <c r="G46" s="1329"/>
      <c r="H46" s="1329"/>
      <c r="I46" s="1329"/>
      <c r="J46" s="1329"/>
      <c r="K46" s="1329"/>
      <c r="L46" s="1349"/>
      <c r="M46" s="2250">
        <f>IF(DATA!AH49=1,0,'Annexure -I I'!K32)</f>
        <v>3600</v>
      </c>
      <c r="N46" s="2251"/>
      <c r="O46" s="2251"/>
      <c r="P46" s="2252"/>
      <c r="Q46" s="2253" t="str">
        <f>IF(DATA!AH49=1,0,IF(M46&gt;0,"Salary deduction",""))</f>
        <v>Salary deduction</v>
      </c>
      <c r="R46" s="2254"/>
      <c r="S46" s="2254"/>
      <c r="T46" s="2255"/>
      <c r="U46" s="1083"/>
      <c r="V46" s="1083"/>
      <c r="W46" s="1083"/>
      <c r="X46" s="1083"/>
      <c r="Y46" s="1083"/>
      <c r="Z46" s="1083"/>
      <c r="AA46" s="1083"/>
      <c r="AB46" s="1083"/>
      <c r="AC46" s="1083"/>
      <c r="AD46" s="1083"/>
      <c r="AE46" s="1083"/>
      <c r="AF46" s="1083"/>
      <c r="AG46" s="1083"/>
      <c r="AH46" s="1083"/>
      <c r="AI46" s="1083"/>
      <c r="AJ46" s="1083"/>
      <c r="AK46" s="1083"/>
      <c r="AL46" s="1083"/>
      <c r="AM46" s="1083"/>
      <c r="AN46" s="1083"/>
      <c r="AO46" s="1083"/>
      <c r="AP46" s="1083"/>
    </row>
    <row r="47" spans="1:42" ht="15" customHeight="1">
      <c r="A47" s="1083"/>
      <c r="B47" s="1346"/>
      <c r="C47" s="1329"/>
      <c r="D47" s="1338"/>
      <c r="E47" s="1364"/>
      <c r="F47" s="1364"/>
      <c r="G47" s="1364"/>
      <c r="H47" s="1364"/>
      <c r="I47" s="1364"/>
      <c r="J47" s="1364"/>
      <c r="K47" s="1364"/>
      <c r="L47" s="1365"/>
      <c r="M47" s="1366"/>
      <c r="N47" s="1367"/>
      <c r="O47" s="1367"/>
      <c r="P47" s="1368"/>
      <c r="Q47" s="1330"/>
      <c r="R47" s="1330"/>
      <c r="S47" s="1330"/>
      <c r="T47" s="1369"/>
      <c r="U47" s="1083"/>
      <c r="V47" s="1083"/>
      <c r="W47" s="1083"/>
      <c r="X47" s="1083"/>
      <c r="Y47" s="1083"/>
      <c r="Z47" s="1083"/>
      <c r="AA47" s="1083"/>
      <c r="AB47" s="1083"/>
      <c r="AC47" s="1083"/>
      <c r="AD47" s="1083"/>
      <c r="AE47" s="1083"/>
      <c r="AF47" s="1083"/>
      <c r="AG47" s="1083"/>
      <c r="AH47" s="1083"/>
      <c r="AI47" s="1083"/>
      <c r="AJ47" s="1083"/>
      <c r="AK47" s="1083"/>
      <c r="AL47" s="1083"/>
      <c r="AM47" s="1083"/>
      <c r="AN47" s="1083"/>
      <c r="AO47" s="1083"/>
      <c r="AP47" s="1083"/>
    </row>
    <row r="48" spans="1:42" ht="15.75" customHeight="1">
      <c r="A48" s="1083"/>
      <c r="B48" s="1370"/>
      <c r="C48" s="2295" t="s">
        <v>610</v>
      </c>
      <c r="D48" s="2295"/>
      <c r="E48" s="2295"/>
      <c r="F48" s="2295"/>
      <c r="G48" s="2295"/>
      <c r="H48" s="2295"/>
      <c r="I48" s="2295"/>
      <c r="J48" s="2295"/>
      <c r="K48" s="2295"/>
      <c r="L48" s="2295"/>
      <c r="M48" s="2295"/>
      <c r="N48" s="2295"/>
      <c r="O48" s="2295"/>
      <c r="P48" s="2295"/>
      <c r="Q48" s="2295"/>
      <c r="R48" s="2295"/>
      <c r="S48" s="2295"/>
      <c r="T48" s="2296"/>
      <c r="U48" s="1083"/>
      <c r="V48" s="1083"/>
      <c r="W48" s="1083"/>
      <c r="X48" s="1083"/>
      <c r="Y48" s="1083"/>
      <c r="Z48" s="1083"/>
      <c r="AA48" s="1083"/>
      <c r="AB48" s="1083"/>
      <c r="AC48" s="1083"/>
      <c r="AD48" s="1083"/>
      <c r="AE48" s="1083"/>
      <c r="AF48" s="1083"/>
      <c r="AG48" s="1083"/>
      <c r="AH48" s="1083"/>
      <c r="AI48" s="1083"/>
      <c r="AJ48" s="1083"/>
      <c r="AK48" s="1083"/>
      <c r="AL48" s="1083"/>
      <c r="AM48" s="1083"/>
      <c r="AN48" s="1083"/>
      <c r="AO48" s="1083"/>
      <c r="AP48" s="1083"/>
    </row>
    <row r="49" spans="1:42" s="1333" customFormat="1" ht="15" customHeight="1">
      <c r="A49" s="1334"/>
      <c r="B49" s="1371"/>
      <c r="C49" s="1372" t="s">
        <v>611</v>
      </c>
      <c r="D49" s="2294" t="str">
        <f>DATA!E10</f>
        <v>A.Nagesh</v>
      </c>
      <c r="E49" s="2294"/>
      <c r="F49" s="2294"/>
      <c r="G49" s="2294"/>
      <c r="H49" s="2294"/>
      <c r="I49" s="2294"/>
      <c r="J49" s="2294"/>
      <c r="K49" s="1373" t="s">
        <v>707</v>
      </c>
      <c r="L49" s="1373"/>
      <c r="M49" s="1373"/>
      <c r="N49" s="2297"/>
      <c r="O49" s="2297"/>
      <c r="P49" s="2297"/>
      <c r="Q49" s="2297"/>
      <c r="R49" s="2297"/>
      <c r="S49" s="2297"/>
      <c r="T49" s="2298"/>
      <c r="U49" s="1334"/>
      <c r="V49" s="1334"/>
      <c r="W49" s="1334"/>
      <c r="X49" s="1334"/>
      <c r="Y49" s="1334"/>
      <c r="Z49" s="1334"/>
      <c r="AA49" s="1334"/>
      <c r="AB49" s="1334"/>
      <c r="AC49" s="1334"/>
      <c r="AD49" s="1334"/>
      <c r="AE49" s="1334"/>
      <c r="AF49" s="1334"/>
      <c r="AG49" s="1334"/>
      <c r="AH49" s="1334"/>
      <c r="AI49" s="1334"/>
      <c r="AJ49" s="1334"/>
      <c r="AK49" s="1334"/>
      <c r="AL49" s="1334"/>
      <c r="AM49" s="1334"/>
      <c r="AN49" s="1334"/>
      <c r="AO49" s="1334"/>
      <c r="AP49" s="1334"/>
    </row>
    <row r="50" spans="1:42" s="1333" customFormat="1" ht="15" customHeight="1">
      <c r="A50" s="1334"/>
      <c r="B50" s="1374"/>
      <c r="C50" s="1375" t="s">
        <v>708</v>
      </c>
      <c r="D50" s="1375"/>
      <c r="E50" s="1375"/>
      <c r="F50" s="1375"/>
      <c r="G50" s="1376"/>
      <c r="H50" s="1376"/>
      <c r="I50" s="1376"/>
      <c r="J50" s="1376"/>
      <c r="K50" s="1376"/>
      <c r="L50" s="1376"/>
      <c r="M50" s="1376"/>
      <c r="N50" s="1376"/>
      <c r="O50" s="1376"/>
      <c r="P50" s="1376"/>
      <c r="Q50" s="1376"/>
      <c r="R50" s="1376"/>
      <c r="S50" s="1376"/>
      <c r="T50" s="1377"/>
      <c r="U50" s="1334"/>
      <c r="V50" s="1334"/>
      <c r="W50" s="1334"/>
      <c r="X50" s="1334"/>
      <c r="Y50" s="1334"/>
      <c r="Z50" s="1334"/>
      <c r="AA50" s="1334"/>
      <c r="AB50" s="1334"/>
      <c r="AC50" s="1334"/>
      <c r="AD50" s="1334"/>
      <c r="AE50" s="1334"/>
      <c r="AF50" s="1334"/>
      <c r="AG50" s="1334"/>
      <c r="AH50" s="1334"/>
      <c r="AI50" s="1334"/>
      <c r="AJ50" s="1334"/>
      <c r="AK50" s="1334"/>
      <c r="AL50" s="1334"/>
      <c r="AM50" s="1334"/>
      <c r="AN50" s="1334"/>
      <c r="AO50" s="1334"/>
      <c r="AP50" s="1334"/>
    </row>
    <row r="51" spans="1:42" ht="7.5" customHeight="1">
      <c r="A51" s="1083"/>
      <c r="B51" s="1378"/>
      <c r="C51" s="1379"/>
      <c r="D51" s="1379"/>
      <c r="E51" s="1380"/>
      <c r="F51" s="1380"/>
      <c r="G51" s="1381"/>
      <c r="H51" s="1381"/>
      <c r="I51" s="1381"/>
      <c r="J51" s="1381"/>
      <c r="K51" s="1381"/>
      <c r="L51" s="1381"/>
      <c r="M51" s="1381"/>
      <c r="N51" s="1381"/>
      <c r="O51" s="1381"/>
      <c r="P51" s="1381"/>
      <c r="Q51" s="1381"/>
      <c r="R51" s="1381"/>
      <c r="S51" s="1381"/>
      <c r="T51" s="1382"/>
      <c r="U51" s="1083"/>
      <c r="V51" s="1083"/>
      <c r="W51" s="1083"/>
      <c r="X51" s="1083"/>
      <c r="Y51" s="1083"/>
      <c r="Z51" s="1083"/>
      <c r="AA51" s="1083"/>
      <c r="AB51" s="1083"/>
      <c r="AC51" s="1083"/>
      <c r="AD51" s="1083"/>
      <c r="AE51" s="1083"/>
      <c r="AF51" s="1083"/>
      <c r="AG51" s="1083"/>
      <c r="AH51" s="1083"/>
      <c r="AI51" s="1083"/>
      <c r="AJ51" s="1083"/>
      <c r="AK51" s="1083"/>
      <c r="AL51" s="1083"/>
      <c r="AM51" s="1083"/>
      <c r="AN51" s="1083"/>
      <c r="AO51" s="1083"/>
      <c r="AP51" s="1083"/>
    </row>
    <row r="52" spans="1:42" ht="20.25" customHeight="1">
      <c r="A52" s="1083"/>
      <c r="B52" s="1378"/>
      <c r="C52" s="1380"/>
      <c r="D52" s="1380"/>
      <c r="E52" s="1380"/>
      <c r="F52" s="1380"/>
      <c r="G52" s="1381"/>
      <c r="H52" s="1381"/>
      <c r="I52" s="1381"/>
      <c r="J52" s="1381"/>
      <c r="K52" s="1381"/>
      <c r="L52" s="1381"/>
      <c r="M52" s="1381"/>
      <c r="N52" s="1381"/>
      <c r="O52" s="1381"/>
      <c r="P52" s="1381"/>
      <c r="Q52" s="1381"/>
      <c r="R52" s="1381"/>
      <c r="S52" s="1381"/>
      <c r="T52" s="1382"/>
      <c r="U52" s="1083"/>
      <c r="V52" s="1083"/>
      <c r="W52" s="1083"/>
      <c r="X52" s="1083"/>
      <c r="Y52" s="1083"/>
      <c r="Z52" s="1083"/>
      <c r="AA52" s="1083"/>
      <c r="AB52" s="1083"/>
      <c r="AC52" s="1083"/>
      <c r="AD52" s="1083"/>
      <c r="AE52" s="1083"/>
      <c r="AF52" s="1083"/>
      <c r="AG52" s="1083"/>
      <c r="AH52" s="1083"/>
      <c r="AI52" s="1083"/>
      <c r="AJ52" s="1083"/>
      <c r="AK52" s="1083"/>
      <c r="AL52" s="1083"/>
      <c r="AM52" s="1083"/>
      <c r="AN52" s="1083"/>
      <c r="AO52" s="1083"/>
      <c r="AP52" s="1083"/>
    </row>
    <row r="53" spans="1:42" ht="15" customHeight="1">
      <c r="A53" s="1083"/>
      <c r="B53" s="1378"/>
      <c r="C53" s="1380" t="s">
        <v>612</v>
      </c>
      <c r="D53" s="1380"/>
      <c r="E53" s="1380"/>
      <c r="F53" s="1380"/>
      <c r="G53" s="1381"/>
      <c r="H53" s="1381"/>
      <c r="I53" s="1381"/>
      <c r="J53" s="1381"/>
      <c r="K53" s="1381"/>
      <c r="L53" s="1381"/>
      <c r="M53" s="1381"/>
      <c r="N53" s="1381"/>
      <c r="O53" s="1381"/>
      <c r="P53" s="1381"/>
      <c r="Q53" s="1381"/>
      <c r="R53" s="1381"/>
      <c r="S53" s="1381"/>
      <c r="T53" s="1382"/>
      <c r="U53" s="1083"/>
      <c r="V53" s="1083"/>
      <c r="W53" s="1083"/>
      <c r="X53" s="1083"/>
      <c r="Y53" s="1083"/>
      <c r="Z53" s="1083"/>
      <c r="AA53" s="1083"/>
      <c r="AB53" s="1083"/>
      <c r="AC53" s="1083"/>
      <c r="AD53" s="1083"/>
      <c r="AE53" s="1083"/>
      <c r="AF53" s="1083"/>
      <c r="AG53" s="1083"/>
      <c r="AH53" s="1083"/>
      <c r="AI53" s="1083"/>
      <c r="AJ53" s="1083"/>
      <c r="AK53" s="1083"/>
      <c r="AL53" s="1083"/>
      <c r="AM53" s="1083"/>
      <c r="AN53" s="1083"/>
      <c r="AO53" s="1083"/>
      <c r="AP53" s="1083"/>
    </row>
    <row r="54" spans="1:42" ht="21.75" customHeight="1">
      <c r="A54" s="1083"/>
      <c r="B54" s="1383"/>
      <c r="C54" s="1384" t="s">
        <v>613</v>
      </c>
      <c r="D54" s="1384"/>
      <c r="E54" s="1384"/>
      <c r="F54" s="1384"/>
      <c r="G54" s="1385"/>
      <c r="H54" s="1385"/>
      <c r="I54" s="1385"/>
      <c r="J54" s="1385"/>
      <c r="K54" s="1385"/>
      <c r="L54" s="1385"/>
      <c r="M54" s="2293" t="s">
        <v>261</v>
      </c>
      <c r="N54" s="2293"/>
      <c r="O54" s="2293"/>
      <c r="P54" s="2293"/>
      <c r="Q54" s="2293"/>
      <c r="R54" s="2293"/>
      <c r="S54" s="1385"/>
      <c r="T54" s="1386"/>
      <c r="U54" s="1083"/>
      <c r="V54" s="1083"/>
      <c r="W54" s="1083"/>
      <c r="X54" s="1083"/>
      <c r="Y54" s="1083"/>
      <c r="Z54" s="1083"/>
      <c r="AA54" s="1083"/>
      <c r="AB54" s="1083"/>
      <c r="AC54" s="1083"/>
      <c r="AD54" s="1083"/>
      <c r="AE54" s="1083"/>
      <c r="AF54" s="1083"/>
      <c r="AG54" s="1083"/>
      <c r="AH54" s="1083"/>
      <c r="AI54" s="1083"/>
      <c r="AJ54" s="1083"/>
      <c r="AK54" s="1083"/>
      <c r="AL54" s="1083"/>
      <c r="AM54" s="1083"/>
      <c r="AN54" s="1083"/>
      <c r="AO54" s="1083"/>
      <c r="AP54" s="1083"/>
    </row>
    <row r="55" spans="1:42">
      <c r="A55" s="1083"/>
      <c r="B55" s="1083"/>
      <c r="C55" s="1083"/>
      <c r="D55" s="1083"/>
      <c r="E55" s="1083"/>
      <c r="F55" s="1083"/>
      <c r="G55" s="1083"/>
      <c r="H55" s="1083"/>
      <c r="I55" s="1083"/>
      <c r="J55" s="1083"/>
      <c r="K55" s="1083"/>
      <c r="L55" s="1083"/>
      <c r="M55" s="1083"/>
      <c r="N55" s="1083"/>
      <c r="O55" s="1083"/>
      <c r="P55" s="1083"/>
      <c r="Q55" s="1083"/>
      <c r="R55" s="1083"/>
      <c r="S55" s="1083"/>
      <c r="T55" s="1083"/>
      <c r="U55" s="1083"/>
      <c r="V55" s="1083"/>
      <c r="W55" s="1083"/>
      <c r="X55" s="1083"/>
      <c r="Y55" s="1083"/>
      <c r="Z55" s="1083"/>
      <c r="AA55" s="1083"/>
      <c r="AB55" s="1083"/>
      <c r="AC55" s="1083"/>
      <c r="AD55" s="1083"/>
      <c r="AE55" s="1083"/>
      <c r="AF55" s="1083"/>
      <c r="AG55" s="1083"/>
      <c r="AH55" s="1083"/>
      <c r="AI55" s="1083"/>
      <c r="AJ55" s="1083"/>
      <c r="AK55" s="1083"/>
      <c r="AL55" s="1083"/>
      <c r="AM55" s="1083"/>
      <c r="AN55" s="1083"/>
      <c r="AO55" s="1083"/>
      <c r="AP55" s="1083"/>
    </row>
    <row r="56" spans="1:42">
      <c r="A56" s="1083"/>
      <c r="B56" s="1083"/>
      <c r="C56" s="1083"/>
      <c r="D56" s="1083"/>
      <c r="E56" s="1083"/>
      <c r="F56" s="1083"/>
      <c r="G56" s="1083"/>
      <c r="H56" s="1083"/>
      <c r="I56" s="1083"/>
      <c r="J56" s="1083"/>
      <c r="K56" s="1083"/>
      <c r="L56" s="1083"/>
      <c r="M56" s="1083"/>
      <c r="N56" s="1083"/>
      <c r="O56" s="1083"/>
      <c r="P56" s="1083"/>
      <c r="Q56" s="1083"/>
      <c r="R56" s="1083"/>
      <c r="S56" s="1083"/>
      <c r="T56" s="1083"/>
      <c r="U56" s="1083"/>
      <c r="V56" s="1083"/>
      <c r="W56" s="1083"/>
      <c r="X56" s="1083"/>
      <c r="Y56" s="1083"/>
      <c r="Z56" s="1083"/>
      <c r="AA56" s="1083"/>
      <c r="AB56" s="1083"/>
      <c r="AC56" s="1083"/>
      <c r="AD56" s="1083"/>
      <c r="AE56" s="1083"/>
      <c r="AF56" s="1083"/>
      <c r="AG56" s="1083"/>
      <c r="AH56" s="1083"/>
      <c r="AI56" s="1083"/>
      <c r="AJ56" s="1083"/>
      <c r="AK56" s="1083"/>
      <c r="AL56" s="1083"/>
      <c r="AM56" s="1083"/>
      <c r="AN56" s="1083"/>
      <c r="AO56" s="1083"/>
      <c r="AP56" s="1083"/>
    </row>
    <row r="57" spans="1:42">
      <c r="A57" s="1083"/>
      <c r="B57" s="1083"/>
      <c r="C57" s="1083"/>
      <c r="D57" s="1083"/>
      <c r="E57" s="1083"/>
      <c r="F57" s="1083"/>
      <c r="G57" s="1083"/>
      <c r="H57" s="1083"/>
      <c r="I57" s="1083"/>
      <c r="J57" s="1083"/>
      <c r="K57" s="1083"/>
      <c r="L57" s="1083"/>
      <c r="M57" s="1083"/>
      <c r="N57" s="1083"/>
      <c r="O57" s="1083"/>
      <c r="P57" s="1083"/>
      <c r="Q57" s="1083"/>
      <c r="R57" s="1083"/>
      <c r="S57" s="1083"/>
      <c r="T57" s="1083"/>
      <c r="U57" s="1083"/>
      <c r="V57" s="1083"/>
      <c r="W57" s="1083"/>
      <c r="X57" s="1083"/>
      <c r="Y57" s="1083"/>
      <c r="Z57" s="1083"/>
      <c r="AA57" s="1083"/>
      <c r="AB57" s="1083"/>
      <c r="AC57" s="1083"/>
      <c r="AD57" s="1083"/>
      <c r="AE57" s="1083"/>
      <c r="AF57" s="1083"/>
      <c r="AG57" s="1083"/>
      <c r="AH57" s="1083"/>
      <c r="AI57" s="1083"/>
      <c r="AJ57" s="1083"/>
      <c r="AK57" s="1083"/>
      <c r="AL57" s="1083"/>
      <c r="AM57" s="1083"/>
      <c r="AN57" s="1083"/>
      <c r="AO57" s="1083"/>
      <c r="AP57" s="1083"/>
    </row>
    <row r="58" spans="1:42">
      <c r="A58" s="1083"/>
      <c r="B58" s="1083"/>
      <c r="C58" s="1083"/>
      <c r="D58" s="1083"/>
      <c r="E58" s="1083"/>
      <c r="F58" s="1083"/>
      <c r="G58" s="1083"/>
      <c r="H58" s="1083"/>
      <c r="I58" s="1083"/>
      <c r="J58" s="1083"/>
      <c r="K58" s="1083"/>
      <c r="L58" s="1083"/>
      <c r="M58" s="1083"/>
      <c r="N58" s="1083"/>
      <c r="O58" s="1083"/>
      <c r="P58" s="1083"/>
      <c r="Q58" s="1083"/>
      <c r="R58" s="1083"/>
      <c r="S58" s="1083"/>
      <c r="T58" s="1083"/>
      <c r="U58" s="1083"/>
      <c r="V58" s="1083"/>
      <c r="W58" s="1083"/>
      <c r="X58" s="1083"/>
      <c r="Y58" s="1083"/>
      <c r="Z58" s="1083"/>
      <c r="AA58" s="1083"/>
      <c r="AB58" s="1083"/>
      <c r="AC58" s="1083"/>
      <c r="AD58" s="1083"/>
      <c r="AE58" s="1083"/>
      <c r="AF58" s="1083"/>
      <c r="AG58" s="1083"/>
      <c r="AH58" s="1083"/>
      <c r="AI58" s="1083"/>
      <c r="AJ58" s="1083"/>
      <c r="AK58" s="1083"/>
      <c r="AL58" s="1083"/>
      <c r="AM58" s="1083"/>
      <c r="AN58" s="1083"/>
      <c r="AO58" s="1083"/>
      <c r="AP58" s="1083"/>
    </row>
    <row r="59" spans="1:42">
      <c r="A59" s="1083"/>
      <c r="B59" s="1083"/>
      <c r="C59" s="1083"/>
      <c r="D59" s="1083"/>
      <c r="E59" s="1083"/>
      <c r="F59" s="1083"/>
      <c r="G59" s="1083"/>
      <c r="H59" s="1083"/>
      <c r="I59" s="1083"/>
      <c r="J59" s="1083"/>
      <c r="K59" s="1083"/>
      <c r="L59" s="1083"/>
      <c r="M59" s="1083"/>
      <c r="N59" s="1083"/>
      <c r="O59" s="1083"/>
      <c r="P59" s="1083"/>
      <c r="Q59" s="1083"/>
      <c r="R59" s="1083"/>
      <c r="S59" s="1083"/>
      <c r="T59" s="1083"/>
      <c r="U59" s="1083"/>
      <c r="V59" s="1083"/>
      <c r="W59" s="1083"/>
      <c r="X59" s="1083"/>
      <c r="Y59" s="1083"/>
      <c r="Z59" s="1083"/>
      <c r="AA59" s="1083"/>
      <c r="AB59" s="1083"/>
      <c r="AC59" s="1083"/>
      <c r="AD59" s="1083"/>
      <c r="AE59" s="1083"/>
      <c r="AF59" s="1083"/>
      <c r="AG59" s="1083"/>
      <c r="AH59" s="1083"/>
      <c r="AI59" s="1083"/>
      <c r="AJ59" s="1083"/>
      <c r="AK59" s="1083"/>
      <c r="AL59" s="1083"/>
      <c r="AM59" s="1083"/>
      <c r="AN59" s="1083"/>
      <c r="AO59" s="1083"/>
      <c r="AP59" s="1083"/>
    </row>
    <row r="60" spans="1:42">
      <c r="A60" s="1083"/>
      <c r="B60" s="1083"/>
      <c r="C60" s="1083"/>
      <c r="D60" s="1083"/>
      <c r="E60" s="1083"/>
      <c r="F60" s="1083"/>
      <c r="G60" s="1083"/>
      <c r="H60" s="1083"/>
      <c r="I60" s="1083"/>
      <c r="J60" s="1083"/>
      <c r="K60" s="1083"/>
      <c r="L60" s="1083"/>
      <c r="M60" s="1083"/>
      <c r="N60" s="1083"/>
      <c r="O60" s="1083"/>
      <c r="P60" s="1083"/>
      <c r="Q60" s="1083"/>
      <c r="R60" s="1083"/>
      <c r="S60" s="1083"/>
      <c r="T60" s="1083"/>
      <c r="U60" s="1083"/>
      <c r="V60" s="1083"/>
      <c r="W60" s="1083"/>
      <c r="X60" s="1083"/>
      <c r="Y60" s="1083"/>
      <c r="Z60" s="1083"/>
      <c r="AA60" s="1083"/>
      <c r="AB60" s="1083"/>
      <c r="AC60" s="1083"/>
      <c r="AD60" s="1083"/>
      <c r="AE60" s="1083"/>
      <c r="AF60" s="1083"/>
      <c r="AG60" s="1083"/>
      <c r="AH60" s="1083"/>
      <c r="AI60" s="1083"/>
      <c r="AJ60" s="1083"/>
      <c r="AK60" s="1083"/>
      <c r="AL60" s="1083"/>
      <c r="AM60" s="1083"/>
      <c r="AN60" s="1083"/>
      <c r="AO60" s="1083"/>
      <c r="AP60" s="1083"/>
    </row>
    <row r="61" spans="1:42">
      <c r="A61" s="1083"/>
      <c r="B61" s="1083"/>
      <c r="C61" s="1083"/>
      <c r="D61" s="1083"/>
      <c r="E61" s="1083"/>
      <c r="F61" s="1083"/>
      <c r="G61" s="1083"/>
      <c r="H61" s="1083"/>
      <c r="I61" s="1083"/>
      <c r="J61" s="1083"/>
      <c r="K61" s="1083"/>
      <c r="L61" s="1083"/>
      <c r="M61" s="1083"/>
      <c r="N61" s="1083"/>
      <c r="O61" s="1083"/>
      <c r="P61" s="1083"/>
      <c r="Q61" s="1083"/>
      <c r="R61" s="1083"/>
      <c r="S61" s="1083"/>
      <c r="T61" s="1083"/>
      <c r="U61" s="1083"/>
      <c r="V61" s="1083"/>
      <c r="W61" s="1083"/>
      <c r="X61" s="1083"/>
      <c r="Y61" s="1083"/>
      <c r="Z61" s="1083"/>
      <c r="AA61" s="1083"/>
      <c r="AB61" s="1083"/>
      <c r="AC61" s="1083"/>
      <c r="AD61" s="1083"/>
      <c r="AE61" s="1083"/>
      <c r="AF61" s="1083"/>
      <c r="AG61" s="1083"/>
      <c r="AH61" s="1083"/>
      <c r="AI61" s="1083"/>
      <c r="AJ61" s="1083"/>
      <c r="AK61" s="1083"/>
      <c r="AL61" s="1083"/>
      <c r="AM61" s="1083"/>
      <c r="AN61" s="1083"/>
      <c r="AO61" s="1083"/>
      <c r="AP61" s="1083"/>
    </row>
    <row r="62" spans="1:42">
      <c r="A62" s="1083"/>
      <c r="B62" s="1083"/>
      <c r="C62" s="1083"/>
      <c r="D62" s="1083"/>
      <c r="E62" s="1083"/>
      <c r="F62" s="1083"/>
      <c r="G62" s="1083"/>
      <c r="H62" s="1083"/>
      <c r="I62" s="1083"/>
      <c r="J62" s="1083"/>
      <c r="K62" s="1083"/>
      <c r="L62" s="1083"/>
      <c r="M62" s="1083"/>
      <c r="N62" s="1083"/>
      <c r="O62" s="1083"/>
      <c r="P62" s="1083"/>
      <c r="Q62" s="1083"/>
      <c r="R62" s="1083"/>
      <c r="S62" s="1083"/>
      <c r="T62" s="1083"/>
      <c r="U62" s="1083"/>
      <c r="V62" s="1083"/>
      <c r="W62" s="1083"/>
      <c r="X62" s="1083"/>
      <c r="Y62" s="1083"/>
      <c r="Z62" s="1083"/>
      <c r="AA62" s="1083"/>
      <c r="AB62" s="1083"/>
      <c r="AC62" s="1083"/>
      <c r="AD62" s="1083"/>
      <c r="AE62" s="1083"/>
      <c r="AF62" s="1083"/>
      <c r="AG62" s="1083"/>
      <c r="AH62" s="1083"/>
      <c r="AI62" s="1083"/>
      <c r="AJ62" s="1083"/>
      <c r="AK62" s="1083"/>
      <c r="AL62" s="1083"/>
      <c r="AM62" s="1083"/>
      <c r="AN62" s="1083"/>
      <c r="AO62" s="1083"/>
      <c r="AP62" s="1083"/>
    </row>
    <row r="63" spans="1:42">
      <c r="A63" s="1083"/>
      <c r="B63" s="1083"/>
      <c r="C63" s="1083"/>
      <c r="D63" s="1083"/>
      <c r="E63" s="1083"/>
      <c r="F63" s="1083"/>
      <c r="G63" s="1083"/>
      <c r="H63" s="1083"/>
      <c r="I63" s="1083"/>
      <c r="J63" s="1083"/>
      <c r="K63" s="1083"/>
      <c r="L63" s="1083"/>
      <c r="M63" s="1083"/>
      <c r="N63" s="1083"/>
      <c r="O63" s="1083"/>
      <c r="P63" s="1083"/>
      <c r="Q63" s="1083"/>
      <c r="R63" s="1083"/>
      <c r="S63" s="1083"/>
      <c r="T63" s="1083"/>
      <c r="U63" s="1083"/>
      <c r="V63" s="1083"/>
      <c r="W63" s="1083"/>
      <c r="X63" s="1083"/>
      <c r="Y63" s="1083"/>
      <c r="Z63" s="1083"/>
      <c r="AA63" s="1083"/>
      <c r="AB63" s="1083"/>
      <c r="AC63" s="1083"/>
      <c r="AD63" s="1083"/>
      <c r="AE63" s="1083"/>
      <c r="AF63" s="1083"/>
      <c r="AG63" s="1083"/>
      <c r="AH63" s="1083"/>
      <c r="AI63" s="1083"/>
      <c r="AJ63" s="1083"/>
      <c r="AK63" s="1083"/>
      <c r="AL63" s="1083"/>
      <c r="AM63" s="1083"/>
      <c r="AN63" s="1083"/>
      <c r="AO63" s="1083"/>
      <c r="AP63" s="1083"/>
    </row>
    <row r="64" spans="1:42">
      <c r="A64" s="1083"/>
      <c r="B64" s="1083"/>
      <c r="C64" s="1083"/>
      <c r="D64" s="1083"/>
      <c r="E64" s="1083"/>
      <c r="F64" s="1083"/>
      <c r="G64" s="1083"/>
      <c r="H64" s="1083"/>
      <c r="I64" s="1083"/>
      <c r="J64" s="1083"/>
      <c r="K64" s="1083"/>
      <c r="L64" s="1083"/>
      <c r="M64" s="1083"/>
      <c r="N64" s="1083"/>
      <c r="O64" s="1083"/>
      <c r="P64" s="1083"/>
      <c r="Q64" s="1083"/>
      <c r="R64" s="1083"/>
      <c r="S64" s="1083"/>
      <c r="T64" s="1083"/>
      <c r="U64" s="1083"/>
      <c r="V64" s="1083"/>
      <c r="W64" s="1083"/>
      <c r="X64" s="1083"/>
      <c r="Y64" s="1083"/>
      <c r="Z64" s="1083"/>
      <c r="AA64" s="1083"/>
      <c r="AB64" s="1083"/>
      <c r="AC64" s="1083"/>
      <c r="AD64" s="1083"/>
      <c r="AE64" s="1083"/>
      <c r="AF64" s="1083"/>
      <c r="AG64" s="1083"/>
      <c r="AH64" s="1083"/>
      <c r="AI64" s="1083"/>
      <c r="AJ64" s="1083"/>
      <c r="AK64" s="1083"/>
      <c r="AL64" s="1083"/>
      <c r="AM64" s="1083"/>
      <c r="AN64" s="1083"/>
      <c r="AO64" s="1083"/>
      <c r="AP64" s="1083"/>
    </row>
    <row r="65" spans="1:42">
      <c r="A65" s="1083"/>
      <c r="B65" s="1083"/>
      <c r="C65" s="1083"/>
      <c r="D65" s="1083"/>
      <c r="E65" s="1083"/>
      <c r="F65" s="1083"/>
      <c r="G65" s="1083"/>
      <c r="H65" s="1083"/>
      <c r="I65" s="1083"/>
      <c r="J65" s="1083"/>
      <c r="K65" s="1083"/>
      <c r="L65" s="1083"/>
      <c r="M65" s="1083"/>
      <c r="N65" s="1083"/>
      <c r="O65" s="1083"/>
      <c r="P65" s="1083"/>
      <c r="Q65" s="1083"/>
      <c r="R65" s="1083"/>
      <c r="S65" s="1083"/>
      <c r="T65" s="1083"/>
      <c r="U65" s="1083"/>
      <c r="V65" s="1083"/>
      <c r="W65" s="1083"/>
      <c r="X65" s="1083"/>
      <c r="Y65" s="1083"/>
      <c r="Z65" s="1083"/>
      <c r="AA65" s="1083"/>
      <c r="AB65" s="1083"/>
      <c r="AC65" s="1083"/>
      <c r="AD65" s="1083"/>
      <c r="AE65" s="1083"/>
      <c r="AF65" s="1083"/>
      <c r="AG65" s="1083"/>
      <c r="AH65" s="1083"/>
      <c r="AI65" s="1083"/>
      <c r="AJ65" s="1083"/>
      <c r="AK65" s="1083"/>
      <c r="AL65" s="1083"/>
      <c r="AM65" s="1083"/>
      <c r="AN65" s="1083"/>
      <c r="AO65" s="1083"/>
      <c r="AP65" s="1083"/>
    </row>
    <row r="66" spans="1:42">
      <c r="A66" s="1083"/>
      <c r="B66" s="1083"/>
      <c r="C66" s="1083"/>
      <c r="D66" s="1083"/>
      <c r="E66" s="1083"/>
      <c r="F66" s="1083"/>
      <c r="G66" s="1083"/>
      <c r="H66" s="1083"/>
      <c r="I66" s="1083"/>
      <c r="J66" s="1083"/>
      <c r="K66" s="1083"/>
      <c r="L66" s="1083"/>
      <c r="M66" s="1083"/>
      <c r="N66" s="1083"/>
      <c r="O66" s="1083"/>
      <c r="P66" s="1083"/>
      <c r="Q66" s="1083"/>
      <c r="R66" s="1083"/>
      <c r="S66" s="1083"/>
      <c r="T66" s="1083"/>
      <c r="U66" s="1083"/>
      <c r="V66" s="1083"/>
      <c r="W66" s="1083"/>
      <c r="X66" s="1083"/>
      <c r="Y66" s="1083"/>
      <c r="Z66" s="1083"/>
      <c r="AA66" s="1083"/>
      <c r="AB66" s="1083"/>
      <c r="AC66" s="1083"/>
      <c r="AD66" s="1083"/>
      <c r="AE66" s="1083"/>
      <c r="AF66" s="1083"/>
      <c r="AG66" s="1083"/>
      <c r="AH66" s="1083"/>
      <c r="AI66" s="1083"/>
      <c r="AJ66" s="1083"/>
      <c r="AK66" s="1083"/>
      <c r="AL66" s="1083"/>
      <c r="AM66" s="1083"/>
      <c r="AN66" s="1083"/>
      <c r="AO66" s="1083"/>
      <c r="AP66" s="1083"/>
    </row>
    <row r="67" spans="1:42">
      <c r="A67" s="1083"/>
      <c r="B67" s="1083"/>
      <c r="C67" s="1083"/>
      <c r="D67" s="1083"/>
      <c r="E67" s="1083"/>
      <c r="F67" s="1083"/>
      <c r="G67" s="1083"/>
      <c r="H67" s="1083"/>
      <c r="I67" s="1083"/>
      <c r="J67" s="1083"/>
      <c r="K67" s="1083"/>
      <c r="L67" s="1083"/>
      <c r="M67" s="1083"/>
      <c r="N67" s="1083"/>
      <c r="O67" s="1083"/>
      <c r="P67" s="1083"/>
      <c r="Q67" s="1083"/>
      <c r="R67" s="1083"/>
      <c r="S67" s="1083"/>
      <c r="T67" s="1083"/>
      <c r="U67" s="1083"/>
      <c r="V67" s="1083"/>
      <c r="W67" s="1083"/>
      <c r="X67" s="1083"/>
      <c r="Y67" s="1083"/>
      <c r="Z67" s="1083"/>
      <c r="AA67" s="1083"/>
      <c r="AB67" s="1083"/>
      <c r="AC67" s="1083"/>
      <c r="AD67" s="1083"/>
      <c r="AE67" s="1083"/>
      <c r="AF67" s="1083"/>
      <c r="AG67" s="1083"/>
      <c r="AH67" s="1083"/>
      <c r="AI67" s="1083"/>
      <c r="AJ67" s="1083"/>
      <c r="AK67" s="1083"/>
      <c r="AL67" s="1083"/>
      <c r="AM67" s="1083"/>
      <c r="AN67" s="1083"/>
      <c r="AO67" s="1083"/>
      <c r="AP67" s="1083"/>
    </row>
    <row r="68" spans="1:42">
      <c r="A68" s="1083"/>
      <c r="B68" s="1083"/>
      <c r="C68" s="1083"/>
      <c r="D68" s="1083"/>
      <c r="E68" s="1083"/>
      <c r="F68" s="1083"/>
      <c r="G68" s="1083"/>
      <c r="H68" s="1083"/>
      <c r="I68" s="1083"/>
      <c r="J68" s="1083"/>
      <c r="K68" s="1083"/>
      <c r="L68" s="1083"/>
      <c r="M68" s="1083"/>
      <c r="N68" s="1083"/>
      <c r="O68" s="1083"/>
      <c r="P68" s="1083"/>
      <c r="Q68" s="1083"/>
      <c r="R68" s="1083"/>
      <c r="S68" s="1083"/>
      <c r="T68" s="1083"/>
      <c r="U68" s="1083"/>
      <c r="V68" s="1083"/>
      <c r="W68" s="1083"/>
      <c r="X68" s="1083"/>
      <c r="Y68" s="1083"/>
      <c r="Z68" s="1083"/>
      <c r="AA68" s="1083"/>
      <c r="AB68" s="1083"/>
      <c r="AC68" s="1083"/>
      <c r="AD68" s="1083"/>
      <c r="AE68" s="1083"/>
      <c r="AF68" s="1083"/>
      <c r="AG68" s="1083"/>
      <c r="AH68" s="1083"/>
      <c r="AI68" s="1083"/>
      <c r="AJ68" s="1083"/>
      <c r="AK68" s="1083"/>
      <c r="AL68" s="1083"/>
      <c r="AM68" s="1083"/>
      <c r="AN68" s="1083"/>
      <c r="AO68" s="1083"/>
      <c r="AP68" s="1083"/>
    </row>
    <row r="69" spans="1:42">
      <c r="A69" s="1083"/>
      <c r="B69" s="1083"/>
      <c r="C69" s="1083"/>
      <c r="D69" s="1083"/>
      <c r="E69" s="1083"/>
      <c r="F69" s="1083"/>
      <c r="G69" s="1083"/>
      <c r="H69" s="1083"/>
      <c r="I69" s="1083"/>
      <c r="J69" s="1083"/>
      <c r="K69" s="1083"/>
      <c r="L69" s="1083"/>
      <c r="M69" s="1083"/>
      <c r="N69" s="1083"/>
      <c r="O69" s="1083"/>
      <c r="P69" s="1083"/>
      <c r="Q69" s="1083"/>
      <c r="R69" s="1083"/>
      <c r="S69" s="1083"/>
      <c r="T69" s="1083"/>
      <c r="U69" s="1083"/>
      <c r="V69" s="1083"/>
      <c r="W69" s="1083"/>
      <c r="X69" s="1083"/>
      <c r="Y69" s="1083"/>
      <c r="Z69" s="1083"/>
      <c r="AA69" s="1083"/>
      <c r="AB69" s="1083"/>
      <c r="AC69" s="1083"/>
      <c r="AD69" s="1083"/>
      <c r="AE69" s="1083"/>
      <c r="AF69" s="1083"/>
      <c r="AG69" s="1083"/>
      <c r="AH69" s="1083"/>
      <c r="AI69" s="1083"/>
      <c r="AJ69" s="1083"/>
      <c r="AK69" s="1083"/>
      <c r="AL69" s="1083"/>
      <c r="AM69" s="1083"/>
      <c r="AN69" s="1083"/>
      <c r="AO69" s="1083"/>
      <c r="AP69" s="1083"/>
    </row>
    <row r="70" spans="1:42">
      <c r="A70" s="1083"/>
      <c r="B70" s="1083"/>
      <c r="C70" s="1083"/>
      <c r="D70" s="1083"/>
      <c r="E70" s="1083"/>
      <c r="F70" s="1083"/>
      <c r="G70" s="1083"/>
      <c r="H70" s="1083"/>
      <c r="I70" s="1083"/>
      <c r="J70" s="1083"/>
      <c r="K70" s="1083"/>
      <c r="L70" s="1083"/>
      <c r="M70" s="1083"/>
      <c r="N70" s="1083"/>
      <c r="O70" s="1083"/>
      <c r="P70" s="1083"/>
      <c r="Q70" s="1083"/>
      <c r="R70" s="1083"/>
      <c r="S70" s="1083"/>
      <c r="T70" s="1083"/>
      <c r="U70" s="1083"/>
      <c r="V70" s="1083"/>
      <c r="W70" s="1083"/>
      <c r="X70" s="1083"/>
      <c r="Y70" s="1083"/>
      <c r="Z70" s="1083"/>
      <c r="AA70" s="1083"/>
      <c r="AB70" s="1083"/>
      <c r="AC70" s="1083"/>
      <c r="AD70" s="1083"/>
      <c r="AE70" s="1083"/>
      <c r="AF70" s="1083"/>
      <c r="AG70" s="1083"/>
      <c r="AH70" s="1083"/>
      <c r="AI70" s="1083"/>
      <c r="AJ70" s="1083"/>
      <c r="AK70" s="1083"/>
      <c r="AL70" s="1083"/>
      <c r="AM70" s="1083"/>
      <c r="AN70" s="1083"/>
      <c r="AO70" s="1083"/>
      <c r="AP70" s="1083"/>
    </row>
    <row r="71" spans="1:42">
      <c r="A71" s="1083"/>
      <c r="B71" s="1083"/>
      <c r="C71" s="1083"/>
      <c r="D71" s="1083"/>
      <c r="E71" s="1083"/>
      <c r="F71" s="1083"/>
      <c r="G71" s="1083"/>
      <c r="H71" s="1083"/>
      <c r="I71" s="1083"/>
      <c r="J71" s="1083"/>
      <c r="K71" s="1083"/>
      <c r="L71" s="1083"/>
      <c r="M71" s="1083"/>
      <c r="N71" s="1083"/>
      <c r="O71" s="1083"/>
      <c r="P71" s="1083"/>
      <c r="Q71" s="1083"/>
      <c r="R71" s="1083"/>
      <c r="S71" s="1083"/>
      <c r="T71" s="1083"/>
      <c r="U71" s="1083"/>
      <c r="V71" s="1083"/>
      <c r="W71" s="1083"/>
      <c r="X71" s="1083"/>
      <c r="Y71" s="1083"/>
      <c r="Z71" s="1083"/>
      <c r="AA71" s="1083"/>
      <c r="AB71" s="1083"/>
      <c r="AC71" s="1083"/>
      <c r="AD71" s="1083"/>
      <c r="AE71" s="1083"/>
      <c r="AF71" s="1083"/>
      <c r="AG71" s="1083"/>
      <c r="AH71" s="1083"/>
      <c r="AI71" s="1083"/>
      <c r="AJ71" s="1083"/>
      <c r="AK71" s="1083"/>
      <c r="AL71" s="1083"/>
      <c r="AM71" s="1083"/>
      <c r="AN71" s="1083"/>
      <c r="AO71" s="1083"/>
      <c r="AP71" s="1083"/>
    </row>
    <row r="72" spans="1:42">
      <c r="A72" s="1083"/>
      <c r="B72" s="1083"/>
      <c r="C72" s="1083"/>
      <c r="D72" s="1083"/>
      <c r="E72" s="1083"/>
      <c r="F72" s="1083"/>
      <c r="G72" s="1083"/>
      <c r="H72" s="1083"/>
      <c r="I72" s="1083"/>
      <c r="J72" s="1083"/>
      <c r="K72" s="1083"/>
      <c r="L72" s="1083"/>
      <c r="M72" s="1083"/>
      <c r="N72" s="1083"/>
      <c r="O72" s="1083"/>
      <c r="P72" s="1083"/>
      <c r="Q72" s="1083"/>
      <c r="R72" s="1083"/>
      <c r="S72" s="1083"/>
      <c r="T72" s="1083"/>
      <c r="U72" s="1083"/>
      <c r="V72" s="1083"/>
      <c r="W72" s="1083"/>
      <c r="X72" s="1083"/>
      <c r="Y72" s="1083"/>
      <c r="Z72" s="1083"/>
      <c r="AA72" s="1083"/>
      <c r="AB72" s="1083"/>
      <c r="AC72" s="1083"/>
      <c r="AD72" s="1083"/>
      <c r="AE72" s="1083"/>
      <c r="AF72" s="1083"/>
      <c r="AG72" s="1083"/>
      <c r="AH72" s="1083"/>
      <c r="AI72" s="1083"/>
      <c r="AJ72" s="1083"/>
      <c r="AK72" s="1083"/>
      <c r="AL72" s="1083"/>
      <c r="AM72" s="1083"/>
      <c r="AN72" s="1083"/>
      <c r="AO72" s="1083"/>
      <c r="AP72" s="1083"/>
    </row>
    <row r="73" spans="1:42">
      <c r="A73" s="1083"/>
      <c r="B73" s="1083"/>
      <c r="C73" s="1083"/>
      <c r="D73" s="1083"/>
      <c r="E73" s="1083"/>
      <c r="F73" s="1083"/>
      <c r="G73" s="1083"/>
      <c r="H73" s="1083"/>
      <c r="I73" s="1083"/>
      <c r="J73" s="1083"/>
      <c r="K73" s="1083"/>
      <c r="L73" s="1083"/>
      <c r="M73" s="1083"/>
      <c r="N73" s="1083"/>
      <c r="O73" s="1083"/>
      <c r="P73" s="1083"/>
      <c r="Q73" s="1083"/>
      <c r="R73" s="1083"/>
      <c r="S73" s="1083"/>
      <c r="T73" s="1083"/>
      <c r="U73" s="1083"/>
      <c r="V73" s="1083"/>
      <c r="W73" s="1083"/>
      <c r="X73" s="1083"/>
      <c r="Y73" s="1083"/>
      <c r="Z73" s="1083"/>
      <c r="AA73" s="1083"/>
      <c r="AB73" s="1083"/>
      <c r="AC73" s="1083"/>
      <c r="AD73" s="1083"/>
      <c r="AE73" s="1083"/>
      <c r="AF73" s="1083"/>
      <c r="AG73" s="1083"/>
      <c r="AH73" s="1083"/>
      <c r="AI73" s="1083"/>
      <c r="AJ73" s="1083"/>
      <c r="AK73" s="1083"/>
      <c r="AL73" s="1083"/>
      <c r="AM73" s="1083"/>
      <c r="AN73" s="1083"/>
      <c r="AO73" s="1083"/>
      <c r="AP73" s="1083"/>
    </row>
    <row r="74" spans="1:42">
      <c r="A74" s="1083"/>
      <c r="B74" s="1083"/>
      <c r="C74" s="1083"/>
      <c r="D74" s="1083"/>
      <c r="E74" s="1083"/>
      <c r="F74" s="1083"/>
      <c r="G74" s="1083"/>
      <c r="H74" s="1083"/>
      <c r="I74" s="1083"/>
      <c r="J74" s="1083"/>
      <c r="K74" s="1083"/>
      <c r="L74" s="1083"/>
      <c r="M74" s="1083"/>
      <c r="N74" s="1083"/>
      <c r="O74" s="1083"/>
      <c r="P74" s="1083"/>
      <c r="Q74" s="1083"/>
      <c r="R74" s="1083"/>
      <c r="S74" s="1083"/>
      <c r="T74" s="1083"/>
      <c r="U74" s="1083"/>
      <c r="V74" s="1083"/>
      <c r="W74" s="1083"/>
      <c r="X74" s="1083"/>
      <c r="Y74" s="1083"/>
      <c r="Z74" s="1083"/>
      <c r="AA74" s="1083"/>
      <c r="AB74" s="1083"/>
      <c r="AC74" s="1083"/>
      <c r="AD74" s="1083"/>
      <c r="AE74" s="1083"/>
      <c r="AF74" s="1083"/>
      <c r="AG74" s="1083"/>
      <c r="AH74" s="1083"/>
      <c r="AI74" s="1083"/>
      <c r="AJ74" s="1083"/>
      <c r="AK74" s="1083"/>
      <c r="AL74" s="1083"/>
      <c r="AM74" s="1083"/>
      <c r="AN74" s="1083"/>
      <c r="AO74" s="1083"/>
      <c r="AP74" s="1083"/>
    </row>
    <row r="75" spans="1:42">
      <c r="A75" s="1083"/>
      <c r="B75" s="1083"/>
      <c r="C75" s="1083"/>
      <c r="D75" s="1083"/>
      <c r="E75" s="1083"/>
      <c r="F75" s="1083"/>
      <c r="G75" s="1083"/>
      <c r="H75" s="1083"/>
      <c r="I75" s="1083"/>
      <c r="J75" s="1083"/>
      <c r="K75" s="1083"/>
      <c r="L75" s="1083"/>
      <c r="M75" s="1083"/>
      <c r="N75" s="1083"/>
      <c r="O75" s="1083"/>
      <c r="P75" s="1083"/>
      <c r="Q75" s="1083"/>
      <c r="R75" s="1083"/>
      <c r="S75" s="1083"/>
      <c r="T75" s="1083"/>
      <c r="U75" s="1083"/>
      <c r="V75" s="1083"/>
      <c r="W75" s="1083"/>
      <c r="X75" s="1083"/>
      <c r="Y75" s="1083"/>
      <c r="Z75" s="1083"/>
      <c r="AA75" s="1083"/>
      <c r="AB75" s="1083"/>
      <c r="AC75" s="1083"/>
      <c r="AD75" s="1083"/>
      <c r="AE75" s="1083"/>
      <c r="AF75" s="1083"/>
      <c r="AG75" s="1083"/>
      <c r="AH75" s="1083"/>
      <c r="AI75" s="1083"/>
      <c r="AJ75" s="1083"/>
      <c r="AK75" s="1083"/>
      <c r="AL75" s="1083"/>
      <c r="AM75" s="1083"/>
      <c r="AN75" s="1083"/>
      <c r="AO75" s="1083"/>
      <c r="AP75" s="1083"/>
    </row>
    <row r="76" spans="1:42">
      <c r="A76" s="1083"/>
      <c r="B76" s="1083"/>
      <c r="C76" s="1083"/>
      <c r="D76" s="1083"/>
      <c r="E76" s="1083"/>
      <c r="F76" s="1083"/>
      <c r="G76" s="1083"/>
      <c r="H76" s="1083"/>
      <c r="I76" s="1083"/>
      <c r="J76" s="1083"/>
      <c r="K76" s="1083"/>
      <c r="L76" s="1083"/>
      <c r="M76" s="1083"/>
      <c r="N76" s="1083"/>
      <c r="O76" s="1083"/>
      <c r="P76" s="1083"/>
      <c r="Q76" s="1083"/>
      <c r="R76" s="1083"/>
      <c r="S76" s="1083"/>
      <c r="T76" s="1083"/>
      <c r="U76" s="1083"/>
      <c r="V76" s="1083"/>
      <c r="W76" s="1083"/>
      <c r="X76" s="1083"/>
      <c r="Y76" s="1083"/>
      <c r="Z76" s="1083"/>
      <c r="AA76" s="1083"/>
      <c r="AB76" s="1083"/>
      <c r="AC76" s="1083"/>
      <c r="AD76" s="1083"/>
      <c r="AE76" s="1083"/>
      <c r="AF76" s="1083"/>
      <c r="AG76" s="1083"/>
      <c r="AH76" s="1083"/>
      <c r="AI76" s="1083"/>
      <c r="AJ76" s="1083"/>
      <c r="AK76" s="1083"/>
      <c r="AL76" s="1083"/>
      <c r="AM76" s="1083"/>
      <c r="AN76" s="1083"/>
      <c r="AO76" s="1083"/>
      <c r="AP76" s="1083"/>
    </row>
    <row r="77" spans="1:42">
      <c r="A77" s="1083"/>
      <c r="B77" s="1083"/>
      <c r="C77" s="1083"/>
      <c r="D77" s="1083"/>
      <c r="E77" s="1083"/>
      <c r="F77" s="1083"/>
      <c r="G77" s="1083"/>
      <c r="H77" s="1083"/>
      <c r="I77" s="1083"/>
      <c r="J77" s="1083"/>
      <c r="K77" s="1083"/>
      <c r="L77" s="1083"/>
      <c r="M77" s="1083"/>
      <c r="N77" s="1083"/>
      <c r="O77" s="1083"/>
      <c r="P77" s="1083"/>
      <c r="Q77" s="1083"/>
      <c r="R77" s="1083"/>
      <c r="S77" s="1083"/>
      <c r="T77" s="1083"/>
      <c r="U77" s="1083"/>
      <c r="V77" s="1083"/>
      <c r="W77" s="1083"/>
      <c r="X77" s="1083"/>
      <c r="Y77" s="1083"/>
      <c r="Z77" s="1083"/>
      <c r="AA77" s="1083"/>
      <c r="AB77" s="1083"/>
      <c r="AC77" s="1083"/>
      <c r="AD77" s="1083"/>
      <c r="AE77" s="1083"/>
      <c r="AF77" s="1083"/>
      <c r="AG77" s="1083"/>
      <c r="AH77" s="1083"/>
      <c r="AI77" s="1083"/>
      <c r="AJ77" s="1083"/>
      <c r="AK77" s="1083"/>
      <c r="AL77" s="1083"/>
      <c r="AM77" s="1083"/>
      <c r="AN77" s="1083"/>
      <c r="AO77" s="1083"/>
      <c r="AP77" s="1083"/>
    </row>
    <row r="78" spans="1:42">
      <c r="A78" s="1083"/>
      <c r="B78" s="1083"/>
      <c r="C78" s="1083"/>
      <c r="D78" s="1083"/>
      <c r="E78" s="1083"/>
      <c r="F78" s="1083"/>
      <c r="G78" s="1083"/>
      <c r="H78" s="1083"/>
      <c r="I78" s="1083"/>
      <c r="J78" s="1083"/>
      <c r="K78" s="1083"/>
      <c r="L78" s="1083"/>
      <c r="M78" s="1083"/>
      <c r="N78" s="1083"/>
      <c r="O78" s="1083"/>
      <c r="P78" s="1083"/>
      <c r="Q78" s="1083"/>
      <c r="R78" s="1083"/>
      <c r="S78" s="1083"/>
      <c r="T78" s="1083"/>
      <c r="U78" s="1083"/>
      <c r="V78" s="1083"/>
      <c r="W78" s="1083"/>
      <c r="X78" s="1083"/>
      <c r="Y78" s="1083"/>
      <c r="Z78" s="1083"/>
      <c r="AA78" s="1083"/>
      <c r="AB78" s="1083"/>
      <c r="AC78" s="1083"/>
      <c r="AD78" s="1083"/>
      <c r="AE78" s="1083"/>
      <c r="AF78" s="1083"/>
      <c r="AG78" s="1083"/>
      <c r="AH78" s="1083"/>
      <c r="AI78" s="1083"/>
      <c r="AJ78" s="1083"/>
      <c r="AK78" s="1083"/>
      <c r="AL78" s="1083"/>
      <c r="AM78" s="1083"/>
      <c r="AN78" s="1083"/>
      <c r="AO78" s="1083"/>
      <c r="AP78" s="1083"/>
    </row>
    <row r="79" spans="1:42">
      <c r="A79" s="1083"/>
      <c r="B79" s="1083"/>
      <c r="C79" s="1083"/>
      <c r="D79" s="1083"/>
      <c r="E79" s="1083"/>
      <c r="F79" s="1083"/>
      <c r="G79" s="1083"/>
      <c r="H79" s="1083"/>
      <c r="I79" s="1083"/>
      <c r="J79" s="1083"/>
      <c r="K79" s="1083"/>
      <c r="L79" s="1083"/>
      <c r="M79" s="1083"/>
      <c r="N79" s="1083"/>
      <c r="O79" s="1083"/>
      <c r="P79" s="1083"/>
      <c r="Q79" s="1083"/>
      <c r="R79" s="1083"/>
      <c r="S79" s="1083"/>
      <c r="T79" s="1083"/>
      <c r="U79" s="1083"/>
      <c r="V79" s="1083"/>
      <c r="W79" s="1083"/>
      <c r="X79" s="1083"/>
      <c r="Y79" s="1083"/>
      <c r="Z79" s="1083"/>
      <c r="AA79" s="1083"/>
      <c r="AB79" s="1083"/>
      <c r="AC79" s="1083"/>
      <c r="AD79" s="1083"/>
      <c r="AE79" s="1083"/>
      <c r="AF79" s="1083"/>
      <c r="AG79" s="1083"/>
      <c r="AH79" s="1083"/>
      <c r="AI79" s="1083"/>
      <c r="AJ79" s="1083"/>
      <c r="AK79" s="1083"/>
      <c r="AL79" s="1083"/>
      <c r="AM79" s="1083"/>
      <c r="AN79" s="1083"/>
      <c r="AO79" s="1083"/>
      <c r="AP79" s="1083"/>
    </row>
    <row r="80" spans="1:42">
      <c r="A80" s="1083"/>
      <c r="B80" s="1083"/>
      <c r="C80" s="1083"/>
      <c r="D80" s="1083"/>
      <c r="E80" s="1083"/>
      <c r="F80" s="1083"/>
      <c r="G80" s="1083"/>
      <c r="H80" s="1083"/>
      <c r="I80" s="1083"/>
      <c r="J80" s="1083"/>
      <c r="K80" s="1083"/>
      <c r="L80" s="1083"/>
      <c r="M80" s="1083"/>
      <c r="N80" s="1083"/>
      <c r="O80" s="1083"/>
      <c r="P80" s="1083"/>
      <c r="Q80" s="1083"/>
      <c r="R80" s="1083"/>
      <c r="S80" s="1083"/>
      <c r="T80" s="1083"/>
      <c r="U80" s="1083"/>
      <c r="V80" s="1083"/>
      <c r="W80" s="1083"/>
      <c r="X80" s="1083"/>
      <c r="Y80" s="1083"/>
      <c r="Z80" s="1083"/>
      <c r="AA80" s="1083"/>
      <c r="AB80" s="1083"/>
      <c r="AC80" s="1083"/>
      <c r="AD80" s="1083"/>
      <c r="AE80" s="1083"/>
      <c r="AF80" s="1083"/>
      <c r="AG80" s="1083"/>
      <c r="AH80" s="1083"/>
      <c r="AI80" s="1083"/>
      <c r="AJ80" s="1083"/>
      <c r="AK80" s="1083"/>
      <c r="AL80" s="1083"/>
      <c r="AM80" s="1083"/>
      <c r="AN80" s="1083"/>
      <c r="AO80" s="1083"/>
      <c r="AP80" s="1083"/>
    </row>
    <row r="81" spans="1:42">
      <c r="A81" s="1083"/>
      <c r="B81" s="1083"/>
      <c r="C81" s="1083"/>
      <c r="D81" s="1083"/>
      <c r="E81" s="1083"/>
      <c r="F81" s="1083"/>
      <c r="G81" s="1083"/>
      <c r="H81" s="1083"/>
      <c r="I81" s="1083"/>
      <c r="J81" s="1083"/>
      <c r="K81" s="1083"/>
      <c r="L81" s="1083"/>
      <c r="M81" s="1083"/>
      <c r="N81" s="1083"/>
      <c r="O81" s="1083"/>
      <c r="P81" s="1083"/>
      <c r="Q81" s="1083"/>
      <c r="R81" s="1083"/>
      <c r="S81" s="1083"/>
      <c r="T81" s="1083"/>
      <c r="U81" s="1083"/>
      <c r="V81" s="1083"/>
      <c r="W81" s="1083"/>
      <c r="X81" s="1083"/>
      <c r="Y81" s="1083"/>
      <c r="Z81" s="1083"/>
      <c r="AA81" s="1083"/>
      <c r="AB81" s="1083"/>
      <c r="AC81" s="1083"/>
      <c r="AD81" s="1083"/>
      <c r="AE81" s="1083"/>
      <c r="AF81" s="1083"/>
      <c r="AG81" s="1083"/>
      <c r="AH81" s="1083"/>
      <c r="AI81" s="1083"/>
      <c r="AJ81" s="1083"/>
      <c r="AK81" s="1083"/>
      <c r="AL81" s="1083"/>
      <c r="AM81" s="1083"/>
      <c r="AN81" s="1083"/>
      <c r="AO81" s="1083"/>
      <c r="AP81" s="1083"/>
    </row>
    <row r="82" spans="1:42">
      <c r="A82" s="1083"/>
      <c r="B82" s="1083"/>
      <c r="C82" s="1083"/>
      <c r="D82" s="1083"/>
      <c r="E82" s="1083"/>
      <c r="F82" s="1083"/>
      <c r="G82" s="1083"/>
      <c r="H82" s="1083"/>
      <c r="I82" s="1083"/>
      <c r="J82" s="1083"/>
      <c r="K82" s="1083"/>
      <c r="L82" s="1083"/>
      <c r="M82" s="1083"/>
      <c r="N82" s="1083"/>
      <c r="O82" s="1083"/>
      <c r="P82" s="1083"/>
      <c r="Q82" s="1083"/>
      <c r="R82" s="1083"/>
      <c r="S82" s="1083"/>
      <c r="T82" s="1083"/>
      <c r="U82" s="1083"/>
      <c r="V82" s="1083"/>
      <c r="W82" s="1083"/>
      <c r="X82" s="1083"/>
      <c r="Y82" s="1083"/>
      <c r="Z82" s="1083"/>
      <c r="AA82" s="1083"/>
      <c r="AB82" s="1083"/>
      <c r="AC82" s="1083"/>
      <c r="AD82" s="1083"/>
      <c r="AE82" s="1083"/>
      <c r="AF82" s="1083"/>
      <c r="AG82" s="1083"/>
      <c r="AH82" s="1083"/>
      <c r="AI82" s="1083"/>
      <c r="AJ82" s="1083"/>
      <c r="AK82" s="1083"/>
      <c r="AL82" s="1083"/>
      <c r="AM82" s="1083"/>
      <c r="AN82" s="1083"/>
      <c r="AO82" s="1083"/>
      <c r="AP82" s="1083"/>
    </row>
    <row r="83" spans="1:42">
      <c r="A83" s="1083"/>
      <c r="B83" s="1083"/>
      <c r="C83" s="1083"/>
      <c r="D83" s="1083"/>
      <c r="E83" s="1083"/>
      <c r="F83" s="1083"/>
      <c r="G83" s="1083"/>
      <c r="H83" s="1083"/>
      <c r="I83" s="1083"/>
      <c r="J83" s="1083"/>
      <c r="K83" s="1083"/>
      <c r="L83" s="1083"/>
      <c r="M83" s="1083"/>
      <c r="N83" s="1083"/>
      <c r="O83" s="1083"/>
      <c r="P83" s="1083"/>
      <c r="Q83" s="1083"/>
      <c r="R83" s="1083"/>
      <c r="S83" s="1083"/>
      <c r="T83" s="1083"/>
      <c r="U83" s="1083"/>
      <c r="V83" s="1083"/>
      <c r="W83" s="1083"/>
      <c r="X83" s="1083"/>
      <c r="Y83" s="1083"/>
      <c r="Z83" s="1083"/>
      <c r="AA83" s="1083"/>
      <c r="AB83" s="1083"/>
      <c r="AC83" s="1083"/>
      <c r="AD83" s="1083"/>
      <c r="AE83" s="1083"/>
      <c r="AF83" s="1083"/>
      <c r="AG83" s="1083"/>
      <c r="AH83" s="1083"/>
      <c r="AI83" s="1083"/>
      <c r="AJ83" s="1083"/>
      <c r="AK83" s="1083"/>
      <c r="AL83" s="1083"/>
      <c r="AM83" s="1083"/>
      <c r="AN83" s="1083"/>
      <c r="AO83" s="1083"/>
      <c r="AP83" s="1083"/>
    </row>
    <row r="84" spans="1:42">
      <c r="A84" s="1083"/>
      <c r="B84" s="1083"/>
      <c r="C84" s="1083"/>
      <c r="D84" s="1083"/>
      <c r="E84" s="1083"/>
      <c r="F84" s="1083"/>
      <c r="G84" s="1083"/>
      <c r="H84" s="1083"/>
      <c r="I84" s="1083"/>
      <c r="J84" s="1083"/>
      <c r="K84" s="1083"/>
      <c r="L84" s="1083"/>
      <c r="M84" s="1083"/>
      <c r="N84" s="1083"/>
      <c r="O84" s="1083"/>
      <c r="P84" s="1083"/>
      <c r="Q84" s="1083"/>
      <c r="R84" s="1083"/>
      <c r="S84" s="1083"/>
      <c r="T84" s="1083"/>
      <c r="U84" s="1083"/>
      <c r="V84" s="1083"/>
      <c r="W84" s="1083"/>
      <c r="X84" s="1083"/>
      <c r="Y84" s="1083"/>
      <c r="Z84" s="1083"/>
      <c r="AA84" s="1083"/>
      <c r="AB84" s="1083"/>
      <c r="AC84" s="1083"/>
      <c r="AD84" s="1083"/>
      <c r="AE84" s="1083"/>
      <c r="AF84" s="1083"/>
      <c r="AG84" s="1083"/>
      <c r="AH84" s="1083"/>
      <c r="AI84" s="1083"/>
      <c r="AJ84" s="1083"/>
      <c r="AK84" s="1083"/>
      <c r="AL84" s="1083"/>
      <c r="AM84" s="1083"/>
      <c r="AN84" s="1083"/>
      <c r="AO84" s="1083"/>
      <c r="AP84" s="1083"/>
    </row>
    <row r="85" spans="1:42">
      <c r="A85" s="1083"/>
      <c r="B85" s="1083"/>
      <c r="C85" s="1083"/>
      <c r="D85" s="1083"/>
      <c r="E85" s="1083"/>
      <c r="F85" s="1083"/>
      <c r="G85" s="1083"/>
      <c r="H85" s="1083"/>
      <c r="I85" s="1083"/>
      <c r="J85" s="1083"/>
      <c r="K85" s="1083"/>
      <c r="L85" s="1083"/>
      <c r="M85" s="1083"/>
      <c r="N85" s="1083"/>
      <c r="O85" s="1083"/>
      <c r="P85" s="1083"/>
      <c r="Q85" s="1083"/>
      <c r="R85" s="1083"/>
      <c r="S85" s="1083"/>
      <c r="T85" s="1083"/>
      <c r="U85" s="1083"/>
      <c r="V85" s="1083"/>
      <c r="W85" s="1083"/>
      <c r="X85" s="1083"/>
      <c r="Y85" s="1083"/>
      <c r="Z85" s="1083"/>
      <c r="AA85" s="1083"/>
      <c r="AB85" s="1083"/>
      <c r="AC85" s="1083"/>
      <c r="AD85" s="1083"/>
      <c r="AE85" s="1083"/>
      <c r="AF85" s="1083"/>
      <c r="AG85" s="1083"/>
      <c r="AH85" s="1083"/>
      <c r="AI85" s="1083"/>
      <c r="AJ85" s="1083"/>
      <c r="AK85" s="1083"/>
      <c r="AL85" s="1083"/>
      <c r="AM85" s="1083"/>
      <c r="AN85" s="1083"/>
      <c r="AO85" s="1083"/>
      <c r="AP85" s="1083"/>
    </row>
    <row r="86" spans="1:42">
      <c r="A86" s="1083"/>
      <c r="B86" s="1083"/>
      <c r="C86" s="1083"/>
      <c r="D86" s="1083"/>
      <c r="E86" s="1083"/>
      <c r="F86" s="1083"/>
      <c r="G86" s="1083"/>
      <c r="H86" s="1083"/>
      <c r="I86" s="1083"/>
      <c r="J86" s="1083"/>
      <c r="K86" s="1083"/>
      <c r="L86" s="1083"/>
      <c r="M86" s="1083"/>
      <c r="N86" s="1083"/>
      <c r="O86" s="1083"/>
      <c r="P86" s="1083"/>
      <c r="Q86" s="1083"/>
      <c r="R86" s="1083"/>
      <c r="S86" s="1083"/>
      <c r="T86" s="1083"/>
      <c r="U86" s="1083"/>
      <c r="V86" s="1083"/>
      <c r="W86" s="1083"/>
      <c r="X86" s="1083"/>
      <c r="Y86" s="1083"/>
      <c r="Z86" s="1083"/>
      <c r="AA86" s="1083"/>
      <c r="AB86" s="1083"/>
      <c r="AC86" s="1083"/>
      <c r="AD86" s="1083"/>
      <c r="AE86" s="1083"/>
      <c r="AF86" s="1083"/>
      <c r="AG86" s="1083"/>
      <c r="AH86" s="1083"/>
      <c r="AI86" s="1083"/>
      <c r="AJ86" s="1083"/>
      <c r="AK86" s="1083"/>
      <c r="AL86" s="1083"/>
      <c r="AM86" s="1083"/>
      <c r="AN86" s="1083"/>
      <c r="AO86" s="1083"/>
      <c r="AP86" s="1083"/>
    </row>
    <row r="87" spans="1:42">
      <c r="A87" s="1083"/>
      <c r="B87" s="1083"/>
      <c r="C87" s="1083"/>
      <c r="D87" s="1083"/>
      <c r="E87" s="1083"/>
      <c r="F87" s="1083"/>
      <c r="G87" s="1083"/>
      <c r="H87" s="1083"/>
      <c r="I87" s="1083"/>
      <c r="J87" s="1083"/>
      <c r="K87" s="1083"/>
      <c r="L87" s="1083"/>
      <c r="M87" s="1083"/>
      <c r="N87" s="1083"/>
      <c r="O87" s="1083"/>
      <c r="P87" s="1083"/>
      <c r="Q87" s="1083"/>
      <c r="R87" s="1083"/>
      <c r="S87" s="1083"/>
      <c r="T87" s="1083"/>
      <c r="U87" s="1083"/>
      <c r="V87" s="1083"/>
      <c r="W87" s="1083"/>
      <c r="X87" s="1083"/>
      <c r="Y87" s="1083"/>
      <c r="Z87" s="1083"/>
      <c r="AA87" s="1083"/>
      <c r="AB87" s="1083"/>
      <c r="AC87" s="1083"/>
      <c r="AD87" s="1083"/>
      <c r="AE87" s="1083"/>
      <c r="AF87" s="1083"/>
      <c r="AG87" s="1083"/>
      <c r="AH87" s="1083"/>
      <c r="AI87" s="1083"/>
      <c r="AJ87" s="1083"/>
      <c r="AK87" s="1083"/>
      <c r="AL87" s="1083"/>
      <c r="AM87" s="1083"/>
      <c r="AN87" s="1083"/>
      <c r="AO87" s="1083"/>
      <c r="AP87" s="1083"/>
    </row>
    <row r="88" spans="1:42">
      <c r="A88" s="1083"/>
      <c r="B88" s="1083"/>
      <c r="C88" s="1083"/>
      <c r="D88" s="1083"/>
      <c r="E88" s="1083"/>
      <c r="F88" s="1083"/>
      <c r="G88" s="1083"/>
      <c r="H88" s="1083"/>
      <c r="I88" s="1083"/>
      <c r="J88" s="1083"/>
      <c r="K88" s="1083"/>
      <c r="L88" s="1083"/>
      <c r="M88" s="1083"/>
      <c r="N88" s="1083"/>
      <c r="O88" s="1083"/>
      <c r="P88" s="1083"/>
      <c r="Q88" s="1083"/>
      <c r="R88" s="1083"/>
      <c r="S88" s="1083"/>
      <c r="T88" s="1083"/>
      <c r="U88" s="1083"/>
      <c r="V88" s="1083"/>
      <c r="W88" s="1083"/>
      <c r="X88" s="1083"/>
      <c r="Y88" s="1083"/>
      <c r="Z88" s="1083"/>
      <c r="AA88" s="1083"/>
      <c r="AB88" s="1083"/>
      <c r="AC88" s="1083"/>
      <c r="AD88" s="1083"/>
      <c r="AE88" s="1083"/>
      <c r="AF88" s="1083"/>
      <c r="AG88" s="1083"/>
      <c r="AH88" s="1083"/>
      <c r="AI88" s="1083"/>
      <c r="AJ88" s="1083"/>
      <c r="AK88" s="1083"/>
      <c r="AL88" s="1083"/>
      <c r="AM88" s="1083"/>
      <c r="AN88" s="1083"/>
      <c r="AO88" s="1083"/>
      <c r="AP88" s="1083"/>
    </row>
    <row r="89" spans="1:42">
      <c r="A89" s="1083"/>
      <c r="B89" s="1083"/>
      <c r="C89" s="1083"/>
      <c r="D89" s="1083"/>
      <c r="E89" s="1083"/>
      <c r="F89" s="1083"/>
      <c r="G89" s="1083"/>
      <c r="H89" s="1083"/>
      <c r="I89" s="1083"/>
      <c r="J89" s="1083"/>
      <c r="K89" s="1083"/>
      <c r="L89" s="1083"/>
      <c r="M89" s="1083"/>
      <c r="N89" s="1083"/>
      <c r="O89" s="1083"/>
      <c r="P89" s="1083"/>
      <c r="Q89" s="1083"/>
      <c r="R89" s="1083"/>
      <c r="S89" s="1083"/>
      <c r="T89" s="1083"/>
      <c r="U89" s="1083"/>
      <c r="V89" s="1083"/>
      <c r="W89" s="1083"/>
      <c r="X89" s="1083"/>
      <c r="Y89" s="1083"/>
      <c r="Z89" s="1083"/>
      <c r="AA89" s="1083"/>
      <c r="AB89" s="1083"/>
      <c r="AC89" s="1083"/>
      <c r="AD89" s="1083"/>
      <c r="AE89" s="1083"/>
      <c r="AF89" s="1083"/>
      <c r="AG89" s="1083"/>
      <c r="AH89" s="1083"/>
      <c r="AI89" s="1083"/>
      <c r="AJ89" s="1083"/>
      <c r="AK89" s="1083"/>
      <c r="AL89" s="1083"/>
      <c r="AM89" s="1083"/>
      <c r="AN89" s="1083"/>
      <c r="AO89" s="1083"/>
      <c r="AP89" s="1083"/>
    </row>
    <row r="90" spans="1:42">
      <c r="A90" s="1083"/>
      <c r="B90" s="1083"/>
      <c r="C90" s="1083"/>
      <c r="D90" s="1083"/>
      <c r="E90" s="1083"/>
      <c r="F90" s="1083"/>
      <c r="G90" s="1083"/>
      <c r="H90" s="1083"/>
      <c r="I90" s="1083"/>
      <c r="J90" s="1083"/>
      <c r="K90" s="1083"/>
      <c r="L90" s="1083"/>
      <c r="M90" s="1083"/>
      <c r="N90" s="1083"/>
      <c r="O90" s="1083"/>
      <c r="P90" s="1083"/>
      <c r="Q90" s="1083"/>
      <c r="R90" s="1083"/>
      <c r="S90" s="1083"/>
      <c r="T90" s="1083"/>
      <c r="U90" s="1083"/>
      <c r="V90" s="1083"/>
      <c r="W90" s="1083"/>
      <c r="X90" s="1083"/>
      <c r="Y90" s="1083"/>
      <c r="Z90" s="1083"/>
      <c r="AA90" s="1083"/>
      <c r="AB90" s="1083"/>
      <c r="AC90" s="1083"/>
      <c r="AD90" s="1083"/>
      <c r="AE90" s="1083"/>
      <c r="AF90" s="1083"/>
      <c r="AG90" s="1083"/>
      <c r="AH90" s="1083"/>
      <c r="AI90" s="1083"/>
      <c r="AJ90" s="1083"/>
      <c r="AK90" s="1083"/>
      <c r="AL90" s="1083"/>
      <c r="AM90" s="1083"/>
      <c r="AN90" s="1083"/>
      <c r="AO90" s="1083"/>
      <c r="AP90" s="1083"/>
    </row>
    <row r="91" spans="1:42">
      <c r="A91" s="1083"/>
      <c r="B91" s="1083"/>
      <c r="C91" s="1083"/>
      <c r="D91" s="1083"/>
      <c r="E91" s="1083"/>
      <c r="F91" s="1083"/>
      <c r="G91" s="1083"/>
      <c r="H91" s="1083"/>
      <c r="I91" s="1083"/>
      <c r="J91" s="1083"/>
      <c r="K91" s="1083"/>
      <c r="L91" s="1083"/>
      <c r="M91" s="1083"/>
      <c r="N91" s="1083"/>
      <c r="O91" s="1083"/>
      <c r="P91" s="1083"/>
      <c r="Q91" s="1083"/>
      <c r="R91" s="1083"/>
      <c r="S91" s="1083"/>
      <c r="T91" s="1083"/>
      <c r="U91" s="1083"/>
      <c r="V91" s="1083"/>
      <c r="W91" s="1083"/>
      <c r="X91" s="1083"/>
      <c r="Y91" s="1083"/>
      <c r="Z91" s="1083"/>
      <c r="AA91" s="1083"/>
      <c r="AB91" s="1083"/>
      <c r="AC91" s="1083"/>
      <c r="AD91" s="1083"/>
      <c r="AE91" s="1083"/>
      <c r="AF91" s="1083"/>
      <c r="AG91" s="1083"/>
      <c r="AH91" s="1083"/>
      <c r="AI91" s="1083"/>
      <c r="AJ91" s="1083"/>
      <c r="AK91" s="1083"/>
      <c r="AL91" s="1083"/>
      <c r="AM91" s="1083"/>
      <c r="AN91" s="1083"/>
      <c r="AO91" s="1083"/>
      <c r="AP91" s="1083"/>
    </row>
    <row r="92" spans="1:42">
      <c r="A92" s="1083"/>
      <c r="B92" s="1083"/>
      <c r="C92" s="1083"/>
      <c r="D92" s="1083"/>
      <c r="E92" s="1083"/>
      <c r="F92" s="1083"/>
      <c r="G92" s="1083"/>
      <c r="H92" s="1083"/>
      <c r="I92" s="1083"/>
      <c r="J92" s="1083"/>
      <c r="K92" s="1083"/>
      <c r="L92" s="1083"/>
      <c r="M92" s="1083"/>
      <c r="N92" s="1083"/>
      <c r="O92" s="1083"/>
      <c r="P92" s="1083"/>
      <c r="Q92" s="1083"/>
      <c r="R92" s="1083"/>
      <c r="S92" s="1083"/>
      <c r="T92" s="1083"/>
      <c r="U92" s="1083"/>
      <c r="V92" s="1083"/>
      <c r="W92" s="1083"/>
      <c r="X92" s="1083"/>
      <c r="Y92" s="1083"/>
      <c r="Z92" s="1083"/>
      <c r="AA92" s="1083"/>
      <c r="AB92" s="1083"/>
      <c r="AC92" s="1083"/>
      <c r="AD92" s="1083"/>
      <c r="AE92" s="1083"/>
      <c r="AF92" s="1083"/>
      <c r="AG92" s="1083"/>
      <c r="AH92" s="1083"/>
      <c r="AI92" s="1083"/>
      <c r="AJ92" s="1083"/>
      <c r="AK92" s="1083"/>
      <c r="AL92" s="1083"/>
      <c r="AM92" s="1083"/>
      <c r="AN92" s="1083"/>
      <c r="AO92" s="1083"/>
      <c r="AP92" s="1083"/>
    </row>
    <row r="93" spans="1:42">
      <c r="A93" s="1083"/>
      <c r="B93" s="1083"/>
      <c r="C93" s="1083"/>
      <c r="D93" s="1083"/>
      <c r="E93" s="1083"/>
      <c r="F93" s="1083"/>
      <c r="G93" s="1083"/>
      <c r="H93" s="1083"/>
      <c r="I93" s="1083"/>
      <c r="J93" s="1083"/>
      <c r="K93" s="1083"/>
      <c r="L93" s="1083"/>
      <c r="M93" s="1083"/>
      <c r="N93" s="1083"/>
      <c r="O93" s="1083"/>
      <c r="P93" s="1083"/>
      <c r="Q93" s="1083"/>
      <c r="R93" s="1083"/>
      <c r="S93" s="1083"/>
      <c r="T93" s="1083"/>
      <c r="U93" s="1083"/>
      <c r="V93" s="1083"/>
      <c r="W93" s="1083"/>
      <c r="X93" s="1083"/>
      <c r="Y93" s="1083"/>
      <c r="Z93" s="1083"/>
      <c r="AA93" s="1083"/>
      <c r="AB93" s="1083"/>
      <c r="AC93" s="1083"/>
      <c r="AD93" s="1083"/>
      <c r="AE93" s="1083"/>
      <c r="AF93" s="1083"/>
      <c r="AG93" s="1083"/>
      <c r="AH93" s="1083"/>
      <c r="AI93" s="1083"/>
      <c r="AJ93" s="1083"/>
      <c r="AK93" s="1083"/>
      <c r="AL93" s="1083"/>
      <c r="AM93" s="1083"/>
      <c r="AN93" s="1083"/>
      <c r="AO93" s="1083"/>
      <c r="AP93" s="1083"/>
    </row>
    <row r="94" spans="1:42">
      <c r="A94" s="1083"/>
      <c r="B94" s="1083"/>
      <c r="C94" s="1083"/>
      <c r="D94" s="1083"/>
      <c r="E94" s="1083"/>
      <c r="F94" s="1083"/>
      <c r="G94" s="1083"/>
      <c r="H94" s="1083"/>
      <c r="I94" s="1083"/>
      <c r="J94" s="1083"/>
      <c r="K94" s="1083"/>
      <c r="L94" s="1083"/>
      <c r="M94" s="1083"/>
      <c r="N94" s="1083"/>
      <c r="O94" s="1083"/>
      <c r="P94" s="1083"/>
      <c r="Q94" s="1083"/>
      <c r="R94" s="1083"/>
      <c r="S94" s="1083"/>
      <c r="T94" s="1083"/>
      <c r="U94" s="1083"/>
      <c r="V94" s="1083"/>
      <c r="W94" s="1083"/>
      <c r="X94" s="1083"/>
      <c r="Y94" s="1083"/>
      <c r="Z94" s="1083"/>
      <c r="AA94" s="1083"/>
      <c r="AB94" s="1083"/>
      <c r="AC94" s="1083"/>
      <c r="AD94" s="1083"/>
      <c r="AE94" s="1083"/>
      <c r="AF94" s="1083"/>
      <c r="AG94" s="1083"/>
      <c r="AH94" s="1083"/>
      <c r="AI94" s="1083"/>
      <c r="AJ94" s="1083"/>
      <c r="AK94" s="1083"/>
      <c r="AL94" s="1083"/>
      <c r="AM94" s="1083"/>
      <c r="AN94" s="1083"/>
      <c r="AO94" s="1083"/>
      <c r="AP94" s="1083"/>
    </row>
    <row r="95" spans="1:42">
      <c r="A95" s="1083"/>
      <c r="B95" s="1083"/>
      <c r="C95" s="1083"/>
      <c r="D95" s="1083"/>
      <c r="E95" s="1083"/>
      <c r="F95" s="1083"/>
      <c r="G95" s="1083"/>
      <c r="H95" s="1083"/>
      <c r="I95" s="1083"/>
      <c r="J95" s="1083"/>
      <c r="K95" s="1083"/>
      <c r="L95" s="1083"/>
      <c r="M95" s="1083"/>
      <c r="N95" s="1083"/>
      <c r="O95" s="1083"/>
      <c r="P95" s="1083"/>
      <c r="Q95" s="1083"/>
      <c r="R95" s="1083"/>
      <c r="S95" s="1083"/>
      <c r="T95" s="1083"/>
      <c r="U95" s="1083"/>
      <c r="V95" s="1083"/>
      <c r="W95" s="1083"/>
      <c r="X95" s="1083"/>
      <c r="Y95" s="1083"/>
      <c r="Z95" s="1083"/>
      <c r="AA95" s="1083"/>
      <c r="AB95" s="1083"/>
      <c r="AC95" s="1083"/>
      <c r="AD95" s="1083"/>
      <c r="AE95" s="1083"/>
      <c r="AF95" s="1083"/>
      <c r="AG95" s="1083"/>
      <c r="AH95" s="1083"/>
      <c r="AI95" s="1083"/>
      <c r="AJ95" s="1083"/>
      <c r="AK95" s="1083"/>
      <c r="AL95" s="1083"/>
      <c r="AM95" s="1083"/>
      <c r="AN95" s="1083"/>
      <c r="AO95" s="1083"/>
      <c r="AP95" s="1083"/>
    </row>
    <row r="96" spans="1:42">
      <c r="A96" s="1083"/>
      <c r="B96" s="1083"/>
      <c r="C96" s="1083"/>
      <c r="D96" s="1083"/>
      <c r="E96" s="1083"/>
      <c r="F96" s="1083"/>
      <c r="G96" s="1083"/>
      <c r="H96" s="1083"/>
      <c r="I96" s="1083"/>
      <c r="J96" s="1083"/>
      <c r="K96" s="1083"/>
      <c r="L96" s="1083"/>
      <c r="M96" s="1083"/>
      <c r="N96" s="1083"/>
      <c r="O96" s="1083"/>
      <c r="P96" s="1083"/>
      <c r="Q96" s="1083"/>
      <c r="R96" s="1083"/>
      <c r="S96" s="1083"/>
      <c r="T96" s="1083"/>
      <c r="U96" s="1083"/>
      <c r="V96" s="1083"/>
      <c r="W96" s="1083"/>
      <c r="X96" s="1083"/>
      <c r="Y96" s="1083"/>
      <c r="Z96" s="1083"/>
      <c r="AA96" s="1083"/>
      <c r="AB96" s="1083"/>
      <c r="AC96" s="1083"/>
      <c r="AD96" s="1083"/>
      <c r="AE96" s="1083"/>
      <c r="AF96" s="1083"/>
      <c r="AG96" s="1083"/>
      <c r="AH96" s="1083"/>
      <c r="AI96" s="1083"/>
      <c r="AJ96" s="1083"/>
      <c r="AK96" s="1083"/>
      <c r="AL96" s="1083"/>
      <c r="AM96" s="1083"/>
      <c r="AN96" s="1083"/>
      <c r="AO96" s="1083"/>
      <c r="AP96" s="1083"/>
    </row>
    <row r="97" spans="1:42">
      <c r="A97" s="1083"/>
      <c r="B97" s="1083"/>
      <c r="C97" s="1083"/>
      <c r="D97" s="1083"/>
      <c r="E97" s="1083"/>
      <c r="F97" s="1083"/>
      <c r="G97" s="1083"/>
      <c r="H97" s="1083"/>
      <c r="I97" s="1083"/>
      <c r="J97" s="1083"/>
      <c r="K97" s="1083"/>
      <c r="L97" s="1083"/>
      <c r="M97" s="1083"/>
      <c r="N97" s="1083"/>
      <c r="O97" s="1083"/>
      <c r="P97" s="1083"/>
      <c r="Q97" s="1083"/>
      <c r="R97" s="1083"/>
      <c r="S97" s="1083"/>
      <c r="T97" s="1083"/>
      <c r="U97" s="1083"/>
      <c r="V97" s="1083"/>
      <c r="W97" s="1083"/>
      <c r="X97" s="1083"/>
      <c r="Y97" s="1083"/>
      <c r="Z97" s="1083"/>
      <c r="AA97" s="1083"/>
      <c r="AB97" s="1083"/>
      <c r="AC97" s="1083"/>
      <c r="AD97" s="1083"/>
      <c r="AE97" s="1083"/>
      <c r="AF97" s="1083"/>
      <c r="AG97" s="1083"/>
      <c r="AH97" s="1083"/>
      <c r="AI97" s="1083"/>
      <c r="AJ97" s="1083"/>
      <c r="AK97" s="1083"/>
      <c r="AL97" s="1083"/>
      <c r="AM97" s="1083"/>
      <c r="AN97" s="1083"/>
      <c r="AO97" s="1083"/>
      <c r="AP97" s="1083"/>
    </row>
    <row r="98" spans="1:42">
      <c r="A98" s="1083"/>
      <c r="B98" s="1083"/>
      <c r="C98" s="1083"/>
      <c r="D98" s="1083"/>
      <c r="E98" s="1083"/>
      <c r="F98" s="1083"/>
      <c r="G98" s="1083"/>
      <c r="H98" s="1083"/>
      <c r="I98" s="1083"/>
      <c r="J98" s="1083"/>
      <c r="K98" s="1083"/>
      <c r="L98" s="1083"/>
      <c r="M98" s="1083"/>
      <c r="N98" s="1083"/>
      <c r="O98" s="1083"/>
      <c r="P98" s="1083"/>
      <c r="Q98" s="1083"/>
      <c r="R98" s="1083"/>
      <c r="S98" s="1083"/>
      <c r="T98" s="1083"/>
      <c r="U98" s="1083"/>
      <c r="V98" s="1083"/>
      <c r="W98" s="1083"/>
      <c r="X98" s="1083"/>
      <c r="Y98" s="1083"/>
      <c r="Z98" s="1083"/>
      <c r="AA98" s="1083"/>
      <c r="AB98" s="1083"/>
      <c r="AC98" s="1083"/>
      <c r="AD98" s="1083"/>
      <c r="AE98" s="1083"/>
      <c r="AF98" s="1083"/>
      <c r="AG98" s="1083"/>
      <c r="AH98" s="1083"/>
      <c r="AI98" s="1083"/>
      <c r="AJ98" s="1083"/>
      <c r="AK98" s="1083"/>
      <c r="AL98" s="1083"/>
      <c r="AM98" s="1083"/>
      <c r="AN98" s="1083"/>
      <c r="AO98" s="1083"/>
      <c r="AP98" s="1083"/>
    </row>
    <row r="99" spans="1:42">
      <c r="A99" s="1083"/>
      <c r="B99" s="1083"/>
      <c r="C99" s="1083"/>
      <c r="D99" s="1083"/>
      <c r="E99" s="1083"/>
      <c r="F99" s="1083"/>
      <c r="G99" s="1083"/>
      <c r="H99" s="1083"/>
      <c r="I99" s="1083"/>
      <c r="J99" s="1083"/>
      <c r="K99" s="1083"/>
      <c r="L99" s="1083"/>
      <c r="M99" s="1083"/>
      <c r="N99" s="1083"/>
      <c r="O99" s="1083"/>
      <c r="P99" s="1083"/>
      <c r="Q99" s="1083"/>
      <c r="R99" s="1083"/>
      <c r="S99" s="1083"/>
      <c r="T99" s="1083"/>
      <c r="U99" s="1083"/>
      <c r="V99" s="1083"/>
      <c r="W99" s="1083"/>
      <c r="X99" s="1083"/>
      <c r="Y99" s="1083"/>
      <c r="Z99" s="1083"/>
      <c r="AA99" s="1083"/>
      <c r="AB99" s="1083"/>
      <c r="AC99" s="1083"/>
      <c r="AD99" s="1083"/>
      <c r="AE99" s="1083"/>
      <c r="AF99" s="1083"/>
      <c r="AG99" s="1083"/>
      <c r="AH99" s="1083"/>
      <c r="AI99" s="1083"/>
      <c r="AJ99" s="1083"/>
      <c r="AK99" s="1083"/>
      <c r="AL99" s="1083"/>
      <c r="AM99" s="1083"/>
      <c r="AN99" s="1083"/>
      <c r="AO99" s="1083"/>
      <c r="AP99" s="1083"/>
    </row>
    <row r="100" spans="1:42">
      <c r="A100" s="1083"/>
      <c r="B100" s="1083"/>
      <c r="C100" s="1083"/>
      <c r="D100" s="1083"/>
      <c r="E100" s="1083"/>
      <c r="F100" s="1083"/>
      <c r="G100" s="1083"/>
      <c r="H100" s="1083"/>
      <c r="I100" s="1083"/>
      <c r="J100" s="1083"/>
      <c r="K100" s="1083"/>
      <c r="L100" s="1083"/>
      <c r="M100" s="1083"/>
      <c r="N100" s="1083"/>
      <c r="O100" s="1083"/>
      <c r="P100" s="1083"/>
      <c r="Q100" s="1083"/>
      <c r="R100" s="1083"/>
      <c r="S100" s="1083"/>
      <c r="T100" s="1083"/>
      <c r="U100" s="1083"/>
      <c r="V100" s="1083"/>
      <c r="W100" s="1083"/>
      <c r="X100" s="1083"/>
      <c r="Y100" s="1083"/>
      <c r="Z100" s="1083"/>
      <c r="AA100" s="1083"/>
      <c r="AB100" s="1083"/>
      <c r="AC100" s="1083"/>
      <c r="AD100" s="1083"/>
      <c r="AE100" s="1083"/>
      <c r="AF100" s="1083"/>
      <c r="AG100" s="1083"/>
      <c r="AH100" s="1083"/>
      <c r="AI100" s="1083"/>
      <c r="AJ100" s="1083"/>
      <c r="AK100" s="1083"/>
      <c r="AL100" s="1083"/>
      <c r="AM100" s="1083"/>
      <c r="AN100" s="1083"/>
      <c r="AO100" s="1083"/>
      <c r="AP100" s="1083"/>
    </row>
    <row r="101" spans="1:42">
      <c r="A101" s="1083"/>
      <c r="B101" s="1083"/>
      <c r="C101" s="1083"/>
      <c r="D101" s="1083"/>
      <c r="E101" s="1083"/>
      <c r="F101" s="1083"/>
      <c r="G101" s="1083"/>
      <c r="H101" s="1083"/>
      <c r="I101" s="1083"/>
      <c r="J101" s="1083"/>
      <c r="K101" s="1083"/>
      <c r="L101" s="1083"/>
      <c r="M101" s="1083"/>
      <c r="N101" s="1083"/>
      <c r="O101" s="1083"/>
      <c r="P101" s="1083"/>
      <c r="Q101" s="1083"/>
      <c r="R101" s="1083"/>
      <c r="S101" s="1083"/>
      <c r="T101" s="1083"/>
      <c r="U101" s="1083"/>
      <c r="V101" s="1083"/>
      <c r="W101" s="1083"/>
      <c r="X101" s="1083"/>
      <c r="Y101" s="1083"/>
      <c r="Z101" s="1083"/>
      <c r="AA101" s="1083"/>
      <c r="AB101" s="1083"/>
      <c r="AC101" s="1083"/>
      <c r="AD101" s="1083"/>
      <c r="AE101" s="1083"/>
      <c r="AF101" s="1083"/>
      <c r="AG101" s="1083"/>
      <c r="AH101" s="1083"/>
      <c r="AI101" s="1083"/>
      <c r="AJ101" s="1083"/>
      <c r="AK101" s="1083"/>
      <c r="AL101" s="1083"/>
      <c r="AM101" s="1083"/>
      <c r="AN101" s="1083"/>
      <c r="AO101" s="1083"/>
      <c r="AP101" s="1083"/>
    </row>
    <row r="102" spans="1:42">
      <c r="A102" s="1083"/>
      <c r="B102" s="1083"/>
      <c r="C102" s="1083"/>
      <c r="D102" s="1083"/>
      <c r="E102" s="1083"/>
      <c r="F102" s="1083"/>
      <c r="G102" s="1083"/>
      <c r="H102" s="1083"/>
      <c r="I102" s="1083"/>
      <c r="J102" s="1083"/>
      <c r="K102" s="1083"/>
      <c r="L102" s="1083"/>
      <c r="M102" s="1083"/>
      <c r="N102" s="1083"/>
      <c r="O102" s="1083"/>
      <c r="P102" s="1083"/>
      <c r="Q102" s="1083"/>
      <c r="R102" s="1083"/>
      <c r="S102" s="1083"/>
      <c r="T102" s="1083"/>
      <c r="U102" s="1083"/>
      <c r="V102" s="1083"/>
      <c r="W102" s="1083"/>
      <c r="X102" s="1083"/>
      <c r="Y102" s="1083"/>
      <c r="Z102" s="1083"/>
      <c r="AA102" s="1083"/>
      <c r="AB102" s="1083"/>
      <c r="AC102" s="1083"/>
      <c r="AD102" s="1083"/>
      <c r="AE102" s="1083"/>
      <c r="AF102" s="1083"/>
      <c r="AG102" s="1083"/>
      <c r="AH102" s="1083"/>
      <c r="AI102" s="1083"/>
      <c r="AJ102" s="1083"/>
      <c r="AK102" s="1083"/>
      <c r="AL102" s="1083"/>
      <c r="AM102" s="1083"/>
      <c r="AN102" s="1083"/>
      <c r="AO102" s="1083"/>
      <c r="AP102" s="1083"/>
    </row>
    <row r="103" spans="1:42">
      <c r="A103" s="1083"/>
      <c r="B103" s="1083"/>
      <c r="C103" s="1083"/>
      <c r="D103" s="1083"/>
      <c r="E103" s="1083"/>
      <c r="F103" s="1083"/>
      <c r="G103" s="1083"/>
      <c r="H103" s="1083"/>
      <c r="I103" s="1083"/>
      <c r="J103" s="1083"/>
      <c r="K103" s="1083"/>
      <c r="L103" s="1083"/>
      <c r="M103" s="1083"/>
      <c r="N103" s="1083"/>
      <c r="O103" s="1083"/>
      <c r="P103" s="1083"/>
      <c r="Q103" s="1083"/>
      <c r="R103" s="1083"/>
      <c r="S103" s="1083"/>
      <c r="T103" s="1083"/>
      <c r="U103" s="1083"/>
      <c r="V103" s="1083"/>
      <c r="W103" s="1083"/>
      <c r="X103" s="1083"/>
      <c r="Y103" s="1083"/>
      <c r="Z103" s="1083"/>
      <c r="AA103" s="1083"/>
      <c r="AB103" s="1083"/>
      <c r="AC103" s="1083"/>
      <c r="AD103" s="1083"/>
      <c r="AE103" s="1083"/>
      <c r="AF103" s="1083"/>
      <c r="AG103" s="1083"/>
      <c r="AH103" s="1083"/>
      <c r="AI103" s="1083"/>
      <c r="AJ103" s="1083"/>
      <c r="AK103" s="1083"/>
      <c r="AL103" s="1083"/>
      <c r="AM103" s="1083"/>
      <c r="AN103" s="1083"/>
      <c r="AO103" s="1083"/>
      <c r="AP103" s="1083"/>
    </row>
    <row r="104" spans="1:42">
      <c r="A104" s="1083"/>
      <c r="B104" s="1083"/>
      <c r="C104" s="1083"/>
      <c r="D104" s="1083"/>
      <c r="E104" s="1083"/>
      <c r="F104" s="1083"/>
      <c r="G104" s="1083"/>
      <c r="H104" s="1083"/>
      <c r="I104" s="1083"/>
      <c r="J104" s="1083"/>
      <c r="K104" s="1083"/>
      <c r="L104" s="1083"/>
      <c r="M104" s="1083"/>
      <c r="N104" s="1083"/>
      <c r="O104" s="1083"/>
      <c r="P104" s="1083"/>
      <c r="Q104" s="1083"/>
      <c r="R104" s="1083"/>
      <c r="S104" s="1083"/>
      <c r="T104" s="1083"/>
      <c r="U104" s="1083"/>
      <c r="V104" s="1083"/>
      <c r="W104" s="1083"/>
      <c r="X104" s="1083"/>
      <c r="Y104" s="1083"/>
      <c r="Z104" s="1083"/>
      <c r="AA104" s="1083"/>
      <c r="AB104" s="1083"/>
      <c r="AC104" s="1083"/>
      <c r="AD104" s="1083"/>
      <c r="AE104" s="1083"/>
      <c r="AF104" s="1083"/>
      <c r="AG104" s="1083"/>
      <c r="AH104" s="1083"/>
      <c r="AI104" s="1083"/>
      <c r="AJ104" s="1083"/>
      <c r="AK104" s="1083"/>
      <c r="AL104" s="1083"/>
      <c r="AM104" s="1083"/>
      <c r="AN104" s="1083"/>
      <c r="AO104" s="1083"/>
      <c r="AP104" s="1083"/>
    </row>
    <row r="105" spans="1:42">
      <c r="A105" s="1083"/>
      <c r="B105" s="1083"/>
      <c r="C105" s="1083"/>
      <c r="D105" s="1083"/>
      <c r="E105" s="1083"/>
      <c r="F105" s="1083"/>
      <c r="G105" s="1083"/>
      <c r="H105" s="1083"/>
      <c r="I105" s="1083"/>
      <c r="J105" s="1083"/>
      <c r="K105" s="1083"/>
      <c r="L105" s="1083"/>
      <c r="M105" s="1083"/>
      <c r="N105" s="1083"/>
      <c r="O105" s="1083"/>
      <c r="P105" s="1083"/>
      <c r="Q105" s="1083"/>
      <c r="R105" s="1083"/>
      <c r="S105" s="1083"/>
      <c r="T105" s="1083"/>
      <c r="U105" s="1083"/>
      <c r="V105" s="1083"/>
      <c r="W105" s="1083"/>
      <c r="X105" s="1083"/>
      <c r="Y105" s="1083"/>
      <c r="Z105" s="1083"/>
      <c r="AA105" s="1083"/>
      <c r="AB105" s="1083"/>
      <c r="AC105" s="1083"/>
      <c r="AD105" s="1083"/>
      <c r="AE105" s="1083"/>
      <c r="AF105" s="1083"/>
      <c r="AG105" s="1083"/>
      <c r="AH105" s="1083"/>
      <c r="AI105" s="1083"/>
      <c r="AJ105" s="1083"/>
      <c r="AK105" s="1083"/>
      <c r="AL105" s="1083"/>
      <c r="AM105" s="1083"/>
      <c r="AN105" s="1083"/>
      <c r="AO105" s="1083"/>
      <c r="AP105" s="1083"/>
    </row>
    <row r="106" spans="1:42">
      <c r="A106" s="1083"/>
      <c r="B106" s="1083"/>
      <c r="C106" s="1083"/>
      <c r="D106" s="1083"/>
      <c r="E106" s="1083"/>
      <c r="F106" s="1083"/>
      <c r="G106" s="1083"/>
      <c r="H106" s="1083"/>
      <c r="I106" s="1083"/>
      <c r="J106" s="1083"/>
      <c r="K106" s="1083"/>
      <c r="L106" s="1083"/>
      <c r="M106" s="1083"/>
      <c r="N106" s="1083"/>
      <c r="O106" s="1083"/>
      <c r="P106" s="1083"/>
      <c r="Q106" s="1083"/>
      <c r="R106" s="1083"/>
      <c r="S106" s="1083"/>
      <c r="T106" s="1083"/>
      <c r="U106" s="1083"/>
      <c r="V106" s="1083"/>
      <c r="W106" s="1083"/>
      <c r="X106" s="1083"/>
      <c r="Y106" s="1083"/>
      <c r="Z106" s="1083"/>
      <c r="AA106" s="1083"/>
      <c r="AB106" s="1083"/>
      <c r="AC106" s="1083"/>
      <c r="AD106" s="1083"/>
      <c r="AE106" s="1083"/>
      <c r="AF106" s="1083"/>
      <c r="AG106" s="1083"/>
      <c r="AH106" s="1083"/>
      <c r="AI106" s="1083"/>
      <c r="AJ106" s="1083"/>
      <c r="AK106" s="1083"/>
      <c r="AL106" s="1083"/>
      <c r="AM106" s="1083"/>
      <c r="AN106" s="1083"/>
      <c r="AO106" s="1083"/>
      <c r="AP106" s="1083"/>
    </row>
    <row r="107" spans="1:42">
      <c r="A107" s="1083"/>
      <c r="B107" s="1083"/>
      <c r="C107" s="1083"/>
      <c r="D107" s="1083"/>
      <c r="E107" s="1083"/>
      <c r="F107" s="1083"/>
      <c r="G107" s="1083"/>
      <c r="H107" s="1083"/>
      <c r="I107" s="1083"/>
      <c r="J107" s="1083"/>
      <c r="K107" s="1083"/>
      <c r="L107" s="1083"/>
      <c r="M107" s="1083"/>
      <c r="N107" s="1083"/>
      <c r="O107" s="1083"/>
      <c r="P107" s="1083"/>
      <c r="Q107" s="1083"/>
      <c r="R107" s="1083"/>
      <c r="S107" s="1083"/>
      <c r="T107" s="1083"/>
      <c r="U107" s="1083"/>
      <c r="V107" s="1083"/>
      <c r="W107" s="1083"/>
      <c r="X107" s="1083"/>
      <c r="Y107" s="1083"/>
      <c r="Z107" s="1083"/>
      <c r="AA107" s="1083"/>
      <c r="AB107" s="1083"/>
      <c r="AC107" s="1083"/>
      <c r="AD107" s="1083"/>
      <c r="AE107" s="1083"/>
      <c r="AF107" s="1083"/>
      <c r="AG107" s="1083"/>
      <c r="AH107" s="1083"/>
      <c r="AI107" s="1083"/>
      <c r="AJ107" s="1083"/>
      <c r="AK107" s="1083"/>
      <c r="AL107" s="1083"/>
      <c r="AM107" s="1083"/>
      <c r="AN107" s="1083"/>
      <c r="AO107" s="1083"/>
      <c r="AP107" s="1083"/>
    </row>
    <row r="108" spans="1:42">
      <c r="A108" s="1083"/>
      <c r="B108" s="1083"/>
      <c r="C108" s="1083"/>
      <c r="D108" s="1083"/>
      <c r="E108" s="1083"/>
      <c r="F108" s="1083"/>
      <c r="G108" s="1083"/>
      <c r="H108" s="1083"/>
      <c r="I108" s="1083"/>
      <c r="J108" s="1083"/>
      <c r="K108" s="1083"/>
      <c r="L108" s="1083"/>
      <c r="M108" s="1083"/>
      <c r="N108" s="1083"/>
      <c r="O108" s="1083"/>
      <c r="P108" s="1083"/>
      <c r="Q108" s="1083"/>
      <c r="R108" s="1083"/>
      <c r="S108" s="1083"/>
      <c r="T108" s="1083"/>
      <c r="U108" s="1083"/>
      <c r="V108" s="1083"/>
      <c r="W108" s="1083"/>
      <c r="X108" s="1083"/>
      <c r="Y108" s="1083"/>
      <c r="Z108" s="1083"/>
      <c r="AA108" s="1083"/>
      <c r="AB108" s="1083"/>
      <c r="AC108" s="1083"/>
      <c r="AD108" s="1083"/>
      <c r="AE108" s="1083"/>
      <c r="AF108" s="1083"/>
      <c r="AG108" s="1083"/>
      <c r="AH108" s="1083"/>
      <c r="AI108" s="1083"/>
      <c r="AJ108" s="1083"/>
      <c r="AK108" s="1083"/>
      <c r="AL108" s="1083"/>
      <c r="AM108" s="1083"/>
      <c r="AN108" s="1083"/>
      <c r="AO108" s="1083"/>
      <c r="AP108" s="1083"/>
    </row>
    <row r="109" spans="1:42">
      <c r="A109" s="1083"/>
      <c r="B109" s="1083"/>
      <c r="C109" s="1083"/>
      <c r="D109" s="1083"/>
      <c r="E109" s="1083"/>
      <c r="F109" s="1083"/>
      <c r="G109" s="1083"/>
      <c r="H109" s="1083"/>
      <c r="I109" s="1083"/>
      <c r="J109" s="1083"/>
      <c r="K109" s="1083"/>
      <c r="L109" s="1083"/>
      <c r="M109" s="1083"/>
      <c r="N109" s="1083"/>
      <c r="O109" s="1083"/>
      <c r="P109" s="1083"/>
      <c r="Q109" s="1083"/>
      <c r="R109" s="1083"/>
      <c r="S109" s="1083"/>
      <c r="T109" s="1083"/>
      <c r="U109" s="1083"/>
      <c r="V109" s="1083"/>
      <c r="W109" s="1083"/>
      <c r="X109" s="1083"/>
      <c r="Y109" s="1083"/>
      <c r="Z109" s="1083"/>
      <c r="AA109" s="1083"/>
      <c r="AB109" s="1083"/>
      <c r="AC109" s="1083"/>
      <c r="AD109" s="1083"/>
      <c r="AE109" s="1083"/>
      <c r="AF109" s="1083"/>
      <c r="AG109" s="1083"/>
      <c r="AH109" s="1083"/>
      <c r="AI109" s="1083"/>
      <c r="AJ109" s="1083"/>
      <c r="AK109" s="1083"/>
      <c r="AL109" s="1083"/>
      <c r="AM109" s="1083"/>
      <c r="AN109" s="1083"/>
      <c r="AO109" s="1083"/>
      <c r="AP109" s="1083"/>
    </row>
    <row r="110" spans="1:42">
      <c r="A110" s="1083"/>
      <c r="B110" s="1083"/>
      <c r="C110" s="1083"/>
      <c r="D110" s="1083"/>
      <c r="E110" s="1083"/>
      <c r="F110" s="1083"/>
      <c r="G110" s="1083"/>
      <c r="H110" s="1083"/>
      <c r="I110" s="1083"/>
      <c r="J110" s="1083"/>
      <c r="K110" s="1083"/>
      <c r="L110" s="1083"/>
      <c r="M110" s="1083"/>
      <c r="N110" s="1083"/>
      <c r="O110" s="1083"/>
      <c r="P110" s="1083"/>
      <c r="Q110" s="1083"/>
      <c r="R110" s="1083"/>
      <c r="S110" s="1083"/>
      <c r="T110" s="1083"/>
      <c r="U110" s="1083"/>
      <c r="V110" s="1083"/>
      <c r="W110" s="1083"/>
      <c r="X110" s="1083"/>
      <c r="Y110" s="1083"/>
      <c r="Z110" s="1083"/>
      <c r="AA110" s="1083"/>
      <c r="AB110" s="1083"/>
      <c r="AC110" s="1083"/>
      <c r="AD110" s="1083"/>
      <c r="AE110" s="1083"/>
      <c r="AF110" s="1083"/>
      <c r="AG110" s="1083"/>
      <c r="AH110" s="1083"/>
      <c r="AI110" s="1083"/>
      <c r="AJ110" s="1083"/>
      <c r="AK110" s="1083"/>
      <c r="AL110" s="1083"/>
      <c r="AM110" s="1083"/>
      <c r="AN110" s="1083"/>
      <c r="AO110" s="1083"/>
      <c r="AP110" s="1083"/>
    </row>
    <row r="111" spans="1:42">
      <c r="A111" s="1083"/>
      <c r="B111" s="1083"/>
      <c r="C111" s="1083"/>
      <c r="D111" s="1083"/>
      <c r="E111" s="1083"/>
      <c r="F111" s="1083"/>
      <c r="G111" s="1083"/>
      <c r="H111" s="1083"/>
      <c r="I111" s="1083"/>
      <c r="J111" s="1083"/>
      <c r="K111" s="1083"/>
      <c r="L111" s="1083"/>
      <c r="M111" s="1083"/>
      <c r="N111" s="1083"/>
      <c r="O111" s="1083"/>
      <c r="P111" s="1083"/>
      <c r="Q111" s="1083"/>
      <c r="R111" s="1083"/>
      <c r="S111" s="1083"/>
      <c r="T111" s="1083"/>
      <c r="U111" s="1083"/>
      <c r="V111" s="1083"/>
      <c r="W111" s="1083"/>
      <c r="X111" s="1083"/>
      <c r="Y111" s="1083"/>
      <c r="Z111" s="1083"/>
      <c r="AA111" s="1083"/>
      <c r="AB111" s="1083"/>
      <c r="AC111" s="1083"/>
      <c r="AD111" s="1083"/>
      <c r="AE111" s="1083"/>
      <c r="AF111" s="1083"/>
      <c r="AG111" s="1083"/>
      <c r="AH111" s="1083"/>
      <c r="AI111" s="1083"/>
      <c r="AJ111" s="1083"/>
      <c r="AK111" s="1083"/>
      <c r="AL111" s="1083"/>
      <c r="AM111" s="1083"/>
      <c r="AN111" s="1083"/>
      <c r="AO111" s="1083"/>
      <c r="AP111" s="1083"/>
    </row>
    <row r="112" spans="1:42">
      <c r="A112" s="1083"/>
      <c r="B112" s="1083"/>
      <c r="C112" s="1083"/>
      <c r="D112" s="1083"/>
      <c r="E112" s="1083"/>
      <c r="F112" s="1083"/>
      <c r="G112" s="1083"/>
      <c r="H112" s="1083"/>
      <c r="I112" s="1083"/>
      <c r="J112" s="1083"/>
      <c r="K112" s="1083"/>
      <c r="L112" s="1083"/>
      <c r="M112" s="1083"/>
      <c r="N112" s="1083"/>
      <c r="O112" s="1083"/>
      <c r="P112" s="1083"/>
      <c r="Q112" s="1083"/>
      <c r="R112" s="1083"/>
      <c r="S112" s="1083"/>
      <c r="T112" s="1083"/>
      <c r="U112" s="1083"/>
      <c r="V112" s="1083"/>
      <c r="W112" s="1083"/>
      <c r="X112" s="1083"/>
      <c r="Y112" s="1083"/>
      <c r="Z112" s="1083"/>
      <c r="AA112" s="1083"/>
      <c r="AB112" s="1083"/>
      <c r="AC112" s="1083"/>
      <c r="AD112" s="1083"/>
      <c r="AE112" s="1083"/>
      <c r="AF112" s="1083"/>
      <c r="AG112" s="1083"/>
      <c r="AH112" s="1083"/>
      <c r="AI112" s="1083"/>
      <c r="AJ112" s="1083"/>
      <c r="AK112" s="1083"/>
      <c r="AL112" s="1083"/>
      <c r="AM112" s="1083"/>
      <c r="AN112" s="1083"/>
      <c r="AO112" s="1083"/>
      <c r="AP112" s="1083"/>
    </row>
    <row r="113" spans="1:42">
      <c r="A113" s="1083"/>
      <c r="B113" s="1083"/>
      <c r="C113" s="1083"/>
      <c r="D113" s="1083"/>
      <c r="E113" s="1083"/>
      <c r="F113" s="1083"/>
      <c r="G113" s="1083"/>
      <c r="H113" s="1083"/>
      <c r="I113" s="1083"/>
      <c r="J113" s="1083"/>
      <c r="K113" s="1083"/>
      <c r="L113" s="1083"/>
      <c r="M113" s="1083"/>
      <c r="N113" s="1083"/>
      <c r="O113" s="1083"/>
      <c r="P113" s="1083"/>
      <c r="Q113" s="1083"/>
      <c r="R113" s="1083"/>
      <c r="S113" s="1083"/>
      <c r="T113" s="1083"/>
      <c r="U113" s="1083"/>
      <c r="V113" s="1083"/>
      <c r="W113" s="1083"/>
      <c r="X113" s="1083"/>
      <c r="Y113" s="1083"/>
      <c r="Z113" s="1083"/>
      <c r="AA113" s="1083"/>
      <c r="AB113" s="1083"/>
      <c r="AC113" s="1083"/>
      <c r="AD113" s="1083"/>
      <c r="AE113" s="1083"/>
      <c r="AF113" s="1083"/>
      <c r="AG113" s="1083"/>
      <c r="AH113" s="1083"/>
      <c r="AI113" s="1083"/>
      <c r="AJ113" s="1083"/>
      <c r="AK113" s="1083"/>
      <c r="AL113" s="1083"/>
      <c r="AM113" s="1083"/>
      <c r="AN113" s="1083"/>
      <c r="AO113" s="1083"/>
      <c r="AP113" s="1083"/>
    </row>
    <row r="114" spans="1:42">
      <c r="A114" s="1083"/>
      <c r="B114" s="1083"/>
      <c r="C114" s="1083"/>
      <c r="D114" s="1083"/>
      <c r="E114" s="1083"/>
      <c r="F114" s="1083"/>
      <c r="G114" s="1083"/>
      <c r="H114" s="1083"/>
      <c r="I114" s="1083"/>
      <c r="J114" s="1083"/>
      <c r="K114" s="1083"/>
      <c r="L114" s="1083"/>
      <c r="M114" s="1083"/>
      <c r="N114" s="1083"/>
      <c r="O114" s="1083"/>
      <c r="P114" s="1083"/>
      <c r="Q114" s="1083"/>
      <c r="R114" s="1083"/>
      <c r="S114" s="1083"/>
      <c r="T114" s="1083"/>
      <c r="U114" s="1083"/>
      <c r="V114" s="1083"/>
      <c r="W114" s="1083"/>
      <c r="X114" s="1083"/>
      <c r="Y114" s="1083"/>
      <c r="Z114" s="1083"/>
      <c r="AA114" s="1083"/>
      <c r="AB114" s="1083"/>
      <c r="AC114" s="1083"/>
      <c r="AD114" s="1083"/>
      <c r="AE114" s="1083"/>
      <c r="AF114" s="1083"/>
      <c r="AG114" s="1083"/>
      <c r="AH114" s="1083"/>
      <c r="AI114" s="1083"/>
      <c r="AJ114" s="1083"/>
      <c r="AK114" s="1083"/>
      <c r="AL114" s="1083"/>
      <c r="AM114" s="1083"/>
      <c r="AN114" s="1083"/>
      <c r="AO114" s="1083"/>
      <c r="AP114" s="1083"/>
    </row>
    <row r="115" spans="1:42">
      <c r="A115" s="1083"/>
      <c r="B115" s="1083"/>
      <c r="C115" s="1083"/>
      <c r="D115" s="1083"/>
      <c r="E115" s="1083"/>
      <c r="F115" s="1083"/>
      <c r="G115" s="1083"/>
      <c r="H115" s="1083"/>
      <c r="I115" s="1083"/>
      <c r="J115" s="1083"/>
      <c r="K115" s="1083"/>
      <c r="L115" s="1083"/>
      <c r="M115" s="1083"/>
      <c r="N115" s="1083"/>
      <c r="O115" s="1083"/>
      <c r="P115" s="1083"/>
      <c r="Q115" s="1083"/>
      <c r="R115" s="1083"/>
      <c r="S115" s="1083"/>
      <c r="T115" s="1083"/>
      <c r="U115" s="1083"/>
      <c r="V115" s="1083"/>
      <c r="W115" s="1083"/>
      <c r="X115" s="1083"/>
      <c r="Y115" s="1083"/>
      <c r="Z115" s="1083"/>
      <c r="AA115" s="1083"/>
      <c r="AB115" s="1083"/>
      <c r="AC115" s="1083"/>
      <c r="AD115" s="1083"/>
      <c r="AE115" s="1083"/>
      <c r="AF115" s="1083"/>
      <c r="AG115" s="1083"/>
      <c r="AH115" s="1083"/>
      <c r="AI115" s="1083"/>
      <c r="AJ115" s="1083"/>
      <c r="AK115" s="1083"/>
      <c r="AL115" s="1083"/>
      <c r="AM115" s="1083"/>
      <c r="AN115" s="1083"/>
      <c r="AO115" s="1083"/>
      <c r="AP115" s="1083"/>
    </row>
    <row r="116" spans="1:42">
      <c r="A116" s="1083"/>
      <c r="B116" s="1083"/>
      <c r="C116" s="1083"/>
      <c r="D116" s="1083"/>
      <c r="E116" s="1083"/>
      <c r="F116" s="1083"/>
      <c r="G116" s="1083"/>
      <c r="H116" s="1083"/>
      <c r="I116" s="1083"/>
      <c r="J116" s="1083"/>
      <c r="K116" s="1083"/>
      <c r="L116" s="1083"/>
      <c r="M116" s="1083"/>
      <c r="N116" s="1083"/>
      <c r="O116" s="1083"/>
      <c r="P116" s="1083"/>
      <c r="Q116" s="1083"/>
      <c r="R116" s="1083"/>
      <c r="S116" s="1083"/>
      <c r="T116" s="1083"/>
      <c r="U116" s="1083"/>
      <c r="V116" s="1083"/>
      <c r="W116" s="1083"/>
      <c r="X116" s="1083"/>
      <c r="Y116" s="1083"/>
      <c r="Z116" s="1083"/>
      <c r="AA116" s="1083"/>
      <c r="AB116" s="1083"/>
      <c r="AC116" s="1083"/>
      <c r="AD116" s="1083"/>
      <c r="AE116" s="1083"/>
      <c r="AF116" s="1083"/>
      <c r="AG116" s="1083"/>
      <c r="AH116" s="1083"/>
      <c r="AI116" s="1083"/>
      <c r="AJ116" s="1083"/>
      <c r="AK116" s="1083"/>
      <c r="AL116" s="1083"/>
      <c r="AM116" s="1083"/>
      <c r="AN116" s="1083"/>
      <c r="AO116" s="1083"/>
      <c r="AP116" s="1083"/>
    </row>
    <row r="117" spans="1:42">
      <c r="A117" s="1083"/>
      <c r="B117" s="1083"/>
      <c r="C117" s="1083"/>
      <c r="D117" s="1083"/>
      <c r="E117" s="1083"/>
      <c r="F117" s="1083"/>
      <c r="G117" s="1083"/>
      <c r="H117" s="1083"/>
      <c r="I117" s="1083"/>
      <c r="J117" s="1083"/>
      <c r="K117" s="1083"/>
      <c r="L117" s="1083"/>
      <c r="M117" s="1083"/>
      <c r="N117" s="1083"/>
      <c r="O117" s="1083"/>
      <c r="P117" s="1083"/>
      <c r="Q117" s="1083"/>
      <c r="R117" s="1083"/>
      <c r="S117" s="1083"/>
      <c r="T117" s="1083"/>
      <c r="U117" s="1083"/>
      <c r="V117" s="1083"/>
      <c r="W117" s="1083"/>
      <c r="X117" s="1083"/>
      <c r="Y117" s="1083"/>
      <c r="Z117" s="1083"/>
      <c r="AA117" s="1083"/>
      <c r="AB117" s="1083"/>
      <c r="AC117" s="1083"/>
      <c r="AD117" s="1083"/>
      <c r="AE117" s="1083"/>
      <c r="AF117" s="1083"/>
      <c r="AG117" s="1083"/>
      <c r="AH117" s="1083"/>
      <c r="AI117" s="1083"/>
      <c r="AJ117" s="1083"/>
      <c r="AK117" s="1083"/>
      <c r="AL117" s="1083"/>
      <c r="AM117" s="1083"/>
      <c r="AN117" s="1083"/>
      <c r="AO117" s="1083"/>
      <c r="AP117" s="1083"/>
    </row>
    <row r="118" spans="1:42">
      <c r="A118" s="1083"/>
      <c r="B118" s="1083"/>
      <c r="C118" s="1083"/>
      <c r="D118" s="1083"/>
      <c r="E118" s="1083"/>
      <c r="F118" s="1083"/>
      <c r="G118" s="1083"/>
      <c r="H118" s="1083"/>
      <c r="I118" s="1083"/>
      <c r="J118" s="1083"/>
      <c r="K118" s="1083"/>
      <c r="L118" s="1083"/>
      <c r="M118" s="1083"/>
      <c r="N118" s="1083"/>
      <c r="O118" s="1083"/>
      <c r="P118" s="1083"/>
      <c r="Q118" s="1083"/>
      <c r="R118" s="1083"/>
      <c r="S118" s="1083"/>
      <c r="T118" s="1083"/>
      <c r="U118" s="1083"/>
      <c r="V118" s="1083"/>
      <c r="W118" s="1083"/>
      <c r="X118" s="1083"/>
      <c r="Y118" s="1083"/>
      <c r="Z118" s="1083"/>
      <c r="AA118" s="1083"/>
      <c r="AB118" s="1083"/>
      <c r="AC118" s="1083"/>
      <c r="AD118" s="1083"/>
      <c r="AE118" s="1083"/>
      <c r="AF118" s="1083"/>
      <c r="AG118" s="1083"/>
      <c r="AH118" s="1083"/>
      <c r="AI118" s="1083"/>
      <c r="AJ118" s="1083"/>
      <c r="AK118" s="1083"/>
      <c r="AL118" s="1083"/>
      <c r="AM118" s="1083"/>
      <c r="AN118" s="1083"/>
      <c r="AO118" s="1083"/>
      <c r="AP118" s="1083"/>
    </row>
    <row r="119" spans="1:42">
      <c r="A119" s="1083"/>
      <c r="B119" s="1083"/>
      <c r="C119" s="1083"/>
      <c r="D119" s="1083"/>
      <c r="E119" s="1083"/>
      <c r="F119" s="1083"/>
      <c r="G119" s="1083"/>
      <c r="H119" s="1083"/>
      <c r="I119" s="1083"/>
      <c r="J119" s="1083"/>
      <c r="K119" s="1083"/>
      <c r="L119" s="1083"/>
      <c r="M119" s="1083"/>
      <c r="N119" s="1083"/>
      <c r="O119" s="1083"/>
      <c r="P119" s="1083"/>
      <c r="Q119" s="1083"/>
      <c r="R119" s="1083"/>
      <c r="S119" s="1083"/>
      <c r="T119" s="1083"/>
      <c r="U119" s="1083"/>
      <c r="V119" s="1083"/>
      <c r="W119" s="1083"/>
      <c r="X119" s="1083"/>
      <c r="Y119" s="1083"/>
      <c r="Z119" s="1083"/>
      <c r="AA119" s="1083"/>
      <c r="AB119" s="1083"/>
      <c r="AC119" s="1083"/>
      <c r="AD119" s="1083"/>
      <c r="AE119" s="1083"/>
      <c r="AF119" s="1083"/>
      <c r="AG119" s="1083"/>
      <c r="AH119" s="1083"/>
      <c r="AI119" s="1083"/>
      <c r="AJ119" s="1083"/>
      <c r="AK119" s="1083"/>
      <c r="AL119" s="1083"/>
      <c r="AM119" s="1083"/>
      <c r="AN119" s="1083"/>
      <c r="AO119" s="1083"/>
      <c r="AP119" s="1083"/>
    </row>
    <row r="120" spans="1:42">
      <c r="A120" s="1083"/>
      <c r="B120" s="1083"/>
      <c r="C120" s="1083"/>
      <c r="D120" s="1083"/>
      <c r="E120" s="1083"/>
      <c r="F120" s="1083"/>
      <c r="G120" s="1083"/>
      <c r="H120" s="1083"/>
      <c r="I120" s="1083"/>
      <c r="J120" s="1083"/>
      <c r="K120" s="1083"/>
      <c r="L120" s="1083"/>
      <c r="M120" s="1083"/>
      <c r="N120" s="1083"/>
      <c r="O120" s="1083"/>
      <c r="P120" s="1083"/>
      <c r="Q120" s="1083"/>
      <c r="R120" s="1083"/>
      <c r="S120" s="1083"/>
      <c r="T120" s="1083"/>
      <c r="U120" s="1083"/>
      <c r="V120" s="1083"/>
      <c r="W120" s="1083"/>
      <c r="X120" s="1083"/>
      <c r="Y120" s="1083"/>
      <c r="Z120" s="1083"/>
      <c r="AA120" s="1083"/>
      <c r="AB120" s="1083"/>
      <c r="AC120" s="1083"/>
      <c r="AD120" s="1083"/>
      <c r="AE120" s="1083"/>
      <c r="AF120" s="1083"/>
      <c r="AG120" s="1083"/>
      <c r="AH120" s="1083"/>
      <c r="AI120" s="1083"/>
      <c r="AJ120" s="1083"/>
      <c r="AK120" s="1083"/>
      <c r="AL120" s="1083"/>
      <c r="AM120" s="1083"/>
      <c r="AN120" s="1083"/>
      <c r="AO120" s="1083"/>
      <c r="AP120" s="1083"/>
    </row>
  </sheetData>
  <sheetProtection sheet="1" objects="1" scenarios="1"/>
  <protectedRanges>
    <protectedRange sqref="Q8:S8" name="Range3_1"/>
  </protectedRanges>
  <mergeCells count="87">
    <mergeCell ref="C40:L40"/>
    <mergeCell ref="M54:R54"/>
    <mergeCell ref="D49:J49"/>
    <mergeCell ref="Q46:T46"/>
    <mergeCell ref="M44:P44"/>
    <mergeCell ref="C48:T48"/>
    <mergeCell ref="Q44:T44"/>
    <mergeCell ref="M46:P46"/>
    <mergeCell ref="N49:T49"/>
    <mergeCell ref="M42:P42"/>
    <mergeCell ref="Q40:T40"/>
    <mergeCell ref="Q41:T41"/>
    <mergeCell ref="C8:I8"/>
    <mergeCell ref="Q37:T37"/>
    <mergeCell ref="M29:P29"/>
    <mergeCell ref="Q29:T29"/>
    <mergeCell ref="Q33:T33"/>
    <mergeCell ref="M30:P30"/>
    <mergeCell ref="C28:L28"/>
    <mergeCell ref="K9:O9"/>
    <mergeCell ref="M13:P13"/>
    <mergeCell ref="Q13:T13"/>
    <mergeCell ref="M24:P24"/>
    <mergeCell ref="M31:P31"/>
    <mergeCell ref="Q24:T24"/>
    <mergeCell ref="M22:P22"/>
    <mergeCell ref="K8:T8"/>
    <mergeCell ref="M26:P26"/>
    <mergeCell ref="Q14:T14"/>
    <mergeCell ref="Q16:T16"/>
    <mergeCell ref="M12:P12"/>
    <mergeCell ref="Q35:T35"/>
    <mergeCell ref="M37:P37"/>
    <mergeCell ref="Q26:T26"/>
    <mergeCell ref="M27:P27"/>
    <mergeCell ref="Q32:T32"/>
    <mergeCell ref="M34:P34"/>
    <mergeCell ref="M32:P32"/>
    <mergeCell ref="Q31:T31"/>
    <mergeCell ref="Q30:T30"/>
    <mergeCell ref="M36:P36"/>
    <mergeCell ref="M21:P21"/>
    <mergeCell ref="M19:P19"/>
    <mergeCell ref="Q15:T15"/>
    <mergeCell ref="Q28:T28"/>
    <mergeCell ref="M15:P15"/>
    <mergeCell ref="Q45:T45"/>
    <mergeCell ref="M40:P40"/>
    <mergeCell ref="Q38:T38"/>
    <mergeCell ref="M41:P41"/>
    <mergeCell ref="M39:P39"/>
    <mergeCell ref="Q39:T39"/>
    <mergeCell ref="M38:P38"/>
    <mergeCell ref="Q43:T43"/>
    <mergeCell ref="M45:P45"/>
    <mergeCell ref="Q17:T17"/>
    <mergeCell ref="Q12:T12"/>
    <mergeCell ref="B3:T3"/>
    <mergeCell ref="B11:T11"/>
    <mergeCell ref="M25:P25"/>
    <mergeCell ref="Q19:T19"/>
    <mergeCell ref="B5:T5"/>
    <mergeCell ref="M14:P14"/>
    <mergeCell ref="M16:P16"/>
    <mergeCell ref="B4:T4"/>
    <mergeCell ref="M18:P18"/>
    <mergeCell ref="Q25:T25"/>
    <mergeCell ref="C12:L12"/>
    <mergeCell ref="Q23:T23"/>
    <mergeCell ref="Q22:T22"/>
    <mergeCell ref="Q20:T20"/>
    <mergeCell ref="I14:J14"/>
    <mergeCell ref="N10:S10"/>
    <mergeCell ref="B6:T6"/>
    <mergeCell ref="M43:P43"/>
    <mergeCell ref="Q36:T36"/>
    <mergeCell ref="M33:P33"/>
    <mergeCell ref="G10:I10"/>
    <mergeCell ref="Q18:T18"/>
    <mergeCell ref="M23:P23"/>
    <mergeCell ref="Q42:T42"/>
    <mergeCell ref="M35:P35"/>
    <mergeCell ref="Q34:T34"/>
    <mergeCell ref="Q27:T27"/>
    <mergeCell ref="M20:P20"/>
    <mergeCell ref="Q21:T21"/>
    <mergeCell ref="M17:P17"/>
  </mergeCells>
  <printOptions horizontalCentered="1" verticalCentered="1"/>
  <pageMargins left="0.3" right="0.17" top="0.36" bottom="0.26" header="0.3" footer="0.15"/>
  <drawing r:id="rId1"/>
</worksheet>
</file>

<file path=xl/worksheets/sheet8.xml><?xml version="1.0" encoding="utf-8"?>
<worksheet xmlns="http://schemas.openxmlformats.org/spreadsheetml/2006/main" xmlns:r="http://schemas.openxmlformats.org/officeDocument/2006/relationships">
  <sheetPr>
    <tabColor rgb="FF3333CC"/>
  </sheetPr>
  <dimension ref="A1:BY201"/>
  <sheetViews>
    <sheetView showGridLines="0" showRowColHeaders="0" zoomScale="96" workbookViewId="0">
      <selection activeCell="AQ7" sqref="AQ7"/>
    </sheetView>
  </sheetViews>
  <sheetFormatPr defaultColWidth="10" defaultRowHeight="12.75"/>
  <cols>
    <col min="1" max="1" width="5.7109375" customWidth="1"/>
    <col min="2" max="2" width="3.7109375" customWidth="1"/>
    <col min="3" max="5" width="4.42578125" customWidth="1"/>
    <col min="6" max="17" width="3.5703125" customWidth="1"/>
    <col min="18" max="18" width="7" customWidth="1"/>
    <col min="19" max="19" width="3.85546875" customWidth="1"/>
    <col min="20" max="22" width="3.5703125" customWidth="1"/>
    <col min="23" max="23" width="4.140625" customWidth="1"/>
    <col min="24" max="24" width="4.42578125" customWidth="1"/>
    <col min="25" max="26" width="3.5703125" customWidth="1"/>
    <col min="27" max="27" width="4.42578125" customWidth="1"/>
    <col min="28" max="28" width="40.140625" hidden="1" customWidth="1"/>
    <col min="29" max="29" width="14.85546875" style="1387" hidden="1" customWidth="1"/>
    <col min="30" max="30" width="41.7109375" hidden="1" customWidth="1"/>
    <col min="31" max="31" width="12.140625" style="1387" hidden="1" customWidth="1"/>
    <col min="32" max="32" width="14" hidden="1" customWidth="1"/>
    <col min="33" max="35" width="11.85546875" hidden="1" customWidth="1"/>
    <col min="36" max="36" width="11.7109375" hidden="1" customWidth="1"/>
    <col min="37" max="37" width="3.28515625" hidden="1" customWidth="1"/>
    <col min="38" max="38" width="12.85546875" style="1388" hidden="1" customWidth="1"/>
    <col min="39" max="39" width="16.140625" hidden="1" customWidth="1"/>
    <col min="40" max="40" width="11" hidden="1" customWidth="1"/>
    <col min="41" max="41" width="9.140625" hidden="1" customWidth="1"/>
    <col min="42" max="46" width="9.140625" customWidth="1"/>
    <col min="47" max="47" width="8.5703125" hidden="1" customWidth="1"/>
    <col min="48" max="48" width="14" hidden="1" customWidth="1"/>
    <col min="49" max="49" width="14.85546875" hidden="1" customWidth="1"/>
    <col min="50" max="50" width="9.140625" hidden="1" customWidth="1"/>
    <col min="51" max="51" width="9.140625" customWidth="1"/>
  </cols>
  <sheetData>
    <row r="1" spans="1:77">
      <c r="A1" s="1083"/>
      <c r="B1" s="1083"/>
      <c r="C1" s="1083"/>
      <c r="D1" s="1083"/>
      <c r="E1" s="1083"/>
      <c r="F1" s="1083"/>
      <c r="G1" s="1083"/>
      <c r="H1" s="1083"/>
      <c r="I1" s="1083"/>
      <c r="J1" s="1083"/>
      <c r="K1" s="1083"/>
      <c r="L1" s="1083"/>
      <c r="M1" s="1083"/>
      <c r="N1" s="1083"/>
      <c r="O1" s="1083"/>
      <c r="P1" s="1083"/>
      <c r="Q1" s="1083"/>
      <c r="R1" s="1083"/>
      <c r="S1" s="1083"/>
      <c r="T1" s="1083"/>
      <c r="U1" s="1083"/>
      <c r="V1" s="1083"/>
      <c r="W1" s="1083"/>
      <c r="X1" s="1083"/>
      <c r="Y1" s="1083"/>
      <c r="Z1" s="1083"/>
      <c r="AA1" s="1083"/>
      <c r="AB1" s="1083"/>
      <c r="AC1" s="1389"/>
      <c r="AD1" s="1083"/>
      <c r="AE1" s="1389"/>
      <c r="AF1" s="1083"/>
      <c r="AG1" s="1083"/>
      <c r="AH1" s="1083"/>
      <c r="AI1" s="1083"/>
      <c r="AJ1" s="1083"/>
      <c r="AK1" s="1083"/>
      <c r="AL1" s="1390"/>
      <c r="AM1" s="1083"/>
      <c r="AN1" s="1083"/>
      <c r="AO1" s="1083"/>
      <c r="AP1" s="1083"/>
      <c r="AQ1" s="1083"/>
      <c r="AR1" s="1083"/>
      <c r="AS1" s="1083"/>
      <c r="AT1" s="1083"/>
      <c r="AU1" s="1083"/>
      <c r="AV1" s="1083"/>
      <c r="AW1" s="1083"/>
      <c r="AX1" s="1083"/>
      <c r="AY1" s="1083"/>
      <c r="AZ1" s="1083"/>
      <c r="BA1" s="1083"/>
      <c r="BB1" s="1083"/>
      <c r="BC1" s="1083"/>
      <c r="BD1" s="1083"/>
      <c r="BE1" s="1083"/>
      <c r="BF1" s="1083"/>
      <c r="BG1" s="1083"/>
      <c r="BH1" s="1083"/>
      <c r="BI1" s="1083"/>
      <c r="BJ1" s="1083"/>
      <c r="BK1" s="1083"/>
      <c r="BL1" s="1083"/>
      <c r="BM1" s="1083"/>
      <c r="BN1" s="1083"/>
      <c r="BO1" s="1083"/>
      <c r="BP1" s="1083"/>
      <c r="BQ1" s="1083"/>
    </row>
    <row r="2" spans="1:77" ht="13.5" customHeight="1">
      <c r="A2" s="1083"/>
      <c r="B2" s="1083"/>
      <c r="C2" s="1083"/>
      <c r="D2" s="1083"/>
      <c r="E2" s="1083"/>
      <c r="F2" s="1083"/>
      <c r="G2" s="1083"/>
      <c r="H2" s="1083"/>
      <c r="I2" s="1083"/>
      <c r="J2" s="1083"/>
      <c r="K2" s="1083"/>
      <c r="L2" s="1083"/>
      <c r="M2" s="1083"/>
      <c r="N2" s="1083"/>
      <c r="O2" s="1083"/>
      <c r="P2" s="1083"/>
      <c r="Q2" s="1083"/>
      <c r="R2" s="1083"/>
      <c r="S2" s="1083"/>
      <c r="T2" s="1083"/>
      <c r="U2" s="1083"/>
      <c r="V2" s="1083"/>
      <c r="W2" s="1083"/>
      <c r="X2" s="1083"/>
      <c r="Y2" s="1083"/>
      <c r="Z2" s="1083"/>
      <c r="AA2" s="1083"/>
      <c r="AB2" s="2299" t="s">
        <v>680</v>
      </c>
      <c r="AC2" s="2299" t="s">
        <v>858</v>
      </c>
      <c r="AD2" s="2299" t="s">
        <v>680</v>
      </c>
      <c r="AE2" s="2299" t="s">
        <v>858</v>
      </c>
      <c r="AF2" s="2361"/>
      <c r="AG2" s="1083"/>
      <c r="AH2" s="1083"/>
      <c r="AI2" s="1083"/>
      <c r="AJ2" s="1083"/>
      <c r="AK2" s="1083"/>
      <c r="AL2" s="1390"/>
      <c r="AM2" s="1083"/>
      <c r="AN2" s="1083"/>
      <c r="AO2" s="1083"/>
      <c r="AP2" s="1083"/>
      <c r="AQ2" s="1083"/>
      <c r="AR2" s="1083"/>
      <c r="AS2" s="1083"/>
      <c r="AT2" s="1083"/>
      <c r="AU2" s="1083"/>
      <c r="AV2" s="1083"/>
      <c r="AW2" s="1083"/>
      <c r="AX2" s="1083"/>
      <c r="AY2" s="1083"/>
      <c r="AZ2" s="1083"/>
      <c r="BA2" s="1083"/>
      <c r="BB2" s="1083"/>
      <c r="BC2" s="1083"/>
      <c r="BD2" s="1083"/>
      <c r="BE2" s="1083"/>
      <c r="BF2" s="1083"/>
      <c r="BG2" s="1083"/>
      <c r="BH2" s="1083"/>
      <c r="BI2" s="1083"/>
      <c r="BJ2" s="1083"/>
      <c r="BK2" s="1083"/>
      <c r="BL2" s="1083"/>
      <c r="BM2" s="1083"/>
      <c r="BN2" s="1083"/>
      <c r="BO2" s="1083"/>
      <c r="BP2" s="1083"/>
      <c r="BQ2" s="1083"/>
    </row>
    <row r="3" spans="1:77">
      <c r="A3" s="1083"/>
      <c r="B3" s="1391"/>
      <c r="C3" s="1392"/>
      <c r="D3" s="1392"/>
      <c r="E3" s="1392"/>
      <c r="F3" s="1392"/>
      <c r="G3" s="1392"/>
      <c r="H3" s="1392"/>
      <c r="I3" s="1392"/>
      <c r="J3" s="1392"/>
      <c r="K3" s="1392"/>
      <c r="L3" s="1392"/>
      <c r="M3" s="1392"/>
      <c r="N3" s="1392"/>
      <c r="O3" s="1392"/>
      <c r="P3" s="1392"/>
      <c r="Q3" s="1392"/>
      <c r="R3" s="1392"/>
      <c r="S3" s="1392"/>
      <c r="T3" s="1392"/>
      <c r="U3" s="1392"/>
      <c r="V3" s="1392"/>
      <c r="W3" s="1392"/>
      <c r="X3" s="1392"/>
      <c r="Y3" s="1392"/>
      <c r="Z3" s="1393"/>
      <c r="AA3" s="1394"/>
      <c r="AB3" s="2300"/>
      <c r="AC3" s="2300"/>
      <c r="AD3" s="2300"/>
      <c r="AE3" s="2300"/>
      <c r="AF3" s="2362"/>
      <c r="AG3" s="1395"/>
      <c r="AH3" s="1395"/>
      <c r="AI3" s="1395"/>
      <c r="AJ3" s="1083"/>
      <c r="AK3" s="1083"/>
      <c r="AL3" s="1390"/>
      <c r="AM3" s="1083"/>
      <c r="AN3" s="1083"/>
      <c r="AO3" s="1083"/>
      <c r="AP3" s="1083"/>
      <c r="AQ3" s="1083"/>
      <c r="AR3" s="1083"/>
      <c r="AS3" s="1083"/>
      <c r="AT3" s="1083"/>
      <c r="AU3" s="1083"/>
      <c r="AV3" s="1083"/>
      <c r="AW3" s="1083"/>
      <c r="AX3" s="1083"/>
      <c r="AY3" s="1083"/>
      <c r="AZ3" s="1083"/>
      <c r="BA3" s="1083"/>
      <c r="BB3" s="1083"/>
      <c r="BC3" s="1083"/>
      <c r="BD3" s="1083"/>
      <c r="BE3" s="1083"/>
      <c r="BF3" s="1083"/>
      <c r="BG3" s="1083"/>
      <c r="BH3" s="1083"/>
      <c r="BI3" s="1083"/>
      <c r="BJ3" s="1083"/>
      <c r="BK3" s="1083"/>
      <c r="BL3" s="1083"/>
      <c r="BM3" s="1083"/>
      <c r="BN3" s="1083"/>
      <c r="BO3" s="1083"/>
      <c r="BP3" s="1083"/>
      <c r="BQ3" s="1083"/>
    </row>
    <row r="4" spans="1:77" ht="20.25" customHeight="1">
      <c r="A4" s="1083"/>
      <c r="B4" s="2379" t="s">
        <v>636</v>
      </c>
      <c r="C4" s="2380"/>
      <c r="D4" s="2380"/>
      <c r="E4" s="2380"/>
      <c r="F4" s="2380"/>
      <c r="G4" s="2380"/>
      <c r="H4" s="2380"/>
      <c r="I4" s="2380"/>
      <c r="J4" s="2380"/>
      <c r="K4" s="2380"/>
      <c r="L4" s="2380"/>
      <c r="M4" s="2380"/>
      <c r="N4" s="2380"/>
      <c r="O4" s="2380"/>
      <c r="P4" s="2380"/>
      <c r="Q4" s="2380"/>
      <c r="R4" s="2380"/>
      <c r="S4" s="2380"/>
      <c r="T4" s="2380"/>
      <c r="U4" s="2380"/>
      <c r="V4" s="2380"/>
      <c r="W4" s="2380"/>
      <c r="X4" s="2380"/>
      <c r="Y4" s="2380"/>
      <c r="Z4" s="2381"/>
      <c r="AA4" s="1396"/>
      <c r="AB4" s="2385" t="s">
        <v>653</v>
      </c>
      <c r="AC4" s="2322">
        <f>'Annexure -I I'!L50-AC6</f>
        <v>1057680</v>
      </c>
      <c r="AD4" s="2339" t="s">
        <v>681</v>
      </c>
      <c r="AE4" s="2322">
        <f>AC4</f>
        <v>1057680</v>
      </c>
      <c r="AF4" s="1397"/>
      <c r="AG4" s="1396"/>
      <c r="AH4" s="1396"/>
      <c r="AI4" s="1396"/>
      <c r="AJ4" s="1398"/>
      <c r="AK4" s="1398"/>
      <c r="AL4" s="1390"/>
      <c r="AM4" s="1083"/>
      <c r="AN4" s="1083"/>
      <c r="AO4" s="1083"/>
      <c r="AP4" s="1083"/>
      <c r="AQ4" s="1083"/>
      <c r="AR4" s="1083"/>
      <c r="AS4" s="1083"/>
      <c r="AT4" s="1083"/>
      <c r="AU4" s="1083"/>
      <c r="AV4" s="1083"/>
      <c r="AW4" s="1083"/>
      <c r="AX4" s="1083"/>
      <c r="AY4" s="1083"/>
      <c r="AZ4" s="1083"/>
      <c r="BA4" s="1083"/>
      <c r="BB4" s="1083"/>
      <c r="BC4" s="1083"/>
      <c r="BD4" s="1083"/>
      <c r="BE4" s="1083"/>
      <c r="BF4" s="1083"/>
      <c r="BG4" s="1083"/>
      <c r="BH4" s="1083"/>
      <c r="BI4" s="1083"/>
      <c r="BJ4" s="1083"/>
      <c r="BK4" s="1083"/>
      <c r="BL4" s="1083"/>
      <c r="BM4" s="1083"/>
      <c r="BN4" s="1083"/>
      <c r="BO4" s="1083"/>
      <c r="BP4" s="1083"/>
      <c r="BQ4" s="1083"/>
    </row>
    <row r="5" spans="1:77" ht="16.5" customHeight="1">
      <c r="A5" s="1083"/>
      <c r="B5" s="2343" t="s">
        <v>637</v>
      </c>
      <c r="C5" s="2344"/>
      <c r="D5" s="2344"/>
      <c r="E5" s="2344"/>
      <c r="F5" s="2344"/>
      <c r="G5" s="2344"/>
      <c r="H5" s="2344"/>
      <c r="I5" s="2344"/>
      <c r="J5" s="2344"/>
      <c r="K5" s="2344"/>
      <c r="L5" s="2344"/>
      <c r="M5" s="2344"/>
      <c r="N5" s="2344"/>
      <c r="O5" s="2344"/>
      <c r="P5" s="2344"/>
      <c r="Q5" s="2344"/>
      <c r="R5" s="2344"/>
      <c r="S5" s="2344"/>
      <c r="T5" s="2344"/>
      <c r="U5" s="2344"/>
      <c r="V5" s="2344"/>
      <c r="W5" s="2344"/>
      <c r="X5" s="2344"/>
      <c r="Y5" s="2344"/>
      <c r="Z5" s="2345"/>
      <c r="AA5" s="1399"/>
      <c r="AB5" s="2386"/>
      <c r="AC5" s="2323"/>
      <c r="AD5" s="2340"/>
      <c r="AE5" s="2323"/>
      <c r="AF5" s="1397"/>
      <c r="AG5" s="1399"/>
      <c r="AH5" s="1399"/>
      <c r="AI5" s="1399"/>
      <c r="AJ5" s="1398"/>
      <c r="AK5" s="1398"/>
      <c r="AL5" s="1390"/>
      <c r="AM5" s="1083"/>
      <c r="AN5" s="1083"/>
      <c r="AO5" s="1083"/>
      <c r="AP5" s="1083"/>
      <c r="AQ5" s="1083"/>
      <c r="AR5" s="1083"/>
      <c r="AS5" s="1083"/>
      <c r="AT5" s="1083"/>
      <c r="AU5" s="1083"/>
      <c r="AV5" s="1083"/>
      <c r="AW5" s="1083"/>
      <c r="AX5" s="1083"/>
      <c r="AY5" s="1083"/>
      <c r="AZ5" s="1083"/>
      <c r="BA5" s="1083"/>
      <c r="BB5" s="1083"/>
      <c r="BC5" s="1083"/>
      <c r="BD5" s="1083"/>
      <c r="BE5" s="1083"/>
      <c r="BF5" s="1083"/>
      <c r="BG5" s="1083"/>
      <c r="BH5" s="1083"/>
      <c r="BI5" s="1083"/>
      <c r="BJ5" s="1083"/>
      <c r="BK5" s="1083"/>
      <c r="BL5" s="1083"/>
      <c r="BM5" s="1083"/>
      <c r="BN5" s="1083"/>
      <c r="BO5" s="1083"/>
      <c r="BP5" s="1083"/>
      <c r="BQ5" s="1083"/>
    </row>
    <row r="6" spans="1:77" ht="18" customHeight="1">
      <c r="A6" s="1083"/>
      <c r="B6" s="1400">
        <v>1</v>
      </c>
      <c r="C6" s="1401" t="s">
        <v>622</v>
      </c>
      <c r="D6" s="1401"/>
      <c r="E6" s="1401"/>
      <c r="F6" s="1401"/>
      <c r="G6" s="1401"/>
      <c r="H6" s="1401"/>
      <c r="I6" s="1401"/>
      <c r="J6" s="1401"/>
      <c r="K6" s="1401"/>
      <c r="L6" s="2405" t="str">
        <f>CONCATENATE(DATA!BN172,"  ",DATA!E10,", ",DATA!CD169,", ",DATA!E13," , ",DATA!E14,", ",DATA!E15," (","Mandal",")","  ")</f>
        <v xml:space="preserve">Sri.  A.Nagesh, Deputy Executive Engineer, Executive Engineer,TGP Division No.1 , Velgode, Velgode (Mandal)  </v>
      </c>
      <c r="M6" s="2405"/>
      <c r="N6" s="2405"/>
      <c r="O6" s="2405"/>
      <c r="P6" s="2405"/>
      <c r="Q6" s="2405"/>
      <c r="R6" s="2405"/>
      <c r="S6" s="2405"/>
      <c r="T6" s="2405"/>
      <c r="U6" s="2405"/>
      <c r="V6" s="2405"/>
      <c r="W6" s="2405"/>
      <c r="X6" s="2405"/>
      <c r="Y6" s="2405"/>
      <c r="Z6" s="1402"/>
      <c r="AA6" s="1403"/>
      <c r="AB6" s="1404" t="s">
        <v>709</v>
      </c>
      <c r="AC6" s="1405">
        <f>IF(AN19="","",AN19)</f>
        <v>0</v>
      </c>
      <c r="AD6" s="1406" t="s">
        <v>710</v>
      </c>
      <c r="AE6" s="1405">
        <v>0</v>
      </c>
      <c r="AF6" s="1397"/>
      <c r="AG6" s="1403"/>
      <c r="AH6" s="1403"/>
      <c r="AI6" s="1403"/>
      <c r="AJ6" s="1398"/>
      <c r="AK6" s="1398"/>
      <c r="AL6" s="1390"/>
      <c r="AM6" s="1083"/>
      <c r="AN6" s="1083"/>
      <c r="AO6" s="1083"/>
      <c r="AP6" s="1083"/>
      <c r="AQ6" s="1083"/>
      <c r="AR6" s="1083"/>
      <c r="AS6" s="1083"/>
      <c r="AT6" s="1083"/>
      <c r="AU6" s="1083"/>
      <c r="AV6" s="1083"/>
      <c r="AW6" s="1083"/>
      <c r="AX6" s="1083"/>
      <c r="AY6" s="1083"/>
      <c r="AZ6" s="1083"/>
      <c r="BA6" s="1083"/>
      <c r="BB6" s="1083"/>
      <c r="BC6" s="1083"/>
      <c r="BD6" s="1083"/>
      <c r="BE6" s="1083"/>
      <c r="BF6" s="1083"/>
      <c r="BG6" s="1083"/>
      <c r="BH6" s="1083"/>
      <c r="BI6" s="1083"/>
      <c r="BJ6" s="1083"/>
      <c r="BK6" s="1083"/>
      <c r="BL6" s="1083"/>
      <c r="BM6" s="1083"/>
      <c r="BN6" s="1083"/>
      <c r="BO6" s="1083"/>
      <c r="BP6" s="1083"/>
      <c r="BQ6" s="1083"/>
    </row>
    <row r="7" spans="1:77" ht="17.25" customHeight="1">
      <c r="A7" s="1083"/>
      <c r="B7" s="1400"/>
      <c r="C7" s="1401"/>
      <c r="D7" s="1401"/>
      <c r="E7" s="1401"/>
      <c r="F7" s="1401"/>
      <c r="G7" s="1401"/>
      <c r="H7" s="1401"/>
      <c r="I7" s="1401"/>
      <c r="J7" s="1401"/>
      <c r="K7" s="1401"/>
      <c r="L7" s="2405"/>
      <c r="M7" s="2405"/>
      <c r="N7" s="2405"/>
      <c r="O7" s="2405"/>
      <c r="P7" s="2405"/>
      <c r="Q7" s="2405"/>
      <c r="R7" s="2405"/>
      <c r="S7" s="2405"/>
      <c r="T7" s="2405"/>
      <c r="U7" s="2405"/>
      <c r="V7" s="2405"/>
      <c r="W7" s="2405"/>
      <c r="X7" s="2405"/>
      <c r="Y7" s="2405"/>
      <c r="Z7" s="1402"/>
      <c r="AA7" s="1403"/>
      <c r="AB7" s="1407" t="s">
        <v>682</v>
      </c>
      <c r="AC7" s="1408">
        <f>SUM(AC4:AC6)</f>
        <v>1057680</v>
      </c>
      <c r="AD7" s="1409" t="s">
        <v>682</v>
      </c>
      <c r="AE7" s="1408">
        <f>SUM(AE4:AE6)</f>
        <v>1057680</v>
      </c>
      <c r="AF7" s="1397"/>
      <c r="AG7" s="1403"/>
      <c r="AH7" s="1403"/>
      <c r="AI7" s="1403"/>
      <c r="AJ7" s="1398"/>
      <c r="AK7" s="1398"/>
      <c r="AL7" s="1410"/>
      <c r="AM7" s="1410"/>
      <c r="AN7" s="1083"/>
      <c r="AO7" s="1083"/>
      <c r="AP7" s="1083"/>
      <c r="AQ7" s="1083"/>
      <c r="AR7" s="1083"/>
      <c r="AS7" s="1083"/>
      <c r="AT7" s="1083"/>
      <c r="AU7" s="1083"/>
      <c r="AV7" s="1083"/>
      <c r="AW7" s="1083"/>
      <c r="AX7" s="1083"/>
      <c r="AY7" s="1083"/>
      <c r="AZ7" s="1083"/>
      <c r="BA7" s="1083"/>
      <c r="BB7" s="1083"/>
      <c r="BC7" s="1083"/>
      <c r="BD7" s="1083"/>
      <c r="BE7" s="1083"/>
      <c r="BF7" s="1083"/>
      <c r="BG7" s="1083"/>
      <c r="BH7" s="1083"/>
      <c r="BI7" s="1083"/>
      <c r="BJ7" s="1083"/>
      <c r="BK7" s="1083"/>
      <c r="BL7" s="1083"/>
      <c r="BM7" s="1083"/>
      <c r="BN7" s="1083"/>
      <c r="BO7" s="1083"/>
      <c r="BP7" s="1083"/>
      <c r="BQ7" s="1083"/>
    </row>
    <row r="8" spans="1:77" ht="18" customHeight="1">
      <c r="A8" s="1083"/>
      <c r="B8" s="1400">
        <v>2</v>
      </c>
      <c r="C8" s="1401" t="s">
        <v>638</v>
      </c>
      <c r="D8" s="1401"/>
      <c r="E8" s="1401"/>
      <c r="F8" s="1401"/>
      <c r="G8" s="1401"/>
      <c r="H8" s="1401"/>
      <c r="I8" s="1401"/>
      <c r="J8" s="1401"/>
      <c r="K8" s="1401"/>
      <c r="L8" s="2418" t="str">
        <f>IF(DATA!E12="","",DATA!E12)</f>
        <v/>
      </c>
      <c r="M8" s="2418"/>
      <c r="N8" s="2418"/>
      <c r="O8" s="2418"/>
      <c r="P8" s="2418"/>
      <c r="Q8" s="2418"/>
      <c r="R8" s="2418"/>
      <c r="S8" s="2418"/>
      <c r="T8" s="2418"/>
      <c r="U8" s="2418"/>
      <c r="V8" s="2418"/>
      <c r="W8" s="2418"/>
      <c r="X8" s="2418"/>
      <c r="Y8" s="2418"/>
      <c r="Z8" s="1402"/>
      <c r="AA8" s="1403"/>
      <c r="AB8" s="1411" t="s">
        <v>683</v>
      </c>
      <c r="AC8" s="1412">
        <v>0</v>
      </c>
      <c r="AD8" s="1413" t="s">
        <v>683</v>
      </c>
      <c r="AE8" s="1412">
        <v>0</v>
      </c>
      <c r="AF8" s="1414"/>
      <c r="AG8" s="1415"/>
      <c r="AH8" s="1415"/>
      <c r="AI8" s="1415"/>
      <c r="AJ8" s="1083"/>
      <c r="AK8" s="1083"/>
      <c r="AL8" s="1410"/>
      <c r="AM8" s="1410"/>
      <c r="AN8" s="1083"/>
      <c r="AO8" s="1083"/>
      <c r="AP8" s="1083"/>
      <c r="AQ8" s="1083"/>
      <c r="AR8" s="1083"/>
      <c r="AS8" s="1083"/>
      <c r="AT8" s="1416" t="s">
        <v>541</v>
      </c>
      <c r="AU8" s="1083"/>
      <c r="AV8" s="1083"/>
      <c r="AW8" s="1083"/>
      <c r="AX8" s="1083"/>
      <c r="AY8" s="1083"/>
      <c r="AZ8" s="1083"/>
      <c r="BA8" s="1083"/>
      <c r="BB8" s="1083"/>
      <c r="BC8" s="1083"/>
      <c r="BD8" s="1083"/>
      <c r="BE8" s="1083"/>
      <c r="BF8" s="1083"/>
      <c r="BG8" s="1083"/>
      <c r="BH8" s="1083"/>
      <c r="BI8" s="1083"/>
      <c r="BJ8" s="1083"/>
      <c r="BK8" s="1083"/>
      <c r="BL8" s="1083"/>
      <c r="BM8" s="1083"/>
      <c r="BN8" s="1083"/>
      <c r="BO8" s="1083"/>
      <c r="BP8" s="1083"/>
      <c r="BQ8" s="1083"/>
    </row>
    <row r="9" spans="1:77" ht="16.5" customHeight="1">
      <c r="A9" s="1083"/>
      <c r="B9" s="1400">
        <v>3</v>
      </c>
      <c r="C9" s="1401" t="s">
        <v>930</v>
      </c>
      <c r="D9" s="1401"/>
      <c r="E9" s="1401"/>
      <c r="F9" s="1401"/>
      <c r="G9" s="1401"/>
      <c r="H9" s="1401"/>
      <c r="I9" s="1401"/>
      <c r="J9" s="1401"/>
      <c r="K9" s="1401"/>
      <c r="L9" s="1401"/>
      <c r="M9" s="2422" t="s">
        <v>639</v>
      </c>
      <c r="N9" s="2422"/>
      <c r="O9" s="2422"/>
      <c r="P9" s="2422"/>
      <c r="Q9" s="2422"/>
      <c r="R9" s="2422"/>
      <c r="S9" s="2422"/>
      <c r="T9" s="2422"/>
      <c r="U9" s="2422"/>
      <c r="V9" s="2422"/>
      <c r="W9" s="2422"/>
      <c r="X9" s="2422"/>
      <c r="Y9" s="1401"/>
      <c r="Z9" s="1402"/>
      <c r="AA9" s="1403"/>
      <c r="AB9" s="1417" t="s">
        <v>694</v>
      </c>
      <c r="AC9" s="1418">
        <f>IF(AH9&gt;0,AH9,0)*5%</f>
        <v>12500</v>
      </c>
      <c r="AD9" s="1419" t="s">
        <v>694</v>
      </c>
      <c r="AE9" s="1418">
        <f>IF(AJ9&gt;0,AJ9,0)*5%</f>
        <v>12500</v>
      </c>
      <c r="AF9" s="1414"/>
      <c r="AG9" s="1420">
        <f>AC7-250000</f>
        <v>807680</v>
      </c>
      <c r="AH9" s="1421">
        <f>IF(AG9&gt;250000,250000,AG9)</f>
        <v>250000</v>
      </c>
      <c r="AI9" s="1420">
        <f>AE7-250000</f>
        <v>807680</v>
      </c>
      <c r="AJ9" s="1421">
        <f>IF(AI9&gt;250000,250000,AI9)</f>
        <v>250000</v>
      </c>
      <c r="AK9" s="1083"/>
      <c r="AL9" s="1390"/>
      <c r="AM9" s="1083"/>
      <c r="AN9" s="1083"/>
      <c r="AO9" s="1083"/>
      <c r="AP9" s="1083"/>
      <c r="AQ9" s="1083"/>
      <c r="AR9" s="1083"/>
      <c r="AS9" s="1083"/>
      <c r="AT9" s="1416" t="s">
        <v>9</v>
      </c>
      <c r="AU9" s="1083"/>
      <c r="AV9" s="1083"/>
      <c r="AW9" s="1083"/>
      <c r="AX9" s="1083"/>
      <c r="AY9" s="1083"/>
      <c r="AZ9" s="1083"/>
      <c r="BA9" s="1083"/>
      <c r="BB9" s="1083"/>
      <c r="BC9" s="1083"/>
      <c r="BD9" s="1083"/>
      <c r="BE9" s="1083"/>
      <c r="BF9" s="1083"/>
      <c r="BG9" s="1083"/>
      <c r="BH9" s="1083"/>
      <c r="BI9" s="1083"/>
      <c r="BJ9" s="1083"/>
      <c r="BK9" s="1083"/>
      <c r="BL9" s="1083"/>
      <c r="BM9" s="1083"/>
      <c r="BN9" s="1083"/>
      <c r="BO9" s="1083"/>
      <c r="BP9" s="1083"/>
      <c r="BQ9" s="1083"/>
    </row>
    <row r="10" spans="1:77" ht="19.5" customHeight="1">
      <c r="A10" s="1083"/>
      <c r="B10" s="1422"/>
      <c r="C10" s="1423"/>
      <c r="D10" s="1423"/>
      <c r="E10" s="1423"/>
      <c r="F10" s="1423"/>
      <c r="G10" s="1423"/>
      <c r="H10" s="1423"/>
      <c r="I10" s="1423"/>
      <c r="J10" s="1423"/>
      <c r="K10" s="1423"/>
      <c r="L10" s="1423"/>
      <c r="M10" s="1424"/>
      <c r="N10" s="1424"/>
      <c r="O10" s="1424"/>
      <c r="P10" s="1424"/>
      <c r="Q10" s="1424"/>
      <c r="R10" s="1424"/>
      <c r="S10" s="1424"/>
      <c r="T10" s="1424"/>
      <c r="U10" s="1424"/>
      <c r="V10" s="1424"/>
      <c r="W10" s="1424"/>
      <c r="X10" s="1424"/>
      <c r="Y10" s="1423"/>
      <c r="Z10" s="1402"/>
      <c r="AA10" s="1403"/>
      <c r="AB10" s="1425" t="s">
        <v>693</v>
      </c>
      <c r="AC10" s="1418">
        <f>IF(AH10&gt;0,AH10,0)*20%</f>
        <v>100000</v>
      </c>
      <c r="AD10" s="1426" t="s">
        <v>693</v>
      </c>
      <c r="AE10" s="1427">
        <f>IF(AJ10&gt;0,AJ10,0)*20%</f>
        <v>100000</v>
      </c>
      <c r="AF10" s="1414"/>
      <c r="AG10" s="1420">
        <f>AC7-500000</f>
        <v>557680</v>
      </c>
      <c r="AH10" s="1421">
        <f>IF(AG10&gt;500000,500000,AG10)</f>
        <v>500000</v>
      </c>
      <c r="AI10" s="1420">
        <f>AE7-500000</f>
        <v>557680</v>
      </c>
      <c r="AJ10" s="1421">
        <f>IF(AI10&gt;500000,500000,AI10)</f>
        <v>500000</v>
      </c>
      <c r="AK10" s="1083"/>
      <c r="AL10" s="1428" t="s">
        <v>676</v>
      </c>
      <c r="AM10" s="1429" t="s">
        <v>677</v>
      </c>
      <c r="AN10" s="1430" t="s">
        <v>674</v>
      </c>
      <c r="AO10" s="1431"/>
      <c r="AP10" s="1431"/>
      <c r="AQ10" s="1431"/>
      <c r="AR10" s="1431"/>
      <c r="AS10" s="1431"/>
      <c r="AT10" s="1416"/>
      <c r="AU10" s="2393" t="s">
        <v>763</v>
      </c>
      <c r="AV10" s="2393"/>
      <c r="AW10" s="2393"/>
      <c r="AX10" s="2393"/>
      <c r="AY10" s="1083"/>
      <c r="AZ10" s="1083"/>
      <c r="BA10" s="1083"/>
      <c r="BB10" s="1083"/>
      <c r="BC10" s="1083"/>
      <c r="BD10" s="1083"/>
      <c r="BE10" s="1083"/>
      <c r="BF10" s="1083"/>
      <c r="BG10" s="1083"/>
      <c r="BH10" s="1083"/>
      <c r="BI10" s="1083"/>
      <c r="BJ10" s="1083"/>
      <c r="BK10" s="1083"/>
      <c r="BL10" s="1083"/>
      <c r="BM10" s="1083"/>
      <c r="BN10" s="1083"/>
      <c r="BO10" s="1083"/>
      <c r="BP10" s="1083"/>
      <c r="BQ10" s="1083"/>
    </row>
    <row r="11" spans="1:77" ht="16.5" customHeight="1">
      <c r="A11" s="1083"/>
      <c r="B11" s="1422"/>
      <c r="C11" s="2403" t="str">
        <f>"Particulars of income referred to in rule 21A of the Income Tax rules, 1962,      during the previous year relevent to Assessment year"&amp;" "&amp;"2021"&amp;""&amp;"-"&amp;""&amp;"2022"</f>
        <v>Particulars of income referred to in rule 21A of the Income Tax rules, 1962,      during the previous year relevent to Assessment year 2021-2022</v>
      </c>
      <c r="D11" s="2403"/>
      <c r="E11" s="2403"/>
      <c r="F11" s="2403"/>
      <c r="G11" s="2403"/>
      <c r="H11" s="2403"/>
      <c r="I11" s="2403"/>
      <c r="J11" s="2403"/>
      <c r="K11" s="2403"/>
      <c r="L11" s="2403"/>
      <c r="M11" s="2403"/>
      <c r="N11" s="2403"/>
      <c r="O11" s="2403"/>
      <c r="P11" s="2403"/>
      <c r="Q11" s="2403"/>
      <c r="R11" s="2403"/>
      <c r="S11" s="2403"/>
      <c r="T11" s="2403"/>
      <c r="U11" s="2403"/>
      <c r="V11" s="2403"/>
      <c r="W11" s="2403"/>
      <c r="X11" s="2403"/>
      <c r="Y11" s="2403"/>
      <c r="Z11" s="1402"/>
      <c r="AA11" s="1403"/>
      <c r="AB11" s="1432" t="s">
        <v>684</v>
      </c>
      <c r="AC11" s="1433">
        <f>IF(AH11&gt;0,AH11,0)*30%</f>
        <v>17304</v>
      </c>
      <c r="AD11" s="1434" t="s">
        <v>684</v>
      </c>
      <c r="AE11" s="1427">
        <f>IF(AJ11&gt;0,AJ11,0)*30%</f>
        <v>17304</v>
      </c>
      <c r="AF11" s="1414"/>
      <c r="AG11" s="1420">
        <f>AC7-1000000</f>
        <v>57680</v>
      </c>
      <c r="AH11" s="1421">
        <f>IF(AG11&gt;500000,500000,AG11)</f>
        <v>57680</v>
      </c>
      <c r="AI11" s="1420">
        <f>AE7-1000000</f>
        <v>57680</v>
      </c>
      <c r="AJ11" s="1421">
        <f>IF(AI11&gt;500000,500000,AI11)</f>
        <v>57680</v>
      </c>
      <c r="AK11" s="1083"/>
      <c r="AL11" s="1435" t="s">
        <v>858</v>
      </c>
      <c r="AM11" s="1436">
        <f>DATA!K45</f>
        <v>0</v>
      </c>
      <c r="AN11" s="1437">
        <f>DATA!F45</f>
        <v>0</v>
      </c>
      <c r="AO11" s="1083"/>
      <c r="AP11" s="1083"/>
      <c r="AQ11" s="1083"/>
      <c r="AR11" s="1083"/>
      <c r="AS11" s="1083"/>
      <c r="AT11" s="1438">
        <v>2</v>
      </c>
      <c r="AU11" s="2393"/>
      <c r="AV11" s="2393"/>
      <c r="AW11" s="2393"/>
      <c r="AX11" s="2393"/>
      <c r="AY11" s="1083"/>
      <c r="AZ11" s="1083"/>
      <c r="BA11" s="1083"/>
      <c r="BB11" s="1083"/>
      <c r="BC11" s="1083"/>
      <c r="BD11" s="1083"/>
      <c r="BE11" s="1083"/>
      <c r="BF11" s="1083"/>
      <c r="BG11" s="1083"/>
      <c r="BH11" s="1083"/>
      <c r="BI11" s="1083"/>
      <c r="BJ11" s="1083"/>
      <c r="BK11" s="1083"/>
      <c r="BL11" s="1083"/>
      <c r="BM11" s="1083"/>
      <c r="BN11" s="1083"/>
      <c r="BO11" s="1083"/>
      <c r="BP11" s="1083"/>
      <c r="BQ11" s="1083"/>
    </row>
    <row r="12" spans="1:77" ht="20.25" customHeight="1">
      <c r="A12" s="1083"/>
      <c r="B12" s="1422"/>
      <c r="C12" s="2403"/>
      <c r="D12" s="2403"/>
      <c r="E12" s="2403"/>
      <c r="F12" s="2403"/>
      <c r="G12" s="2403"/>
      <c r="H12" s="2403"/>
      <c r="I12" s="2403"/>
      <c r="J12" s="2403"/>
      <c r="K12" s="2403"/>
      <c r="L12" s="2403"/>
      <c r="M12" s="2403"/>
      <c r="N12" s="2403"/>
      <c r="O12" s="2403"/>
      <c r="P12" s="2403"/>
      <c r="Q12" s="2403"/>
      <c r="R12" s="2403"/>
      <c r="S12" s="2403"/>
      <c r="T12" s="2403"/>
      <c r="U12" s="2403"/>
      <c r="V12" s="2403"/>
      <c r="W12" s="2403"/>
      <c r="X12" s="2403"/>
      <c r="Y12" s="2403"/>
      <c r="Z12" s="1402"/>
      <c r="AA12" s="1403"/>
      <c r="AB12" s="1439" t="s">
        <v>685</v>
      </c>
      <c r="AC12" s="1433">
        <f>'Annexure -I I'!L59</f>
        <v>0</v>
      </c>
      <c r="AD12" s="1440" t="s">
        <v>685</v>
      </c>
      <c r="AE12" s="1433">
        <f>IF(AE7&gt;500000,0,AC12)</f>
        <v>0</v>
      </c>
      <c r="AF12" s="1414"/>
      <c r="AG12" s="1415"/>
      <c r="AH12" s="1441"/>
      <c r="AI12" s="1415"/>
      <c r="AJ12" s="1442"/>
      <c r="AK12" s="1083"/>
      <c r="AL12" s="1443" t="s">
        <v>830</v>
      </c>
      <c r="AM12" s="1444">
        <f>DATA!K46</f>
        <v>0</v>
      </c>
      <c r="AN12" s="1445">
        <f>DATA!F46</f>
        <v>0</v>
      </c>
      <c r="AO12" s="1083"/>
      <c r="AP12" s="1083"/>
      <c r="AQ12" s="1083"/>
      <c r="AR12" s="1083"/>
      <c r="AS12" s="1083"/>
      <c r="AT12" s="1083"/>
      <c r="AU12" s="1446" t="s">
        <v>764</v>
      </c>
      <c r="AV12" s="1446" t="s">
        <v>765</v>
      </c>
      <c r="AW12" s="1447" t="s">
        <v>766</v>
      </c>
      <c r="AX12" s="1083"/>
      <c r="AY12" s="1083"/>
      <c r="AZ12" s="1083"/>
      <c r="BA12" s="1083"/>
      <c r="BB12" s="1083"/>
      <c r="BC12" s="1083"/>
      <c r="BD12" s="1083"/>
      <c r="BE12" s="1083"/>
      <c r="BF12" s="1083"/>
      <c r="BG12" s="1083"/>
      <c r="BH12" s="1083"/>
      <c r="BI12" s="1083"/>
      <c r="BJ12" s="1083"/>
      <c r="BK12" s="1083"/>
      <c r="BL12" s="1083"/>
      <c r="BM12" s="1083"/>
      <c r="BN12" s="1083"/>
      <c r="BO12" s="1083"/>
      <c r="BP12" s="1083"/>
      <c r="BQ12" s="1083"/>
      <c r="BR12" s="100"/>
      <c r="BS12" s="100"/>
      <c r="BT12" s="100"/>
      <c r="BU12" s="100"/>
      <c r="BV12" s="100"/>
      <c r="BW12" s="100"/>
      <c r="BX12" s="100"/>
      <c r="BY12" s="100"/>
    </row>
    <row r="13" spans="1:77" ht="18" customHeight="1">
      <c r="A13" s="1083"/>
      <c r="B13" s="1448">
        <v>1</v>
      </c>
      <c r="C13" s="1449" t="s">
        <v>640</v>
      </c>
      <c r="D13" s="2309" t="s">
        <v>641</v>
      </c>
      <c r="E13" s="2309"/>
      <c r="F13" s="2309"/>
      <c r="G13" s="2309"/>
      <c r="H13" s="2309"/>
      <c r="I13" s="2309"/>
      <c r="J13" s="2309"/>
      <c r="K13" s="2309"/>
      <c r="L13" s="2309"/>
      <c r="M13" s="2309"/>
      <c r="N13" s="2309"/>
      <c r="O13" s="2309"/>
      <c r="P13" s="2309"/>
      <c r="Q13" s="2309"/>
      <c r="R13" s="2309"/>
      <c r="S13" s="1450" t="s">
        <v>264</v>
      </c>
      <c r="T13" s="2333">
        <f>I81</f>
        <v>0</v>
      </c>
      <c r="U13" s="2334"/>
      <c r="V13" s="2334"/>
      <c r="W13" s="2334"/>
      <c r="X13" s="2334"/>
      <c r="Y13" s="1449"/>
      <c r="Z13" s="1451"/>
      <c r="AA13" s="1452"/>
      <c r="AB13" s="1453" t="s">
        <v>10</v>
      </c>
      <c r="AC13" s="1454">
        <f>IF((SUM(AC9:AC11)-AC12)&gt;0,(SUM(AC9:AC11)-AC12),0)</f>
        <v>129804</v>
      </c>
      <c r="AD13" s="1455" t="s">
        <v>10</v>
      </c>
      <c r="AE13" s="1454">
        <f>IF((SUM(AE9:AE11)-AE12)&gt;0,(SUM(AE9:AE11)-AE12),0)</f>
        <v>129804</v>
      </c>
      <c r="AF13" s="1456"/>
      <c r="AG13" s="1457"/>
      <c r="AH13" s="1458"/>
      <c r="AI13" s="1458"/>
      <c r="AJ13" s="1083"/>
      <c r="AK13" s="1083"/>
      <c r="AL13" s="1459" t="s">
        <v>671</v>
      </c>
      <c r="AM13" s="1460">
        <f>DATA!K49</f>
        <v>0</v>
      </c>
      <c r="AN13" s="1461">
        <f>DATA!F49</f>
        <v>0</v>
      </c>
      <c r="AO13" s="1083"/>
      <c r="AP13" s="1083"/>
      <c r="AQ13" s="1083"/>
      <c r="AR13" s="1083"/>
      <c r="AS13" s="1083"/>
      <c r="AT13" s="1083"/>
      <c r="AU13" s="1462">
        <v>1</v>
      </c>
      <c r="AV13" s="1462" t="s">
        <v>767</v>
      </c>
      <c r="AW13" s="1462" t="s">
        <v>768</v>
      </c>
      <c r="AX13" s="1083"/>
      <c r="AY13" s="1083"/>
      <c r="AZ13" s="1083"/>
      <c r="BA13" s="1083"/>
      <c r="BB13" s="1083"/>
      <c r="BC13" s="1083"/>
      <c r="BD13" s="1083"/>
      <c r="BE13" s="1083"/>
      <c r="BF13" s="1083"/>
      <c r="BG13" s="1083"/>
      <c r="BH13" s="1083"/>
      <c r="BI13" s="1083"/>
      <c r="BJ13" s="1083"/>
      <c r="BK13" s="1083"/>
      <c r="BL13" s="1083"/>
      <c r="BM13" s="1083"/>
      <c r="BN13" s="1083"/>
      <c r="BO13" s="1083"/>
      <c r="BP13" s="1083"/>
      <c r="BQ13" s="1083"/>
      <c r="BR13" s="100"/>
      <c r="BS13" s="100"/>
      <c r="BT13" s="100"/>
      <c r="BU13" s="100"/>
      <c r="BV13" s="100"/>
      <c r="BW13" s="100"/>
      <c r="BX13" s="100"/>
      <c r="BY13" s="100"/>
    </row>
    <row r="14" spans="1:77" ht="21.75" customHeight="1">
      <c r="A14" s="1083"/>
      <c r="B14" s="1448"/>
      <c r="C14" s="1449"/>
      <c r="D14" s="2309"/>
      <c r="E14" s="2309"/>
      <c r="F14" s="2309"/>
      <c r="G14" s="2309"/>
      <c r="H14" s="2309"/>
      <c r="I14" s="2309"/>
      <c r="J14" s="2309"/>
      <c r="K14" s="2309"/>
      <c r="L14" s="2309"/>
      <c r="M14" s="2309"/>
      <c r="N14" s="2309"/>
      <c r="O14" s="2309"/>
      <c r="P14" s="2309"/>
      <c r="Q14" s="2309"/>
      <c r="R14" s="2309"/>
      <c r="S14" s="1450"/>
      <c r="T14" s="2310"/>
      <c r="U14" s="2310"/>
      <c r="V14" s="2310"/>
      <c r="W14" s="2310"/>
      <c r="X14" s="2310"/>
      <c r="Y14" s="1449"/>
      <c r="Z14" s="1451"/>
      <c r="AA14" s="1452"/>
      <c r="AB14" s="1463" t="s">
        <v>720</v>
      </c>
      <c r="AC14" s="1464">
        <f>ROUND(AC13*1%,0.1)</f>
        <v>1298</v>
      </c>
      <c r="AD14" s="1465" t="s">
        <v>720</v>
      </c>
      <c r="AE14" s="1464">
        <f>ROUND(AE13*1%,0.1)</f>
        <v>1298</v>
      </c>
      <c r="AF14" s="1456"/>
      <c r="AG14" s="1458"/>
      <c r="AH14" s="1458"/>
      <c r="AI14" s="1458"/>
      <c r="AJ14" s="1398"/>
      <c r="AK14" s="1083"/>
      <c r="AL14" s="1466" t="str">
        <f>B77</f>
        <v>2017-18</v>
      </c>
      <c r="AM14" s="1467">
        <f>DATA!K48</f>
        <v>0</v>
      </c>
      <c r="AN14" s="1468">
        <f>DATA!F48</f>
        <v>0</v>
      </c>
      <c r="AO14" s="1469"/>
      <c r="AP14" s="1470"/>
      <c r="AQ14" s="1471"/>
      <c r="AR14" s="1471"/>
      <c r="AS14" s="1083"/>
      <c r="AT14" s="1083"/>
      <c r="AU14" s="1462">
        <v>2</v>
      </c>
      <c r="AV14" s="1462" t="s">
        <v>630</v>
      </c>
      <c r="AW14" s="1462" t="s">
        <v>768</v>
      </c>
      <c r="AX14" s="1083"/>
      <c r="AY14" s="1083"/>
      <c r="AZ14" s="1083"/>
      <c r="BA14" s="1083"/>
      <c r="BB14" s="1083"/>
      <c r="BC14" s="1083"/>
      <c r="BD14" s="1083"/>
      <c r="BE14" s="1083"/>
      <c r="BF14" s="1083"/>
      <c r="BG14" s="1083"/>
      <c r="BH14" s="1083"/>
      <c r="BI14" s="1083"/>
      <c r="BJ14" s="1083"/>
      <c r="BK14" s="1083"/>
      <c r="BL14" s="1083"/>
      <c r="BM14" s="1083"/>
      <c r="BN14" s="1083"/>
      <c r="BO14" s="1083"/>
      <c r="BP14" s="1083"/>
      <c r="BQ14" s="1083"/>
      <c r="BR14" s="100"/>
      <c r="BS14" s="100"/>
      <c r="BT14" s="100"/>
      <c r="BU14" s="100"/>
      <c r="BV14" s="100"/>
      <c r="BW14" s="100"/>
      <c r="BX14" s="100"/>
      <c r="BY14" s="100"/>
    </row>
    <row r="15" spans="1:77" ht="18.75" customHeight="1">
      <c r="A15" s="1083"/>
      <c r="B15" s="1448"/>
      <c r="C15" s="1449" t="s">
        <v>642</v>
      </c>
      <c r="D15" s="2309" t="s">
        <v>643</v>
      </c>
      <c r="E15" s="2309"/>
      <c r="F15" s="2309"/>
      <c r="G15" s="2309"/>
      <c r="H15" s="2309"/>
      <c r="I15" s="2309"/>
      <c r="J15" s="2309"/>
      <c r="K15" s="2309"/>
      <c r="L15" s="2309"/>
      <c r="M15" s="2309"/>
      <c r="N15" s="2309"/>
      <c r="O15" s="2309"/>
      <c r="P15" s="2309"/>
      <c r="Q15" s="2309"/>
      <c r="R15" s="2309"/>
      <c r="S15" s="1450" t="s">
        <v>264</v>
      </c>
      <c r="T15" s="2310" t="s">
        <v>3</v>
      </c>
      <c r="U15" s="2310"/>
      <c r="V15" s="2310"/>
      <c r="W15" s="2310"/>
      <c r="X15" s="2310"/>
      <c r="Y15" s="1449"/>
      <c r="Z15" s="1451"/>
      <c r="AA15" s="1452"/>
      <c r="AB15" s="1472" t="s">
        <v>723</v>
      </c>
      <c r="AC15" s="1427">
        <f>ROUND(AC13*3%,0.1)</f>
        <v>3894</v>
      </c>
      <c r="AD15" s="1473" t="s">
        <v>721</v>
      </c>
      <c r="AE15" s="1427">
        <f>ROUND(AE13*3%,0.1)</f>
        <v>3894</v>
      </c>
      <c r="AF15" s="1456"/>
      <c r="AG15" s="1458"/>
      <c r="AH15" s="1458"/>
      <c r="AI15" s="1458"/>
      <c r="AJ15" s="1398"/>
      <c r="AK15" s="1083"/>
      <c r="AL15" s="1474" t="s">
        <v>719</v>
      </c>
      <c r="AM15" s="1475">
        <f>DATA!K47</f>
        <v>0</v>
      </c>
      <c r="AN15" s="1476">
        <f>DATA!F47</f>
        <v>0</v>
      </c>
      <c r="AO15" s="1469"/>
      <c r="AP15" s="1477"/>
      <c r="AQ15" s="1477"/>
      <c r="AR15" s="1471"/>
      <c r="AS15" s="1083"/>
      <c r="AT15" s="1083"/>
      <c r="AU15" s="1462">
        <v>3</v>
      </c>
      <c r="AV15" s="1462" t="s">
        <v>671</v>
      </c>
      <c r="AW15" s="1462" t="s">
        <v>769</v>
      </c>
      <c r="AX15" s="1083"/>
      <c r="AY15" s="1083"/>
      <c r="AZ15" s="1083"/>
      <c r="BA15" s="1083"/>
      <c r="BB15" s="1083"/>
      <c r="BC15" s="1083"/>
      <c r="BD15" s="1083"/>
      <c r="BE15" s="1083"/>
      <c r="BF15" s="1083"/>
      <c r="BG15" s="1083"/>
      <c r="BH15" s="1083"/>
      <c r="BI15" s="1083"/>
      <c r="BJ15" s="1083"/>
      <c r="BK15" s="1083"/>
      <c r="BL15" s="1083"/>
      <c r="BM15" s="1083"/>
      <c r="BN15" s="1083"/>
      <c r="BO15" s="1083"/>
      <c r="BP15" s="1083"/>
      <c r="BQ15" s="1083"/>
      <c r="BR15" s="100"/>
      <c r="BS15" s="100"/>
      <c r="BT15" s="100"/>
      <c r="BU15" s="100"/>
      <c r="BV15" s="100"/>
      <c r="BW15" s="100"/>
      <c r="BX15" s="100"/>
      <c r="BY15" s="100"/>
    </row>
    <row r="16" spans="1:77" ht="32.25" customHeight="1">
      <c r="A16" s="1083"/>
      <c r="B16" s="1448"/>
      <c r="C16" s="1449"/>
      <c r="D16" s="2309"/>
      <c r="E16" s="2309"/>
      <c r="F16" s="2309"/>
      <c r="G16" s="2309"/>
      <c r="H16" s="2309"/>
      <c r="I16" s="2309"/>
      <c r="J16" s="2309"/>
      <c r="K16" s="2309"/>
      <c r="L16" s="2309"/>
      <c r="M16" s="2309"/>
      <c r="N16" s="2309"/>
      <c r="O16" s="2309"/>
      <c r="P16" s="2309"/>
      <c r="Q16" s="2309"/>
      <c r="R16" s="2309"/>
      <c r="S16" s="1450"/>
      <c r="T16" s="2310"/>
      <c r="U16" s="2310"/>
      <c r="V16" s="2310"/>
      <c r="W16" s="2310"/>
      <c r="X16" s="2310"/>
      <c r="Y16" s="1449"/>
      <c r="Z16" s="1451"/>
      <c r="AA16" s="1452"/>
      <c r="AB16" s="1478" t="s">
        <v>688</v>
      </c>
      <c r="AC16" s="1479">
        <f>SUM(AC13:AC15)</f>
        <v>134996</v>
      </c>
      <c r="AD16" s="1480" t="s">
        <v>688</v>
      </c>
      <c r="AE16" s="1479">
        <f>SUM(AE13:AE15)</f>
        <v>134996</v>
      </c>
      <c r="AF16" s="1481">
        <f>AC16-AE16</f>
        <v>0</v>
      </c>
      <c r="AG16" s="1458"/>
      <c r="AH16" s="1458"/>
      <c r="AI16" s="1458"/>
      <c r="AJ16" s="1398"/>
      <c r="AK16" s="1083"/>
      <c r="AL16" s="1474" t="s">
        <v>762</v>
      </c>
      <c r="AM16" s="1475">
        <f>DATA!K50</f>
        <v>0</v>
      </c>
      <c r="AN16" s="1476">
        <f>DATA!F50</f>
        <v>0</v>
      </c>
      <c r="AO16" s="1482"/>
      <c r="AP16" s="1477"/>
      <c r="AQ16" s="1477"/>
      <c r="AR16" s="1471"/>
      <c r="AS16" s="1083"/>
      <c r="AT16" s="1083"/>
      <c r="AU16" s="1462">
        <v>4</v>
      </c>
      <c r="AV16" s="1462" t="s">
        <v>762</v>
      </c>
      <c r="AW16" s="1462" t="s">
        <v>770</v>
      </c>
      <c r="AX16" s="1083"/>
      <c r="AY16" s="1083"/>
      <c r="AZ16" s="1083"/>
      <c r="BA16" s="1083"/>
      <c r="BB16" s="1083"/>
      <c r="BC16" s="1083"/>
      <c r="BD16" s="1083"/>
      <c r="BE16" s="1083"/>
      <c r="BF16" s="1083"/>
      <c r="BG16" s="1083"/>
      <c r="BH16" s="1083"/>
      <c r="BI16" s="1083"/>
      <c r="BJ16" s="1083"/>
      <c r="BK16" s="1083"/>
      <c r="BL16" s="1083"/>
      <c r="BM16" s="1083"/>
      <c r="BN16" s="1083"/>
      <c r="BO16" s="1083"/>
      <c r="BP16" s="1083"/>
      <c r="BQ16" s="1083"/>
      <c r="BR16" s="100"/>
      <c r="BS16" s="100"/>
      <c r="BT16" s="100"/>
      <c r="BU16" s="100"/>
      <c r="BV16" s="100"/>
      <c r="BW16" s="100"/>
      <c r="BX16" s="100"/>
      <c r="BY16" s="100"/>
    </row>
    <row r="17" spans="1:77" ht="13.15" customHeight="1">
      <c r="A17" s="1083"/>
      <c r="B17" s="1448"/>
      <c r="C17" s="1449"/>
      <c r="D17" s="1483"/>
      <c r="E17" s="1483"/>
      <c r="F17" s="1483"/>
      <c r="G17" s="1483"/>
      <c r="H17" s="1483"/>
      <c r="I17" s="1483"/>
      <c r="J17" s="1483"/>
      <c r="K17" s="1483"/>
      <c r="L17" s="1483"/>
      <c r="M17" s="1483"/>
      <c r="N17" s="1483"/>
      <c r="O17" s="1483"/>
      <c r="P17" s="1483"/>
      <c r="Q17" s="1483"/>
      <c r="R17" s="1483"/>
      <c r="S17" s="1450"/>
      <c r="T17" s="2310"/>
      <c r="U17" s="2310"/>
      <c r="V17" s="2310"/>
      <c r="W17" s="2310"/>
      <c r="X17" s="2310"/>
      <c r="Y17" s="1449"/>
      <c r="Z17" s="1451"/>
      <c r="AA17" s="1452"/>
      <c r="AB17" s="2299" t="s">
        <v>680</v>
      </c>
      <c r="AC17" s="2299" t="s">
        <v>630</v>
      </c>
      <c r="AD17" s="2299" t="s">
        <v>680</v>
      </c>
      <c r="AE17" s="2299" t="s">
        <v>630</v>
      </c>
      <c r="AF17" s="1456"/>
      <c r="AG17" s="1458"/>
      <c r="AH17" s="1458"/>
      <c r="AI17" s="1458"/>
      <c r="AJ17" s="1398"/>
      <c r="AK17" s="1083"/>
      <c r="AL17" s="2406"/>
      <c r="AM17" s="2394"/>
      <c r="AN17" s="2396"/>
      <c r="AO17" s="1469"/>
      <c r="AP17" s="1484"/>
      <c r="AQ17" s="1484"/>
      <c r="AR17" s="1484"/>
      <c r="AS17" s="1083"/>
      <c r="AT17" s="1083"/>
      <c r="AU17" s="1462">
        <v>5</v>
      </c>
      <c r="AV17" s="1462" t="s">
        <v>672</v>
      </c>
      <c r="AW17" s="1462" t="s">
        <v>770</v>
      </c>
      <c r="AX17" s="1083"/>
      <c r="AY17" s="1083"/>
      <c r="AZ17" s="1083"/>
      <c r="BA17" s="1083"/>
      <c r="BB17" s="1083"/>
      <c r="BC17" s="1083"/>
      <c r="BD17" s="1083"/>
      <c r="BE17" s="1083"/>
      <c r="BF17" s="1083"/>
      <c r="BG17" s="1083"/>
      <c r="BH17" s="1083"/>
      <c r="BI17" s="1083"/>
      <c r="BJ17" s="1083"/>
      <c r="BK17" s="1083"/>
      <c r="BL17" s="1083"/>
      <c r="BM17" s="1083"/>
      <c r="BN17" s="1083"/>
      <c r="BO17" s="1083"/>
      <c r="BP17" s="1083"/>
      <c r="BQ17" s="1083"/>
      <c r="BR17" s="100"/>
      <c r="BS17" s="100"/>
      <c r="BT17" s="100"/>
      <c r="BU17" s="100"/>
      <c r="BV17" s="100"/>
      <c r="BW17" s="100"/>
      <c r="BX17" s="100"/>
      <c r="BY17" s="100"/>
    </row>
    <row r="18" spans="1:77" ht="15.75" customHeight="1">
      <c r="A18" s="1083"/>
      <c r="B18" s="1448"/>
      <c r="C18" s="1449" t="s">
        <v>644</v>
      </c>
      <c r="D18" s="2309" t="s">
        <v>645</v>
      </c>
      <c r="E18" s="2309"/>
      <c r="F18" s="2309"/>
      <c r="G18" s="2309"/>
      <c r="H18" s="2309"/>
      <c r="I18" s="2309"/>
      <c r="J18" s="2309"/>
      <c r="K18" s="2309"/>
      <c r="L18" s="2309"/>
      <c r="M18" s="2309"/>
      <c r="N18" s="2309"/>
      <c r="O18" s="2309"/>
      <c r="P18" s="2309"/>
      <c r="Q18" s="2309"/>
      <c r="R18" s="2309"/>
      <c r="S18" s="1450" t="s">
        <v>264</v>
      </c>
      <c r="T18" s="2310" t="s">
        <v>3</v>
      </c>
      <c r="U18" s="2310"/>
      <c r="V18" s="2310"/>
      <c r="W18" s="2310"/>
      <c r="X18" s="2310"/>
      <c r="Y18" s="1449"/>
      <c r="Z18" s="1451"/>
      <c r="AA18" s="1452"/>
      <c r="AB18" s="2300"/>
      <c r="AC18" s="2300"/>
      <c r="AD18" s="2300"/>
      <c r="AE18" s="2300"/>
      <c r="AF18" s="2341" t="s">
        <v>689</v>
      </c>
      <c r="AG18" s="1458"/>
      <c r="AH18" s="1458"/>
      <c r="AI18" s="1458"/>
      <c r="AJ18" s="1398"/>
      <c r="AK18" s="1083"/>
      <c r="AL18" s="2407"/>
      <c r="AM18" s="2395"/>
      <c r="AN18" s="2397"/>
      <c r="AO18" s="1469"/>
      <c r="AP18" s="1484"/>
      <c r="AQ18" s="1484"/>
      <c r="AR18" s="1484"/>
      <c r="AS18" s="1083"/>
      <c r="AT18" s="1083"/>
      <c r="AU18" s="1462">
        <v>6</v>
      </c>
      <c r="AV18" s="1462" t="s">
        <v>673</v>
      </c>
      <c r="AW18" s="1462" t="s">
        <v>770</v>
      </c>
      <c r="AX18" s="1083"/>
      <c r="AY18" s="1083"/>
      <c r="AZ18" s="1083"/>
      <c r="BA18" s="1083"/>
      <c r="BB18" s="1083"/>
      <c r="BC18" s="1083"/>
      <c r="BD18" s="1083"/>
      <c r="BE18" s="1083"/>
      <c r="BF18" s="1083"/>
      <c r="BG18" s="1083"/>
      <c r="BH18" s="1083"/>
      <c r="BI18" s="1083"/>
      <c r="BJ18" s="1083"/>
      <c r="BK18" s="1083"/>
      <c r="BL18" s="1083"/>
      <c r="BM18" s="1083"/>
      <c r="BN18" s="1083"/>
      <c r="BO18" s="1083"/>
      <c r="BP18" s="1083"/>
      <c r="BQ18" s="1083"/>
      <c r="BR18" s="100"/>
      <c r="BS18" s="100"/>
      <c r="BT18" s="100"/>
      <c r="BU18" s="100"/>
      <c r="BV18" s="100"/>
      <c r="BW18" s="100"/>
      <c r="BX18" s="100"/>
      <c r="BY18" s="100"/>
    </row>
    <row r="19" spans="1:77" ht="18" customHeight="1">
      <c r="A19" s="1083"/>
      <c r="B19" s="1448"/>
      <c r="C19" s="1449"/>
      <c r="D19" s="2309"/>
      <c r="E19" s="2309"/>
      <c r="F19" s="2309"/>
      <c r="G19" s="2309"/>
      <c r="H19" s="2309"/>
      <c r="I19" s="2309"/>
      <c r="J19" s="2309"/>
      <c r="K19" s="2309"/>
      <c r="L19" s="2309"/>
      <c r="M19" s="2309"/>
      <c r="N19" s="2309"/>
      <c r="O19" s="2309"/>
      <c r="P19" s="2309"/>
      <c r="Q19" s="2309"/>
      <c r="R19" s="2309"/>
      <c r="S19" s="1450"/>
      <c r="T19" s="2310"/>
      <c r="U19" s="2310"/>
      <c r="V19" s="2310"/>
      <c r="W19" s="2310"/>
      <c r="X19" s="2310"/>
      <c r="Y19" s="1449"/>
      <c r="Z19" s="1451"/>
      <c r="AA19" s="1452"/>
      <c r="AB19" s="1485" t="s">
        <v>681</v>
      </c>
      <c r="AC19" s="1486">
        <f>IF(AM14="","",AM14)</f>
        <v>0</v>
      </c>
      <c r="AD19" s="1487" t="s">
        <v>681</v>
      </c>
      <c r="AE19" s="1486">
        <f>AC19</f>
        <v>0</v>
      </c>
      <c r="AF19" s="2341"/>
      <c r="AG19" s="1458"/>
      <c r="AH19" s="1458"/>
      <c r="AI19" s="1458"/>
      <c r="AJ19" s="1398"/>
      <c r="AK19" s="1083"/>
      <c r="AL19" s="2372" t="s">
        <v>756</v>
      </c>
      <c r="AM19" s="2373"/>
      <c r="AN19" s="2400">
        <f>SUM(AN11:AN16)</f>
        <v>0</v>
      </c>
      <c r="AO19" s="1488" t="e">
        <f>IF(DATA!CL274=2,Bill!P25,Bill!#REF!)</f>
        <v>#REF!</v>
      </c>
      <c r="AP19" s="1489"/>
      <c r="AQ19" s="1083"/>
      <c r="AR19" s="1083"/>
      <c r="AS19" s="1083"/>
      <c r="AT19" s="1083"/>
      <c r="AU19" s="1462"/>
      <c r="AV19" s="1462"/>
      <c r="AW19" s="1462"/>
      <c r="AX19" s="1083"/>
      <c r="AY19" s="1083"/>
      <c r="AZ19" s="1083"/>
      <c r="BA19" s="1083"/>
      <c r="BB19" s="1083"/>
      <c r="BC19" s="1083"/>
      <c r="BD19" s="1083"/>
      <c r="BE19" s="1083"/>
      <c r="BF19" s="1083"/>
      <c r="BG19" s="1083"/>
      <c r="BH19" s="1083"/>
      <c r="BI19" s="1083"/>
      <c r="BJ19" s="1083"/>
      <c r="BK19" s="1083"/>
      <c r="BL19" s="1083"/>
      <c r="BM19" s="1083"/>
      <c r="BN19" s="1083"/>
      <c r="BO19" s="1083"/>
      <c r="BP19" s="1083"/>
      <c r="BQ19" s="1083"/>
      <c r="BR19" s="100"/>
      <c r="BS19" s="100"/>
      <c r="BT19" s="100"/>
      <c r="BU19" s="100"/>
      <c r="BV19" s="100"/>
      <c r="BW19" s="100"/>
      <c r="BX19" s="100"/>
      <c r="BY19" s="100"/>
    </row>
    <row r="20" spans="1:77" ht="18" customHeight="1">
      <c r="A20" s="1083"/>
      <c r="B20" s="1448"/>
      <c r="C20" s="1449"/>
      <c r="D20" s="2309"/>
      <c r="E20" s="2309"/>
      <c r="F20" s="2309"/>
      <c r="G20" s="2309"/>
      <c r="H20" s="2309"/>
      <c r="I20" s="2309"/>
      <c r="J20" s="2309"/>
      <c r="K20" s="2309"/>
      <c r="L20" s="2309"/>
      <c r="M20" s="2309"/>
      <c r="N20" s="2309"/>
      <c r="O20" s="2309"/>
      <c r="P20" s="2309"/>
      <c r="Q20" s="2309"/>
      <c r="R20" s="2309"/>
      <c r="S20" s="1450"/>
      <c r="T20" s="2310"/>
      <c r="U20" s="2310"/>
      <c r="V20" s="2310"/>
      <c r="W20" s="2310"/>
      <c r="X20" s="2310"/>
      <c r="Y20" s="1449"/>
      <c r="Z20" s="1451"/>
      <c r="AA20" s="1452"/>
      <c r="AB20" s="1485" t="s">
        <v>709</v>
      </c>
      <c r="AC20" s="1486">
        <f>IF(AN14="","",AN14)</f>
        <v>0</v>
      </c>
      <c r="AD20" s="1490" t="s">
        <v>710</v>
      </c>
      <c r="AE20" s="1486">
        <v>0</v>
      </c>
      <c r="AF20" s="2341"/>
      <c r="AG20" s="1458"/>
      <c r="AH20" s="1458"/>
      <c r="AI20" s="1458"/>
      <c r="AJ20" s="1398"/>
      <c r="AK20" s="1083"/>
      <c r="AL20" s="2374"/>
      <c r="AM20" s="2375"/>
      <c r="AN20" s="2401"/>
      <c r="AO20" s="1491">
        <f>AN17-AN16</f>
        <v>0</v>
      </c>
      <c r="AP20" s="1083"/>
      <c r="AQ20" s="1083"/>
      <c r="AR20" s="1083"/>
      <c r="AS20" s="1083"/>
      <c r="AT20" s="1083"/>
      <c r="AU20" s="1083"/>
      <c r="AV20" s="1083"/>
      <c r="AW20" s="1083"/>
      <c r="AX20" s="1083"/>
      <c r="AY20" s="1083"/>
      <c r="AZ20" s="1083"/>
      <c r="BA20" s="1083"/>
      <c r="BB20" s="1083"/>
      <c r="BC20" s="1083"/>
      <c r="BD20" s="1083"/>
      <c r="BE20" s="1083"/>
      <c r="BF20" s="1083"/>
      <c r="BG20" s="1083"/>
      <c r="BH20" s="1083"/>
      <c r="BI20" s="1083"/>
      <c r="BJ20" s="1083"/>
      <c r="BK20" s="1083"/>
      <c r="BL20" s="1083"/>
      <c r="BM20" s="1083"/>
      <c r="BN20" s="1083"/>
      <c r="BO20" s="1083"/>
      <c r="BP20" s="1083"/>
      <c r="BQ20" s="1083"/>
      <c r="BR20" s="100"/>
      <c r="BS20" s="100"/>
      <c r="BT20" s="100"/>
      <c r="BU20" s="100"/>
      <c r="BV20" s="100"/>
      <c r="BW20" s="100"/>
      <c r="BX20" s="100"/>
      <c r="BY20" s="100"/>
    </row>
    <row r="21" spans="1:77" ht="22.5" customHeight="1">
      <c r="A21" s="1083"/>
      <c r="B21" s="1448"/>
      <c r="C21" s="1449"/>
      <c r="D21" s="2309"/>
      <c r="E21" s="2309"/>
      <c r="F21" s="2309"/>
      <c r="G21" s="2309"/>
      <c r="H21" s="2309"/>
      <c r="I21" s="2309"/>
      <c r="J21" s="2309"/>
      <c r="K21" s="2309"/>
      <c r="L21" s="2309"/>
      <c r="M21" s="2309"/>
      <c r="N21" s="2309"/>
      <c r="O21" s="2309"/>
      <c r="P21" s="2309"/>
      <c r="Q21" s="2309"/>
      <c r="R21" s="2309"/>
      <c r="S21" s="1450"/>
      <c r="T21" s="2310"/>
      <c r="U21" s="2310"/>
      <c r="V21" s="2310"/>
      <c r="W21" s="2310"/>
      <c r="X21" s="2310"/>
      <c r="Y21" s="1449"/>
      <c r="Z21" s="1451"/>
      <c r="AA21" s="1452"/>
      <c r="AB21" s="1492" t="s">
        <v>682</v>
      </c>
      <c r="AC21" s="1427">
        <f>SUM(AC19:AC20)</f>
        <v>0</v>
      </c>
      <c r="AD21" s="1493" t="s">
        <v>682</v>
      </c>
      <c r="AE21" s="1427">
        <f>SUM(AE19:AE20)</f>
        <v>0</v>
      </c>
      <c r="AF21" s="2341"/>
      <c r="AG21" s="1458"/>
      <c r="AH21" s="1458"/>
      <c r="AI21" s="1458"/>
      <c r="AJ21" s="1398"/>
      <c r="AK21" s="1083"/>
      <c r="AL21" s="2370" t="s">
        <v>776</v>
      </c>
      <c r="AM21" s="2398" t="str">
        <f>IF(U61=0,"No Tax Relief",U61)</f>
        <v>No Tax Relief</v>
      </c>
      <c r="AN21" s="2398"/>
      <c r="AO21" s="1083"/>
      <c r="AP21" s="1083"/>
      <c r="AQ21" s="1083"/>
      <c r="AR21" s="1083"/>
      <c r="AS21" s="1083"/>
      <c r="AT21" s="1083"/>
      <c r="AU21" s="1083"/>
      <c r="AV21" s="1083"/>
      <c r="AW21" s="1083"/>
      <c r="AX21" s="1083"/>
      <c r="AY21" s="1083"/>
      <c r="AZ21" s="1083"/>
      <c r="BA21" s="1083"/>
      <c r="BB21" s="1083"/>
      <c r="BC21" s="1083"/>
      <c r="BD21" s="1083"/>
      <c r="BE21" s="1083"/>
      <c r="BF21" s="1083"/>
      <c r="BG21" s="1083"/>
      <c r="BH21" s="1083"/>
      <c r="BI21" s="1083"/>
      <c r="BJ21" s="1083"/>
      <c r="BK21" s="1083"/>
      <c r="BL21" s="1083"/>
      <c r="BM21" s="1083"/>
      <c r="BN21" s="1083"/>
      <c r="BO21" s="1083"/>
      <c r="BP21" s="1083"/>
      <c r="BQ21" s="1083"/>
      <c r="BR21" s="100"/>
      <c r="BS21" s="100"/>
      <c r="BT21" s="100"/>
      <c r="BU21" s="100"/>
      <c r="BV21" s="100"/>
      <c r="BW21" s="100"/>
      <c r="BX21" s="100"/>
      <c r="BY21" s="100"/>
    </row>
    <row r="22" spans="1:77" ht="18" customHeight="1">
      <c r="A22" s="1083"/>
      <c r="B22" s="1448"/>
      <c r="C22" s="1449"/>
      <c r="D22" s="2309"/>
      <c r="E22" s="2309"/>
      <c r="F22" s="2309"/>
      <c r="G22" s="2309"/>
      <c r="H22" s="2309"/>
      <c r="I22" s="2309"/>
      <c r="J22" s="2309"/>
      <c r="K22" s="2309"/>
      <c r="L22" s="2309"/>
      <c r="M22" s="2309"/>
      <c r="N22" s="2309"/>
      <c r="O22" s="2309"/>
      <c r="P22" s="2309"/>
      <c r="Q22" s="2309"/>
      <c r="R22" s="2309"/>
      <c r="S22" s="1450"/>
      <c r="T22" s="2310"/>
      <c r="U22" s="2310"/>
      <c r="V22" s="2310"/>
      <c r="W22" s="2310"/>
      <c r="X22" s="2310"/>
      <c r="Y22" s="1449"/>
      <c r="Z22" s="1451"/>
      <c r="AA22" s="1452"/>
      <c r="AB22" s="1411" t="s">
        <v>829</v>
      </c>
      <c r="AC22" s="1412">
        <v>0</v>
      </c>
      <c r="AD22" s="1413" t="s">
        <v>683</v>
      </c>
      <c r="AE22" s="1412">
        <v>0</v>
      </c>
      <c r="AF22" s="2341"/>
      <c r="AG22" s="1458"/>
      <c r="AH22" s="1458"/>
      <c r="AI22" s="1458"/>
      <c r="AJ22" s="1083"/>
      <c r="AK22" s="1083"/>
      <c r="AL22" s="2371"/>
      <c r="AM22" s="2399"/>
      <c r="AN22" s="2399"/>
      <c r="AO22" s="1083"/>
      <c r="AP22" s="1083"/>
      <c r="AQ22" s="1083"/>
      <c r="AR22" s="1083"/>
      <c r="AS22" s="1083"/>
      <c r="AT22" s="1083"/>
      <c r="AU22" s="1083"/>
      <c r="AV22" s="1083"/>
      <c r="AW22" s="1083"/>
      <c r="AX22" s="1083"/>
      <c r="AY22" s="1083"/>
      <c r="AZ22" s="1083"/>
      <c r="BA22" s="1083"/>
      <c r="BB22" s="1083"/>
      <c r="BC22" s="1083"/>
      <c r="BD22" s="1083"/>
      <c r="BE22" s="1083"/>
      <c r="BF22" s="1083"/>
      <c r="BG22" s="1083"/>
      <c r="BH22" s="1083"/>
      <c r="BI22" s="1083"/>
      <c r="BJ22" s="1083"/>
      <c r="BK22" s="1083"/>
      <c r="BL22" s="1083"/>
      <c r="BM22" s="1083"/>
      <c r="BN22" s="1083"/>
      <c r="BO22" s="1083"/>
      <c r="BP22" s="1083"/>
      <c r="BQ22" s="1083"/>
      <c r="BR22" s="100"/>
      <c r="BS22" s="100"/>
      <c r="BT22" s="100"/>
      <c r="BU22" s="100"/>
      <c r="BV22" s="100"/>
      <c r="BW22" s="100"/>
      <c r="BX22" s="100"/>
      <c r="BY22" s="100"/>
    </row>
    <row r="23" spans="1:77" ht="19.5" customHeight="1">
      <c r="A23" s="1083"/>
      <c r="B23" s="1448"/>
      <c r="C23" s="1449"/>
      <c r="D23" s="1483"/>
      <c r="E23" s="1483"/>
      <c r="F23" s="1483"/>
      <c r="G23" s="1483"/>
      <c r="H23" s="1483"/>
      <c r="I23" s="1483"/>
      <c r="J23" s="1483"/>
      <c r="K23" s="1483"/>
      <c r="L23" s="1483"/>
      <c r="M23" s="1483"/>
      <c r="N23" s="1483"/>
      <c r="O23" s="1483"/>
      <c r="P23" s="1483"/>
      <c r="Q23" s="1483"/>
      <c r="R23" s="1483"/>
      <c r="S23" s="1450"/>
      <c r="T23" s="2310"/>
      <c r="U23" s="2310"/>
      <c r="V23" s="2310"/>
      <c r="W23" s="2310"/>
      <c r="X23" s="2310"/>
      <c r="Y23" s="1449"/>
      <c r="Z23" s="1451"/>
      <c r="AA23" s="1452"/>
      <c r="AB23" s="1417" t="s">
        <v>694</v>
      </c>
      <c r="AC23" s="1418">
        <f>IF(AH23&gt;0,AH23,0)*5%</f>
        <v>0</v>
      </c>
      <c r="AD23" s="1419" t="s">
        <v>727</v>
      </c>
      <c r="AE23" s="1418">
        <f>IF(AJ23&gt;0,AJ23,0)*5%</f>
        <v>0</v>
      </c>
      <c r="AF23" s="2341"/>
      <c r="AG23" s="1420">
        <f>AC21-250000</f>
        <v>-250000</v>
      </c>
      <c r="AH23" s="1421">
        <f>IF(AG23&gt;250000,250000,AG23)</f>
        <v>-250000</v>
      </c>
      <c r="AI23" s="1420">
        <f>AE21-250000</f>
        <v>-250000</v>
      </c>
      <c r="AJ23" s="1421">
        <f>IF(AI23&gt;250000,250000,AI23)</f>
        <v>-250000</v>
      </c>
      <c r="AK23" s="1083"/>
      <c r="AL23" s="2408"/>
      <c r="AM23" s="1494" t="s">
        <v>714</v>
      </c>
      <c r="AN23" s="1495"/>
      <c r="AO23" s="1083"/>
      <c r="AP23" s="1083"/>
      <c r="AQ23" s="1083"/>
      <c r="AR23" s="1083"/>
      <c r="AS23" s="1083"/>
      <c r="AT23" s="1083"/>
      <c r="AU23" s="1083"/>
      <c r="AV23" s="1083"/>
      <c r="AW23" s="1083"/>
      <c r="AX23" s="1083"/>
      <c r="AY23" s="1083"/>
      <c r="AZ23" s="1083"/>
      <c r="BA23" s="1083"/>
      <c r="BB23" s="1083"/>
      <c r="BC23" s="1083"/>
      <c r="BD23" s="1083"/>
      <c r="BE23" s="1083"/>
      <c r="BF23" s="1083"/>
      <c r="BG23" s="1083"/>
      <c r="BH23" s="1083"/>
      <c r="BI23" s="1083"/>
      <c r="BJ23" s="1083"/>
      <c r="BK23" s="1083"/>
      <c r="BL23" s="1083"/>
      <c r="BM23" s="1083"/>
      <c r="BN23" s="1083"/>
      <c r="BO23" s="1083"/>
      <c r="BP23" s="1083"/>
      <c r="BQ23" s="1083"/>
      <c r="BR23" s="100"/>
      <c r="BS23" s="100"/>
      <c r="BT23" s="100"/>
      <c r="BU23" s="100"/>
      <c r="BV23" s="100"/>
      <c r="BW23" s="100"/>
      <c r="BX23" s="100"/>
      <c r="BY23" s="100"/>
    </row>
    <row r="24" spans="1:77" ht="15.75" customHeight="1">
      <c r="A24" s="1083"/>
      <c r="B24" s="1448"/>
      <c r="C24" s="1449" t="s">
        <v>646</v>
      </c>
      <c r="D24" s="2309" t="s">
        <v>647</v>
      </c>
      <c r="E24" s="2309"/>
      <c r="F24" s="2309"/>
      <c r="G24" s="2309"/>
      <c r="H24" s="2309"/>
      <c r="I24" s="2309"/>
      <c r="J24" s="2309"/>
      <c r="K24" s="2309"/>
      <c r="L24" s="2309"/>
      <c r="M24" s="2309"/>
      <c r="N24" s="2309"/>
      <c r="O24" s="2309"/>
      <c r="P24" s="2309"/>
      <c r="Q24" s="2309"/>
      <c r="R24" s="2309"/>
      <c r="S24" s="1450" t="s">
        <v>264</v>
      </c>
      <c r="T24" s="2310" t="s">
        <v>3</v>
      </c>
      <c r="U24" s="2310"/>
      <c r="V24" s="2310"/>
      <c r="W24" s="2310"/>
      <c r="X24" s="2310"/>
      <c r="Y24" s="1449"/>
      <c r="Z24" s="1451"/>
      <c r="AA24" s="1452"/>
      <c r="AB24" s="1425" t="s">
        <v>693</v>
      </c>
      <c r="AC24" s="1418">
        <f>IF(AH24&gt;0,AH24,0)*20%</f>
        <v>0</v>
      </c>
      <c r="AD24" s="1426" t="s">
        <v>696</v>
      </c>
      <c r="AE24" s="1427">
        <f>IF(AJ24&gt;0,AJ24,0)*20%</f>
        <v>0</v>
      </c>
      <c r="AF24" s="2341"/>
      <c r="AG24" s="1420">
        <f>AC21-500000</f>
        <v>-500000</v>
      </c>
      <c r="AH24" s="1421">
        <f>IF(AG24&gt;500000,500000,AG24)</f>
        <v>-500000</v>
      </c>
      <c r="AI24" s="1420">
        <f>AE21-500000</f>
        <v>-500000</v>
      </c>
      <c r="AJ24" s="1421">
        <f>IF(AI24&gt;500000,500000,AI24)</f>
        <v>-500000</v>
      </c>
      <c r="AK24" s="1083"/>
      <c r="AL24" s="2408"/>
      <c r="AM24" s="1494" t="s">
        <v>715</v>
      </c>
      <c r="AN24" s="1496"/>
      <c r="AO24" s="1083"/>
      <c r="AP24" s="1083"/>
      <c r="AQ24" s="1083"/>
      <c r="AR24" s="1083"/>
      <c r="AS24" s="1083"/>
      <c r="AT24" s="1083"/>
      <c r="AU24" s="1083"/>
      <c r="AV24" s="1083"/>
      <c r="AW24" s="1083"/>
      <c r="AX24" s="1083"/>
      <c r="AY24" s="1083"/>
      <c r="AZ24" s="1083"/>
      <c r="BA24" s="1083"/>
      <c r="BB24" s="1083"/>
      <c r="BC24" s="1083"/>
      <c r="BD24" s="1083"/>
      <c r="BE24" s="1083"/>
      <c r="BF24" s="1083"/>
      <c r="BG24" s="1083"/>
      <c r="BH24" s="1083"/>
      <c r="BI24" s="1083"/>
      <c r="BJ24" s="1083"/>
      <c r="BK24" s="1083"/>
      <c r="BL24" s="1083"/>
      <c r="BM24" s="1083"/>
      <c r="BN24" s="1083"/>
      <c r="BO24" s="1083"/>
      <c r="BP24" s="1083"/>
      <c r="BQ24" s="1083"/>
      <c r="BR24" s="100"/>
      <c r="BS24" s="100"/>
      <c r="BT24" s="100"/>
      <c r="BU24" s="100"/>
      <c r="BV24" s="100"/>
      <c r="BW24" s="100"/>
      <c r="BX24" s="100"/>
      <c r="BY24" s="100"/>
    </row>
    <row r="25" spans="1:77" ht="19.5" customHeight="1">
      <c r="A25" s="1083"/>
      <c r="B25" s="1448"/>
      <c r="C25" s="1449"/>
      <c r="D25" s="2309"/>
      <c r="E25" s="2309"/>
      <c r="F25" s="2309"/>
      <c r="G25" s="2309"/>
      <c r="H25" s="2309"/>
      <c r="I25" s="2309"/>
      <c r="J25" s="2309"/>
      <c r="K25" s="2309"/>
      <c r="L25" s="2309"/>
      <c r="M25" s="2309"/>
      <c r="N25" s="2309"/>
      <c r="O25" s="2309"/>
      <c r="P25" s="2309"/>
      <c r="Q25" s="2309"/>
      <c r="R25" s="2309"/>
      <c r="S25" s="1450"/>
      <c r="T25" s="2310"/>
      <c r="U25" s="2310"/>
      <c r="V25" s="2310"/>
      <c r="W25" s="2310"/>
      <c r="X25" s="2310"/>
      <c r="Y25" s="1449"/>
      <c r="Z25" s="1451"/>
      <c r="AA25" s="1452"/>
      <c r="AB25" s="1432" t="s">
        <v>692</v>
      </c>
      <c r="AC25" s="1418">
        <f>IF(AH25&gt;0,AH25,0)*30%</f>
        <v>0</v>
      </c>
      <c r="AD25" s="1434" t="s">
        <v>725</v>
      </c>
      <c r="AE25" s="1427">
        <f>IF(AJ25&gt;0,AJ25,0)*30%</f>
        <v>0</v>
      </c>
      <c r="AF25" s="2341"/>
      <c r="AG25" s="1420">
        <f>AC21-1000000</f>
        <v>-1000000</v>
      </c>
      <c r="AH25" s="1421">
        <f>IF(AG25&gt;500000,500000,AG25)</f>
        <v>-1000000</v>
      </c>
      <c r="AI25" s="1420">
        <f>AE21-1000000</f>
        <v>-1000000</v>
      </c>
      <c r="AJ25" s="1421">
        <f>IF(AI25&gt;500000,500000,AI25)</f>
        <v>-1000000</v>
      </c>
      <c r="AK25" s="1083"/>
      <c r="AL25" s="1390"/>
      <c r="AM25" s="1497" t="s">
        <v>678</v>
      </c>
      <c r="AN25" s="1083"/>
      <c r="AO25" s="1083"/>
      <c r="AP25" s="1083"/>
      <c r="AQ25" s="1083"/>
      <c r="AR25" s="1083"/>
      <c r="AS25" s="1083"/>
      <c r="AT25" s="1083"/>
      <c r="AU25" s="1083"/>
      <c r="AV25" s="1083"/>
      <c r="AW25" s="1083"/>
      <c r="AX25" s="1083"/>
      <c r="AY25" s="1083"/>
      <c r="AZ25" s="1083"/>
      <c r="BA25" s="1083"/>
      <c r="BB25" s="1083"/>
      <c r="BC25" s="1083"/>
      <c r="BD25" s="1083"/>
      <c r="BE25" s="1083"/>
      <c r="BF25" s="1083"/>
      <c r="BG25" s="1083"/>
      <c r="BH25" s="1083"/>
      <c r="BI25" s="1083"/>
      <c r="BJ25" s="1083"/>
      <c r="BK25" s="1083"/>
      <c r="BL25" s="1083"/>
      <c r="BM25" s="1083"/>
      <c r="BN25" s="1083"/>
      <c r="BO25" s="1083"/>
      <c r="BP25" s="1083"/>
      <c r="BQ25" s="1083"/>
      <c r="BR25" s="100"/>
      <c r="BS25" s="100"/>
      <c r="BT25" s="100"/>
      <c r="BU25" s="100"/>
      <c r="BV25" s="100"/>
      <c r="BW25" s="100"/>
      <c r="BX25" s="100"/>
      <c r="BY25" s="100"/>
    </row>
    <row r="26" spans="1:77" ht="19.5" customHeight="1">
      <c r="A26" s="1083"/>
      <c r="B26" s="1448"/>
      <c r="C26" s="1449"/>
      <c r="D26" s="1483"/>
      <c r="E26" s="1483"/>
      <c r="F26" s="1483"/>
      <c r="G26" s="1483"/>
      <c r="H26" s="1483"/>
      <c r="I26" s="1483"/>
      <c r="J26" s="1483"/>
      <c r="K26" s="1483"/>
      <c r="L26" s="1483"/>
      <c r="M26" s="1483"/>
      <c r="N26" s="1483"/>
      <c r="O26" s="1483"/>
      <c r="P26" s="1483"/>
      <c r="Q26" s="1483"/>
      <c r="R26" s="1483"/>
      <c r="S26" s="1450"/>
      <c r="T26" s="2310"/>
      <c r="U26" s="2310"/>
      <c r="V26" s="2310"/>
      <c r="W26" s="2310"/>
      <c r="X26" s="2310"/>
      <c r="Y26" s="1449"/>
      <c r="Z26" s="1451"/>
      <c r="AA26" s="1452"/>
      <c r="AB26" s="1439" t="s">
        <v>685</v>
      </c>
      <c r="AC26" s="1433">
        <f>IF(AC21&gt;350000,0,2500)</f>
        <v>2500</v>
      </c>
      <c r="AD26" s="1440" t="s">
        <v>685</v>
      </c>
      <c r="AE26" s="1433">
        <f>IF(AC19&gt;350000,0,2500)</f>
        <v>2500</v>
      </c>
      <c r="AF26" s="2341"/>
      <c r="AG26" s="1458"/>
      <c r="AH26" s="1458"/>
      <c r="AI26" s="1458"/>
      <c r="AJ26" s="1083"/>
      <c r="AK26" s="1083"/>
      <c r="AL26" s="1390"/>
      <c r="AM26" s="1083"/>
      <c r="AN26" s="1083"/>
      <c r="AO26" s="1083"/>
      <c r="AP26" s="1083"/>
      <c r="AQ26" s="1083"/>
      <c r="AR26" s="1083"/>
      <c r="AS26" s="1083"/>
      <c r="AT26" s="1083"/>
      <c r="AU26" s="1083"/>
      <c r="AV26" s="1083"/>
      <c r="AW26" s="1083"/>
      <c r="AX26" s="1083"/>
      <c r="AY26" s="1083"/>
      <c r="AZ26" s="1083"/>
      <c r="BA26" s="1083"/>
      <c r="BB26" s="1083"/>
      <c r="BC26" s="1083"/>
      <c r="BD26" s="1083"/>
      <c r="BE26" s="1083"/>
      <c r="BF26" s="1083"/>
      <c r="BG26" s="1083"/>
      <c r="BH26" s="1083"/>
      <c r="BI26" s="1083"/>
      <c r="BJ26" s="1083"/>
      <c r="BK26" s="1083"/>
      <c r="BL26" s="1083"/>
      <c r="BM26" s="1083"/>
      <c r="BN26" s="1083"/>
      <c r="BO26" s="1083"/>
      <c r="BP26" s="1083"/>
      <c r="BQ26" s="1083"/>
      <c r="BR26" s="100"/>
      <c r="BS26" s="100"/>
      <c r="BT26" s="100"/>
      <c r="BU26" s="100"/>
      <c r="BV26" s="100"/>
      <c r="BW26" s="100"/>
      <c r="BX26" s="100"/>
      <c r="BY26" s="100"/>
    </row>
    <row r="27" spans="1:77" ht="18.75" customHeight="1">
      <c r="A27" s="1083"/>
      <c r="B27" s="1448">
        <v>2</v>
      </c>
      <c r="C27" s="1449"/>
      <c r="D27" s="2309" t="s">
        <v>648</v>
      </c>
      <c r="E27" s="2309"/>
      <c r="F27" s="2309"/>
      <c r="G27" s="2309"/>
      <c r="H27" s="2309"/>
      <c r="I27" s="2309"/>
      <c r="J27" s="2309"/>
      <c r="K27" s="2309"/>
      <c r="L27" s="2309"/>
      <c r="M27" s="2309"/>
      <c r="N27" s="2309"/>
      <c r="O27" s="2309"/>
      <c r="P27" s="2309"/>
      <c r="Q27" s="2309"/>
      <c r="R27" s="2309"/>
      <c r="S27" s="1450"/>
      <c r="T27" s="2310" t="s">
        <v>649</v>
      </c>
      <c r="U27" s="2310"/>
      <c r="V27" s="2310"/>
      <c r="W27" s="2310"/>
      <c r="X27" s="2310"/>
      <c r="Y27" s="1449"/>
      <c r="Z27" s="1451"/>
      <c r="AA27" s="1452"/>
      <c r="AB27" s="1453" t="s">
        <v>10</v>
      </c>
      <c r="AC27" s="1454">
        <f>IF((SUM(AC22:AC25)-AC26)&gt;0,(SUM(AC22:AC25)-AC26),0)</f>
        <v>0</v>
      </c>
      <c r="AD27" s="1455" t="s">
        <v>10</v>
      </c>
      <c r="AE27" s="1454">
        <f>IF((SUM(AE22:AE25)-AE26)&gt;0,(SUM(AE22:AE25)-AE26),0)</f>
        <v>0</v>
      </c>
      <c r="AF27" s="2341"/>
      <c r="AG27" s="1458"/>
      <c r="AH27" s="1458"/>
      <c r="AI27" s="1458"/>
      <c r="AJ27" s="1083"/>
      <c r="AK27" s="1494"/>
      <c r="AL27" s="1494"/>
      <c r="AM27" s="1494"/>
      <c r="AN27" s="1083"/>
      <c r="AO27" s="1083"/>
      <c r="AP27" s="1083"/>
      <c r="AQ27" s="1083"/>
      <c r="AR27" s="1083"/>
      <c r="AS27" s="1083"/>
      <c r="AT27" s="1083"/>
      <c r="AU27" s="1083"/>
      <c r="AV27" s="1083"/>
      <c r="AW27" s="1083"/>
      <c r="AX27" s="1083"/>
      <c r="AY27" s="1083"/>
      <c r="AZ27" s="1083"/>
      <c r="BA27" s="1083"/>
      <c r="BB27" s="1083"/>
      <c r="BC27" s="1083"/>
      <c r="BD27" s="1083"/>
      <c r="BE27" s="1083"/>
      <c r="BF27" s="1083"/>
      <c r="BG27" s="1083"/>
      <c r="BH27" s="1083"/>
      <c r="BI27" s="1083"/>
      <c r="BJ27" s="1083"/>
      <c r="BK27" s="1083"/>
      <c r="BL27" s="1083"/>
      <c r="BM27" s="1083"/>
      <c r="BN27" s="1083"/>
      <c r="BO27" s="1083"/>
      <c r="BP27" s="1083"/>
      <c r="BQ27" s="1083"/>
      <c r="BR27" s="100"/>
      <c r="BS27" s="100"/>
      <c r="BT27" s="100"/>
      <c r="BU27" s="100"/>
      <c r="BV27" s="100"/>
      <c r="BW27" s="100"/>
      <c r="BX27" s="100"/>
      <c r="BY27" s="100"/>
    </row>
    <row r="28" spans="1:77" ht="18.75" customHeight="1">
      <c r="A28" s="1083"/>
      <c r="B28" s="1498"/>
      <c r="C28" s="1449"/>
      <c r="D28" s="2309"/>
      <c r="E28" s="2309"/>
      <c r="F28" s="2309"/>
      <c r="G28" s="2309"/>
      <c r="H28" s="2309"/>
      <c r="I28" s="2309"/>
      <c r="J28" s="2309"/>
      <c r="K28" s="2309"/>
      <c r="L28" s="2309"/>
      <c r="M28" s="2309"/>
      <c r="N28" s="2309"/>
      <c r="O28" s="2309"/>
      <c r="P28" s="2309"/>
      <c r="Q28" s="2309"/>
      <c r="R28" s="2309"/>
      <c r="S28" s="1450"/>
      <c r="T28" s="2312"/>
      <c r="U28" s="2312"/>
      <c r="V28" s="2312"/>
      <c r="W28" s="2312"/>
      <c r="X28" s="2312"/>
      <c r="Y28" s="1449"/>
      <c r="Z28" s="1451"/>
      <c r="AA28" s="1452"/>
      <c r="AB28" s="1499" t="s">
        <v>686</v>
      </c>
      <c r="AC28" s="1464">
        <f>ROUND(AC27*1%,0.1)</f>
        <v>0</v>
      </c>
      <c r="AD28" s="1500" t="s">
        <v>686</v>
      </c>
      <c r="AE28" s="1464">
        <f>ROUND(AE27*1%,0.1)</f>
        <v>0</v>
      </c>
      <c r="AF28" s="2341"/>
      <c r="AG28" s="1458"/>
      <c r="AH28" s="1458"/>
      <c r="AI28" s="1458"/>
      <c r="AJ28" s="1083"/>
      <c r="AK28" s="1494"/>
      <c r="AL28" s="1494"/>
      <c r="AM28" s="1494"/>
      <c r="AN28" s="1083"/>
      <c r="AO28" s="1083"/>
      <c r="AP28" s="1083"/>
      <c r="AQ28" s="1083"/>
      <c r="AR28" s="1083"/>
      <c r="AS28" s="1083"/>
      <c r="AT28" s="1083"/>
      <c r="AU28" s="1083"/>
      <c r="AV28" s="1083"/>
      <c r="AW28" s="1083"/>
      <c r="AX28" s="1083"/>
      <c r="AY28" s="1083"/>
      <c r="AZ28" s="1083"/>
      <c r="BA28" s="1083"/>
      <c r="BB28" s="1083"/>
      <c r="BC28" s="1083"/>
      <c r="BD28" s="1083"/>
      <c r="BE28" s="1083"/>
      <c r="BF28" s="1083"/>
      <c r="BG28" s="1083"/>
      <c r="BH28" s="1083"/>
      <c r="BI28" s="1083"/>
      <c r="BJ28" s="1083"/>
      <c r="BK28" s="1083"/>
      <c r="BL28" s="1083"/>
      <c r="BM28" s="1083"/>
      <c r="BN28" s="1083"/>
      <c r="BO28" s="1083"/>
      <c r="BP28" s="1083"/>
      <c r="BQ28" s="1083"/>
      <c r="BR28" s="100"/>
      <c r="BS28" s="100"/>
      <c r="BT28" s="100"/>
      <c r="BU28" s="100"/>
      <c r="BV28" s="100"/>
      <c r="BW28" s="100"/>
      <c r="BX28" s="100"/>
      <c r="BY28" s="100"/>
    </row>
    <row r="29" spans="1:77" ht="17.25" customHeight="1">
      <c r="A29" s="1083"/>
      <c r="B29" s="1498"/>
      <c r="C29" s="1449"/>
      <c r="D29" s="1449"/>
      <c r="E29" s="1449"/>
      <c r="F29" s="1449"/>
      <c r="G29" s="1449"/>
      <c r="H29" s="1449"/>
      <c r="I29" s="1449"/>
      <c r="J29" s="1449"/>
      <c r="K29" s="1449"/>
      <c r="L29" s="1449"/>
      <c r="M29" s="1449"/>
      <c r="N29" s="1449"/>
      <c r="O29" s="1449"/>
      <c r="P29" s="1449"/>
      <c r="Q29" s="1449"/>
      <c r="R29" s="1449"/>
      <c r="S29" s="1450"/>
      <c r="T29" s="1449"/>
      <c r="U29" s="1449"/>
      <c r="V29" s="1449"/>
      <c r="W29" s="1449"/>
      <c r="X29" s="1449"/>
      <c r="Y29" s="1449"/>
      <c r="Z29" s="1451"/>
      <c r="AA29" s="1452"/>
      <c r="AB29" s="2411" t="s">
        <v>687</v>
      </c>
      <c r="AC29" s="2387">
        <f>ROUND(AC27*2%,0.1)</f>
        <v>0</v>
      </c>
      <c r="AD29" s="2409" t="s">
        <v>687</v>
      </c>
      <c r="AE29" s="2387">
        <f>ROUND(AE27*2%,0.1)</f>
        <v>0</v>
      </c>
      <c r="AF29" s="2341"/>
      <c r="AG29" s="1458"/>
      <c r="AH29" s="1458"/>
      <c r="AI29" s="1458"/>
      <c r="AJ29" s="1083"/>
      <c r="AK29" s="1497"/>
      <c r="AL29" s="1497"/>
      <c r="AM29" s="1497"/>
      <c r="AN29" s="1083"/>
      <c r="AO29" s="1083"/>
      <c r="AP29" s="1083"/>
      <c r="AQ29" s="1083"/>
      <c r="AR29" s="1083"/>
      <c r="AS29" s="1083"/>
      <c r="AT29" s="1083"/>
      <c r="AU29" s="1083"/>
      <c r="AV29" s="1083"/>
      <c r="AW29" s="1083"/>
      <c r="AX29" s="1083"/>
      <c r="AY29" s="1083"/>
      <c r="AZ29" s="1083"/>
      <c r="BA29" s="1083"/>
      <c r="BB29" s="1083"/>
      <c r="BC29" s="1083"/>
      <c r="BD29" s="1083"/>
      <c r="BE29" s="1083"/>
      <c r="BF29" s="1083"/>
      <c r="BG29" s="1083"/>
      <c r="BH29" s="1083"/>
      <c r="BI29" s="1083"/>
      <c r="BJ29" s="1083"/>
      <c r="BK29" s="1083"/>
      <c r="BL29" s="1083"/>
      <c r="BM29" s="1083"/>
      <c r="BN29" s="1083"/>
      <c r="BO29" s="1083"/>
      <c r="BP29" s="1083"/>
      <c r="BQ29" s="1083"/>
      <c r="BR29" s="100"/>
      <c r="BS29" s="100"/>
      <c r="BT29" s="100"/>
      <c r="BU29" s="100"/>
      <c r="BV29" s="100"/>
      <c r="BW29" s="100"/>
      <c r="BX29" s="100"/>
      <c r="BY29" s="100"/>
    </row>
    <row r="30" spans="1:77" ht="2.25" customHeight="1">
      <c r="A30" s="1083"/>
      <c r="B30" s="1498"/>
      <c r="C30" s="1449"/>
      <c r="D30" s="1449"/>
      <c r="E30" s="1449"/>
      <c r="F30" s="1449"/>
      <c r="G30" s="1449"/>
      <c r="H30" s="1449"/>
      <c r="I30" s="1449"/>
      <c r="J30" s="1449"/>
      <c r="K30" s="1449"/>
      <c r="L30" s="1449"/>
      <c r="M30" s="1449"/>
      <c r="N30" s="1449"/>
      <c r="O30" s="1449"/>
      <c r="P30" s="1449"/>
      <c r="Q30" s="1449"/>
      <c r="R30" s="1449"/>
      <c r="S30" s="1449"/>
      <c r="T30" s="1449"/>
      <c r="U30" s="1449"/>
      <c r="V30" s="1449"/>
      <c r="W30" s="1449"/>
      <c r="X30" s="1449"/>
      <c r="Y30" s="1449"/>
      <c r="Z30" s="1451"/>
      <c r="AA30" s="1452"/>
      <c r="AB30" s="2412"/>
      <c r="AC30" s="2388"/>
      <c r="AD30" s="2410"/>
      <c r="AE30" s="2388"/>
      <c r="AF30" s="2342"/>
      <c r="AG30" s="1458"/>
      <c r="AH30" s="1458"/>
      <c r="AI30" s="1458"/>
      <c r="AJ30" s="1083"/>
      <c r="AK30" s="1083"/>
      <c r="AL30" s="1390"/>
      <c r="AM30" s="1083"/>
      <c r="AN30" s="1083"/>
      <c r="AO30" s="1083"/>
      <c r="AP30" s="1083"/>
      <c r="AQ30" s="1083"/>
      <c r="AR30" s="1083"/>
      <c r="AS30" s="1083"/>
      <c r="AT30" s="1083"/>
      <c r="AU30" s="1083"/>
      <c r="AV30" s="1083"/>
      <c r="AW30" s="1083"/>
      <c r="AX30" s="1083"/>
      <c r="AY30" s="1083"/>
      <c r="AZ30" s="1083"/>
      <c r="BA30" s="1083"/>
      <c r="BB30" s="1083"/>
      <c r="BC30" s="1083"/>
      <c r="BD30" s="1083"/>
      <c r="BE30" s="1083"/>
      <c r="BF30" s="1083"/>
      <c r="BG30" s="1083"/>
      <c r="BH30" s="1083"/>
      <c r="BI30" s="1083"/>
      <c r="BJ30" s="1083"/>
      <c r="BK30" s="1083"/>
      <c r="BL30" s="1083"/>
      <c r="BM30" s="1083"/>
      <c r="BN30" s="1083"/>
      <c r="BO30" s="1083"/>
      <c r="BP30" s="1083"/>
      <c r="BQ30" s="1083"/>
      <c r="BR30" s="100"/>
      <c r="BS30" s="100"/>
      <c r="BT30" s="100"/>
      <c r="BU30" s="100"/>
      <c r="BV30" s="100"/>
      <c r="BW30" s="100"/>
      <c r="BX30" s="100"/>
      <c r="BY30" s="100"/>
    </row>
    <row r="31" spans="1:77" ht="28.5" customHeight="1">
      <c r="A31" s="1083"/>
      <c r="B31" s="1498"/>
      <c r="C31" s="1449"/>
      <c r="D31" s="1449"/>
      <c r="E31" s="1449"/>
      <c r="F31" s="1449"/>
      <c r="G31" s="1449"/>
      <c r="H31" s="1449"/>
      <c r="I31" s="1449"/>
      <c r="J31" s="1449"/>
      <c r="K31" s="1449"/>
      <c r="L31" s="1449"/>
      <c r="M31" s="1449"/>
      <c r="N31" s="1449"/>
      <c r="O31" s="1449"/>
      <c r="P31" s="2389" t="s">
        <v>650</v>
      </c>
      <c r="Q31" s="2389"/>
      <c r="R31" s="2389"/>
      <c r="S31" s="2389"/>
      <c r="T31" s="2389"/>
      <c r="U31" s="2389"/>
      <c r="V31" s="2389"/>
      <c r="W31" s="2389"/>
      <c r="X31" s="2389"/>
      <c r="Y31" s="1449"/>
      <c r="Z31" s="1451"/>
      <c r="AA31" s="1452"/>
      <c r="AB31" s="1478" t="s">
        <v>688</v>
      </c>
      <c r="AC31" s="1479">
        <f>SUM(AC27:AC30)</f>
        <v>0</v>
      </c>
      <c r="AD31" s="1480" t="s">
        <v>688</v>
      </c>
      <c r="AE31" s="1479">
        <f>SUM(AE27:AE30)</f>
        <v>0</v>
      </c>
      <c r="AF31" s="1481">
        <f>AC31-AE31</f>
        <v>0</v>
      </c>
      <c r="AG31" s="1458"/>
      <c r="AH31" s="1458"/>
      <c r="AI31" s="1458"/>
      <c r="AJ31" s="1083"/>
      <c r="AK31" s="1083"/>
      <c r="AL31" s="1390"/>
      <c r="AM31" s="1083"/>
      <c r="AN31" s="1083"/>
      <c r="AO31" s="1083"/>
      <c r="AP31" s="1083"/>
      <c r="AQ31" s="1083"/>
      <c r="AR31" s="1083"/>
      <c r="AS31" s="1083"/>
      <c r="AT31" s="1083"/>
      <c r="AU31" s="1083"/>
      <c r="AV31" s="1083"/>
      <c r="AW31" s="1083"/>
      <c r="AX31" s="1083"/>
      <c r="AY31" s="1083"/>
      <c r="AZ31" s="1083"/>
      <c r="BA31" s="1083"/>
      <c r="BB31" s="1083"/>
      <c r="BC31" s="1083"/>
      <c r="BD31" s="1083"/>
      <c r="BE31" s="1083"/>
      <c r="BF31" s="1083"/>
      <c r="BG31" s="1083"/>
      <c r="BH31" s="1083"/>
      <c r="BI31" s="1083"/>
      <c r="BJ31" s="1083"/>
      <c r="BK31" s="1083"/>
      <c r="BL31" s="1083"/>
      <c r="BM31" s="1083"/>
      <c r="BN31" s="1083"/>
      <c r="BO31" s="1083"/>
      <c r="BP31" s="1083"/>
      <c r="BQ31" s="1083"/>
      <c r="BR31" s="100"/>
      <c r="BS31" s="100"/>
      <c r="BT31" s="100"/>
      <c r="BU31" s="100"/>
      <c r="BV31" s="100"/>
      <c r="BW31" s="100"/>
      <c r="BX31" s="100"/>
      <c r="BY31" s="100"/>
    </row>
    <row r="32" spans="1:77" ht="18.75" customHeight="1">
      <c r="A32" s="1083"/>
      <c r="B32" s="2390" t="s">
        <v>610</v>
      </c>
      <c r="C32" s="2391"/>
      <c r="D32" s="2391"/>
      <c r="E32" s="2391"/>
      <c r="F32" s="2391"/>
      <c r="G32" s="2391"/>
      <c r="H32" s="2391"/>
      <c r="I32" s="2391"/>
      <c r="J32" s="2391"/>
      <c r="K32" s="2391"/>
      <c r="L32" s="2391"/>
      <c r="M32" s="2391"/>
      <c r="N32" s="2391"/>
      <c r="O32" s="2391"/>
      <c r="P32" s="2391"/>
      <c r="Q32" s="2391"/>
      <c r="R32" s="2391"/>
      <c r="S32" s="2391"/>
      <c r="T32" s="2391"/>
      <c r="U32" s="2391"/>
      <c r="V32" s="2391"/>
      <c r="W32" s="2391"/>
      <c r="X32" s="2391"/>
      <c r="Y32" s="2391"/>
      <c r="Z32" s="2392"/>
      <c r="AA32" s="1501"/>
      <c r="AB32" s="1502"/>
      <c r="AC32" s="1503"/>
      <c r="AD32" s="1504"/>
      <c r="AE32" s="1503"/>
      <c r="AF32" s="1505"/>
      <c r="AG32" s="1506"/>
      <c r="AH32" s="1506"/>
      <c r="AI32" s="1506"/>
      <c r="AJ32" s="1083"/>
      <c r="AK32" s="1083"/>
      <c r="AL32" s="1390"/>
      <c r="AM32" s="1083"/>
      <c r="AN32" s="1083"/>
      <c r="AO32" s="1083"/>
      <c r="AP32" s="1083"/>
      <c r="AQ32" s="1083"/>
      <c r="AR32" s="1083"/>
      <c r="AS32" s="1083"/>
      <c r="AT32" s="1083"/>
      <c r="AU32" s="1083"/>
      <c r="AV32" s="1083"/>
      <c r="AW32" s="1083"/>
      <c r="AX32" s="1083"/>
      <c r="AY32" s="1083"/>
      <c r="AZ32" s="1083"/>
      <c r="BA32" s="1083"/>
      <c r="BB32" s="1083"/>
      <c r="BC32" s="1083"/>
      <c r="BD32" s="1083"/>
      <c r="BE32" s="1083"/>
      <c r="BF32" s="1083"/>
      <c r="BG32" s="1083"/>
      <c r="BH32" s="1083"/>
      <c r="BI32" s="1083"/>
      <c r="BJ32" s="1083"/>
      <c r="BK32" s="1083"/>
      <c r="BL32" s="1083"/>
      <c r="BM32" s="1083"/>
      <c r="BN32" s="1083"/>
      <c r="BO32" s="1083"/>
      <c r="BP32" s="1083"/>
      <c r="BQ32" s="1083"/>
      <c r="BR32" s="100"/>
      <c r="BS32" s="100"/>
      <c r="BT32" s="100"/>
      <c r="BU32" s="100"/>
      <c r="BV32" s="100"/>
      <c r="BW32" s="100"/>
      <c r="BX32" s="100"/>
      <c r="BY32" s="100"/>
    </row>
    <row r="33" spans="1:77" ht="13.15" customHeight="1">
      <c r="A33" s="1083"/>
      <c r="B33" s="1498"/>
      <c r="C33" s="1449"/>
      <c r="D33" s="1449"/>
      <c r="E33" s="1449"/>
      <c r="F33" s="1449"/>
      <c r="G33" s="1449"/>
      <c r="H33" s="1449"/>
      <c r="I33" s="1449"/>
      <c r="J33" s="1449"/>
      <c r="K33" s="1449"/>
      <c r="L33" s="1449"/>
      <c r="M33" s="1449"/>
      <c r="N33" s="1449"/>
      <c r="O33" s="1449"/>
      <c r="P33" s="1449"/>
      <c r="Q33" s="1449"/>
      <c r="R33" s="1449"/>
      <c r="S33" s="1449"/>
      <c r="T33" s="1449"/>
      <c r="U33" s="1449"/>
      <c r="V33" s="1449"/>
      <c r="W33" s="1449"/>
      <c r="X33" s="1449"/>
      <c r="Y33" s="1449"/>
      <c r="Z33" s="1451"/>
      <c r="AA33" s="1452"/>
      <c r="AB33" s="2324" t="s">
        <v>680</v>
      </c>
      <c r="AC33" s="2315" t="s">
        <v>858</v>
      </c>
      <c r="AD33" s="2315" t="s">
        <v>680</v>
      </c>
      <c r="AE33" s="2315" t="s">
        <v>858</v>
      </c>
      <c r="AF33" s="1456"/>
      <c r="AG33" s="1458"/>
      <c r="AH33" s="1458"/>
      <c r="AI33" s="1458"/>
      <c r="AJ33" s="1083"/>
      <c r="AK33" s="1083"/>
      <c r="AL33" s="1390"/>
      <c r="AM33" s="1083"/>
      <c r="AN33" s="1083"/>
      <c r="AO33" s="1083"/>
      <c r="AP33" s="1083"/>
      <c r="AQ33" s="1083"/>
      <c r="AR33" s="1083"/>
      <c r="AS33" s="1083"/>
      <c r="AT33" s="1083"/>
      <c r="AU33" s="1083"/>
      <c r="AV33" s="1083"/>
      <c r="AW33" s="1083"/>
      <c r="AX33" s="1083"/>
      <c r="AY33" s="1083"/>
      <c r="AZ33" s="1083"/>
      <c r="BA33" s="1083"/>
      <c r="BB33" s="1083"/>
      <c r="BC33" s="1083"/>
      <c r="BD33" s="1083"/>
      <c r="BE33" s="1083"/>
      <c r="BF33" s="1083"/>
      <c r="BG33" s="1083"/>
      <c r="BH33" s="1083"/>
      <c r="BI33" s="1083"/>
      <c r="BJ33" s="1083"/>
      <c r="BK33" s="1083"/>
      <c r="BL33" s="1083"/>
      <c r="BM33" s="1083"/>
      <c r="BN33" s="1083"/>
      <c r="BO33" s="1083"/>
      <c r="BP33" s="1083"/>
      <c r="BQ33" s="1083"/>
      <c r="BR33" s="100"/>
      <c r="BS33" s="100"/>
      <c r="BT33" s="100"/>
      <c r="BU33" s="100"/>
      <c r="BV33" s="100"/>
      <c r="BW33" s="100"/>
      <c r="BX33" s="100"/>
      <c r="BY33" s="100"/>
    </row>
    <row r="34" spans="1:77" ht="13.15" customHeight="1">
      <c r="A34" s="1083"/>
      <c r="B34" s="1498"/>
      <c r="C34" s="2402" t="str">
        <f>CONCATENATE("         I  ",DATA!BN172," ",DATA!E10," do here by declare that what is stated above is true to the best of my knowledge and belief.")</f>
        <v xml:space="preserve">         I  Sri. A.Nagesh do here by declare that what is stated above is true to the best of my knowledge and belief.</v>
      </c>
      <c r="D34" s="2402"/>
      <c r="E34" s="2402"/>
      <c r="F34" s="2402"/>
      <c r="G34" s="2402"/>
      <c r="H34" s="2402"/>
      <c r="I34" s="2402"/>
      <c r="J34" s="2402"/>
      <c r="K34" s="2402"/>
      <c r="L34" s="2402"/>
      <c r="M34" s="2402"/>
      <c r="N34" s="2402"/>
      <c r="O34" s="2402"/>
      <c r="P34" s="2402"/>
      <c r="Q34" s="2402"/>
      <c r="R34" s="2402"/>
      <c r="S34" s="2402"/>
      <c r="T34" s="2402"/>
      <c r="U34" s="2402"/>
      <c r="V34" s="2402"/>
      <c r="W34" s="2402"/>
      <c r="X34" s="2402"/>
      <c r="Y34" s="2402"/>
      <c r="Z34" s="1451"/>
      <c r="AA34" s="1452"/>
      <c r="AB34" s="2325"/>
      <c r="AC34" s="2316"/>
      <c r="AD34" s="2316"/>
      <c r="AE34" s="2316"/>
      <c r="AF34" s="2341" t="s">
        <v>689</v>
      </c>
      <c r="AG34" s="1458"/>
      <c r="AH34" s="1458"/>
      <c r="AI34" s="1458"/>
      <c r="AJ34" s="1083"/>
      <c r="AK34" s="1083"/>
      <c r="AL34" s="1390"/>
      <c r="AM34" s="1083"/>
      <c r="AN34" s="1083"/>
      <c r="AO34" s="1083"/>
      <c r="AP34" s="1083"/>
      <c r="AQ34" s="1083"/>
      <c r="AR34" s="1083"/>
      <c r="AS34" s="1083"/>
      <c r="AT34" s="1083"/>
      <c r="AU34" s="1083"/>
      <c r="AV34" s="1083"/>
      <c r="AW34" s="1083"/>
      <c r="AX34" s="1083"/>
      <c r="AY34" s="1083"/>
      <c r="AZ34" s="1083"/>
      <c r="BA34" s="1083"/>
      <c r="BB34" s="1083"/>
      <c r="BC34" s="1083"/>
      <c r="BD34" s="1083"/>
      <c r="BE34" s="1083"/>
      <c r="BF34" s="1083"/>
      <c r="BG34" s="1083"/>
      <c r="BH34" s="1083"/>
      <c r="BI34" s="1083"/>
      <c r="BJ34" s="1083"/>
      <c r="BK34" s="1083"/>
      <c r="BL34" s="1083"/>
      <c r="BM34" s="1083"/>
      <c r="BN34" s="1083"/>
      <c r="BO34" s="1083"/>
      <c r="BP34" s="1083"/>
      <c r="BQ34" s="1083"/>
      <c r="BR34" s="100"/>
      <c r="BS34" s="100"/>
      <c r="BT34" s="100"/>
      <c r="BU34" s="100"/>
      <c r="BV34" s="100"/>
      <c r="BW34" s="100"/>
      <c r="BX34" s="100"/>
      <c r="BY34" s="100"/>
    </row>
    <row r="35" spans="1:77" ht="20.100000000000001" customHeight="1">
      <c r="A35" s="1083"/>
      <c r="B35" s="1498"/>
      <c r="C35" s="2402"/>
      <c r="D35" s="2402"/>
      <c r="E35" s="2402"/>
      <c r="F35" s="2402"/>
      <c r="G35" s="2402"/>
      <c r="H35" s="2402"/>
      <c r="I35" s="2402"/>
      <c r="J35" s="2402"/>
      <c r="K35" s="2402"/>
      <c r="L35" s="2402"/>
      <c r="M35" s="2402"/>
      <c r="N35" s="2402"/>
      <c r="O35" s="2402"/>
      <c r="P35" s="2402"/>
      <c r="Q35" s="2402"/>
      <c r="R35" s="2402"/>
      <c r="S35" s="2402"/>
      <c r="T35" s="2402"/>
      <c r="U35" s="2402"/>
      <c r="V35" s="2402"/>
      <c r="W35" s="2402"/>
      <c r="X35" s="2402"/>
      <c r="Y35" s="2402"/>
      <c r="Z35" s="1451"/>
      <c r="AA35" s="1452"/>
      <c r="AB35" s="1485" t="s">
        <v>681</v>
      </c>
      <c r="AC35" s="1507" t="str">
        <f>IF(AM17="","",AM17)</f>
        <v/>
      </c>
      <c r="AD35" s="1487" t="s">
        <v>681</v>
      </c>
      <c r="AE35" s="1486" t="str">
        <f>AC35</f>
        <v/>
      </c>
      <c r="AF35" s="2341"/>
      <c r="AG35" s="1458"/>
      <c r="AH35" s="1458"/>
      <c r="AI35" s="1458"/>
      <c r="AJ35" s="1083"/>
      <c r="AK35" s="1083"/>
      <c r="AL35" s="1390"/>
      <c r="AM35" s="1083"/>
      <c r="AN35" s="1083"/>
      <c r="AO35" s="1083"/>
      <c r="AP35" s="1083"/>
      <c r="AQ35" s="1083"/>
      <c r="AR35" s="1083"/>
      <c r="AS35" s="1083"/>
      <c r="AT35" s="1083"/>
      <c r="AU35" s="1083"/>
      <c r="AV35" s="1083"/>
      <c r="AW35" s="1083"/>
      <c r="AX35" s="1083"/>
      <c r="AY35" s="1083"/>
      <c r="AZ35" s="1083"/>
      <c r="BA35" s="1083"/>
      <c r="BB35" s="1083"/>
      <c r="BC35" s="1083"/>
      <c r="BD35" s="1083"/>
      <c r="BE35" s="1083"/>
      <c r="BF35" s="1083"/>
      <c r="BG35" s="1083"/>
      <c r="BH35" s="1083"/>
      <c r="BI35" s="1083"/>
      <c r="BJ35" s="1083"/>
      <c r="BK35" s="1083"/>
      <c r="BL35" s="1083"/>
      <c r="BM35" s="1083"/>
      <c r="BN35" s="1083"/>
      <c r="BO35" s="1083"/>
      <c r="BP35" s="1083"/>
      <c r="BQ35" s="1083"/>
      <c r="BR35" s="100"/>
      <c r="BS35" s="100"/>
      <c r="BT35" s="100"/>
      <c r="BU35" s="100"/>
      <c r="BV35" s="100"/>
      <c r="BW35" s="100"/>
      <c r="BX35" s="100"/>
      <c r="BY35" s="100"/>
    </row>
    <row r="36" spans="1:77" ht="9.75" customHeight="1">
      <c r="A36" s="1083"/>
      <c r="B36" s="1498"/>
      <c r="C36" s="1508"/>
      <c r="D36" s="1508"/>
      <c r="E36" s="1508"/>
      <c r="F36" s="1508"/>
      <c r="G36" s="1508"/>
      <c r="H36" s="1508"/>
      <c r="I36" s="1508"/>
      <c r="J36" s="1508"/>
      <c r="K36" s="1508"/>
      <c r="L36" s="1508"/>
      <c r="M36" s="1508"/>
      <c r="N36" s="1508"/>
      <c r="O36" s="1508"/>
      <c r="P36" s="1508"/>
      <c r="Q36" s="1508"/>
      <c r="R36" s="1508"/>
      <c r="S36" s="1508"/>
      <c r="T36" s="1508"/>
      <c r="U36" s="1508"/>
      <c r="V36" s="1508"/>
      <c r="W36" s="1508"/>
      <c r="X36" s="1508"/>
      <c r="Y36" s="1508"/>
      <c r="Z36" s="1451"/>
      <c r="AA36" s="1452"/>
      <c r="AB36" s="1485" t="s">
        <v>710</v>
      </c>
      <c r="AC36" s="1486" t="str">
        <f>IF(AN17="","",AN17)</f>
        <v/>
      </c>
      <c r="AD36" s="1490" t="s">
        <v>710</v>
      </c>
      <c r="AE36" s="1486">
        <v>0</v>
      </c>
      <c r="AF36" s="2341"/>
      <c r="AG36" s="1458"/>
      <c r="AH36" s="1458"/>
      <c r="AI36" s="1458"/>
      <c r="AJ36" s="1083"/>
      <c r="AK36" s="1083"/>
      <c r="AL36" s="1390"/>
      <c r="AM36" s="1083"/>
      <c r="AN36" s="1083"/>
      <c r="AO36" s="1083"/>
      <c r="AP36" s="1083"/>
      <c r="AQ36" s="1083"/>
      <c r="AR36" s="1083"/>
      <c r="AS36" s="1083"/>
      <c r="AT36" s="1083"/>
      <c r="AU36" s="1083"/>
      <c r="AV36" s="1083"/>
      <c r="AW36" s="1083"/>
      <c r="AX36" s="1083"/>
      <c r="AY36" s="1083"/>
      <c r="AZ36" s="1083"/>
      <c r="BA36" s="1083"/>
      <c r="BB36" s="1083"/>
      <c r="BC36" s="1083"/>
      <c r="BD36" s="1083"/>
      <c r="BE36" s="1083"/>
      <c r="BF36" s="1083"/>
      <c r="BG36" s="1083"/>
      <c r="BH36" s="1083"/>
      <c r="BI36" s="1083"/>
      <c r="BJ36" s="1083"/>
      <c r="BK36" s="1083"/>
      <c r="BL36" s="1083"/>
      <c r="BM36" s="1083"/>
      <c r="BN36" s="1083"/>
      <c r="BO36" s="1083"/>
      <c r="BP36" s="1083"/>
      <c r="BQ36" s="1083"/>
      <c r="BR36" s="100"/>
      <c r="BS36" s="100"/>
      <c r="BT36" s="100"/>
      <c r="BU36" s="100"/>
      <c r="BV36" s="100"/>
      <c r="BW36" s="100"/>
      <c r="BX36" s="100"/>
      <c r="BY36" s="100"/>
    </row>
    <row r="37" spans="1:77" ht="11.25" customHeight="1">
      <c r="A37" s="1083"/>
      <c r="B37" s="1498"/>
      <c r="C37" s="1449"/>
      <c r="D37" s="1449"/>
      <c r="E37" s="1449"/>
      <c r="F37" s="1449"/>
      <c r="G37" s="1449"/>
      <c r="H37" s="1449"/>
      <c r="I37" s="1449"/>
      <c r="J37" s="1449"/>
      <c r="K37" s="1449"/>
      <c r="L37" s="1449"/>
      <c r="M37" s="1449"/>
      <c r="N37" s="1449"/>
      <c r="O37" s="1449"/>
      <c r="P37" s="1449"/>
      <c r="Q37" s="1449"/>
      <c r="R37" s="1449"/>
      <c r="S37" s="1449"/>
      <c r="T37" s="1449"/>
      <c r="U37" s="1449"/>
      <c r="V37" s="1449"/>
      <c r="W37" s="1449"/>
      <c r="X37" s="1449"/>
      <c r="Y37" s="1449"/>
      <c r="Z37" s="1451"/>
      <c r="AA37" s="1452"/>
      <c r="AB37" s="1492" t="s">
        <v>682</v>
      </c>
      <c r="AC37" s="1427">
        <f>SUM(AC35:AC36)</f>
        <v>0</v>
      </c>
      <c r="AD37" s="1493" t="s">
        <v>682</v>
      </c>
      <c r="AE37" s="1427">
        <f>SUM(AE35:AE36)</f>
        <v>0</v>
      </c>
      <c r="AF37" s="2341"/>
      <c r="AG37" s="1458"/>
      <c r="AH37" s="1458"/>
      <c r="AI37" s="1458"/>
      <c r="AJ37" s="1083"/>
      <c r="AK37" s="1083"/>
      <c r="AL37" s="1390"/>
      <c r="AM37" s="1083"/>
      <c r="AN37" s="1083"/>
      <c r="AO37" s="1083"/>
      <c r="AP37" s="1083"/>
      <c r="AQ37" s="1083"/>
      <c r="AR37" s="1083"/>
      <c r="AS37" s="1083"/>
      <c r="AT37" s="1083"/>
      <c r="AU37" s="1083"/>
      <c r="AV37" s="1083"/>
      <c r="AW37" s="1083"/>
      <c r="AX37" s="1083"/>
      <c r="AY37" s="1083"/>
      <c r="AZ37" s="1083"/>
      <c r="BA37" s="1083"/>
      <c r="BB37" s="1083"/>
      <c r="BC37" s="1083"/>
      <c r="BD37" s="1083"/>
      <c r="BE37" s="1083"/>
      <c r="BF37" s="1083"/>
      <c r="BG37" s="1083"/>
      <c r="BH37" s="1083"/>
      <c r="BI37" s="1083"/>
      <c r="BJ37" s="1083"/>
      <c r="BK37" s="1083"/>
      <c r="BL37" s="1083"/>
      <c r="BM37" s="1083"/>
      <c r="BN37" s="1083"/>
      <c r="BO37" s="1083"/>
      <c r="BP37" s="1083"/>
      <c r="BQ37" s="1083"/>
      <c r="BR37" s="100"/>
      <c r="BS37" s="100"/>
      <c r="BT37" s="100"/>
      <c r="BU37" s="100"/>
      <c r="BV37" s="100"/>
      <c r="BW37" s="100"/>
      <c r="BX37" s="100"/>
      <c r="BY37" s="100"/>
    </row>
    <row r="38" spans="1:77" ht="20.100000000000001" customHeight="1">
      <c r="A38" s="1083"/>
      <c r="B38" s="2304" t="s">
        <v>929</v>
      </c>
      <c r="C38" s="2305"/>
      <c r="D38" s="2305"/>
      <c r="E38" s="2305"/>
      <c r="F38" s="2413">
        <f ca="1">TODAY()</f>
        <v>44553</v>
      </c>
      <c r="G38" s="2413"/>
      <c r="H38" s="2413"/>
      <c r="I38" s="2413"/>
      <c r="J38" s="2413"/>
      <c r="K38" s="2413"/>
      <c r="L38" s="1509"/>
      <c r="M38" s="1509"/>
      <c r="N38" s="1509"/>
      <c r="O38" s="1509"/>
      <c r="P38" s="1509"/>
      <c r="Q38" s="1509"/>
      <c r="R38" s="1509"/>
      <c r="S38" s="1509"/>
      <c r="T38" s="1509"/>
      <c r="U38" s="1509"/>
      <c r="V38" s="1509"/>
      <c r="W38" s="1509"/>
      <c r="X38" s="1509"/>
      <c r="Y38" s="1449"/>
      <c r="Z38" s="1451"/>
      <c r="AA38" s="1452"/>
      <c r="AB38" s="1411" t="s">
        <v>683</v>
      </c>
      <c r="AC38" s="1412">
        <v>0</v>
      </c>
      <c r="AD38" s="1413" t="s">
        <v>683</v>
      </c>
      <c r="AE38" s="1412">
        <v>0</v>
      </c>
      <c r="AF38" s="2341"/>
      <c r="AG38" s="1458"/>
      <c r="AH38" s="1458"/>
      <c r="AI38" s="1458"/>
      <c r="AJ38" s="1083"/>
      <c r="AK38" s="1083"/>
      <c r="AL38" s="1390"/>
      <c r="AM38" s="1083"/>
      <c r="AN38" s="1083"/>
      <c r="AO38" s="1083"/>
      <c r="AP38" s="1083"/>
      <c r="AQ38" s="1083"/>
      <c r="AR38" s="1083"/>
      <c r="AS38" s="1083"/>
      <c r="AT38" s="1083"/>
      <c r="AU38" s="1083"/>
      <c r="AV38" s="1083"/>
      <c r="AW38" s="1083"/>
      <c r="AX38" s="1083"/>
      <c r="AY38" s="1083"/>
      <c r="AZ38" s="1083"/>
      <c r="BA38" s="1083"/>
      <c r="BB38" s="1083"/>
      <c r="BC38" s="1083"/>
      <c r="BD38" s="1083"/>
      <c r="BE38" s="1083"/>
      <c r="BF38" s="1083"/>
      <c r="BG38" s="1083"/>
      <c r="BH38" s="1083"/>
      <c r="BI38" s="1083"/>
      <c r="BJ38" s="1083"/>
      <c r="BK38" s="1083"/>
      <c r="BL38" s="1083"/>
      <c r="BM38" s="1083"/>
      <c r="BN38" s="1083"/>
      <c r="BO38" s="1083"/>
      <c r="BP38" s="1083"/>
      <c r="BQ38" s="1083"/>
      <c r="BR38" s="100"/>
      <c r="BS38" s="100"/>
      <c r="BT38" s="100"/>
      <c r="BU38" s="100"/>
      <c r="BV38" s="100"/>
      <c r="BW38" s="100"/>
      <c r="BX38" s="100"/>
      <c r="BY38" s="100"/>
    </row>
    <row r="39" spans="1:77" ht="20.100000000000001" customHeight="1">
      <c r="A39" s="1083"/>
      <c r="B39" s="1510"/>
      <c r="C39" s="1509"/>
      <c r="D39" s="1509"/>
      <c r="E39" s="1509"/>
      <c r="F39" s="1509"/>
      <c r="G39" s="1509"/>
      <c r="H39" s="1509"/>
      <c r="I39" s="1509"/>
      <c r="J39" s="1509"/>
      <c r="K39" s="1509"/>
      <c r="L39" s="1509"/>
      <c r="M39" s="1509"/>
      <c r="N39" s="1509"/>
      <c r="O39" s="1509"/>
      <c r="P39" s="1509"/>
      <c r="Q39" s="1509"/>
      <c r="R39" s="1509"/>
      <c r="S39" s="1509"/>
      <c r="T39" s="1509"/>
      <c r="U39" s="1509"/>
      <c r="V39" s="1509"/>
      <c r="W39" s="1509"/>
      <c r="X39" s="1509"/>
      <c r="Y39" s="1449"/>
      <c r="Z39" s="1451"/>
      <c r="AA39" s="1452"/>
      <c r="AB39" s="1417" t="s">
        <v>987</v>
      </c>
      <c r="AC39" s="1418">
        <f>IF(AH39&gt;0,AH39,0)*5%</f>
        <v>0</v>
      </c>
      <c r="AD39" s="1419" t="s">
        <v>695</v>
      </c>
      <c r="AE39" s="1418">
        <f>IF(AJ39&gt;0,AJ39,0)*5%</f>
        <v>0</v>
      </c>
      <c r="AF39" s="2341"/>
      <c r="AG39" s="1420">
        <f>AC37-250000</f>
        <v>-250000</v>
      </c>
      <c r="AH39" s="1421">
        <f>IF(AG39&gt;250000,250000,AG39)</f>
        <v>-250000</v>
      </c>
      <c r="AI39" s="1420">
        <f>AE37-250000</f>
        <v>-250000</v>
      </c>
      <c r="AJ39" s="1421">
        <f>IF(AI39&gt;250000,250000,AI39)</f>
        <v>-250000</v>
      </c>
      <c r="AK39" s="1083"/>
      <c r="AL39" s="1390"/>
      <c r="AM39" s="1083"/>
      <c r="AN39" s="1083"/>
      <c r="AO39" s="1083"/>
      <c r="AP39" s="1083"/>
      <c r="AQ39" s="1083"/>
      <c r="AR39" s="1083"/>
      <c r="AS39" s="1083"/>
      <c r="AT39" s="1083"/>
      <c r="AU39" s="1083"/>
      <c r="AV39" s="1083"/>
      <c r="AW39" s="1083"/>
      <c r="AX39" s="1083"/>
      <c r="AY39" s="1083"/>
      <c r="AZ39" s="1083"/>
      <c r="BA39" s="1083"/>
      <c r="BB39" s="1083"/>
      <c r="BC39" s="1083"/>
      <c r="BD39" s="1083"/>
      <c r="BE39" s="1083"/>
      <c r="BF39" s="1083"/>
      <c r="BG39" s="1083"/>
      <c r="BH39" s="1083"/>
      <c r="BI39" s="1083"/>
      <c r="BJ39" s="1083"/>
      <c r="BK39" s="1083"/>
      <c r="BL39" s="1083"/>
      <c r="BM39" s="1083"/>
      <c r="BN39" s="1083"/>
      <c r="BO39" s="1083"/>
      <c r="BP39" s="1083"/>
      <c r="BQ39" s="1083"/>
      <c r="BR39" s="100"/>
      <c r="BS39" s="100"/>
      <c r="BT39" s="100"/>
      <c r="BU39" s="100"/>
      <c r="BV39" s="100"/>
      <c r="BW39" s="100"/>
      <c r="BX39" s="100"/>
      <c r="BY39" s="100"/>
    </row>
    <row r="40" spans="1:77" ht="20.100000000000001" customHeight="1">
      <c r="A40" s="1083"/>
      <c r="B40" s="2404"/>
      <c r="C40" s="2405"/>
      <c r="D40" s="2405"/>
      <c r="E40" s="2405"/>
      <c r="F40" s="2405"/>
      <c r="G40" s="2405"/>
      <c r="H40" s="2405"/>
      <c r="I40" s="2405"/>
      <c r="J40" s="2405"/>
      <c r="K40" s="2405"/>
      <c r="L40" s="1509"/>
      <c r="M40" s="1509"/>
      <c r="N40" s="1509"/>
      <c r="O40" s="1509"/>
      <c r="P40" s="1509"/>
      <c r="Q40" s="1509"/>
      <c r="R40" s="1509"/>
      <c r="S40" s="1509"/>
      <c r="T40" s="1509"/>
      <c r="U40" s="1509"/>
      <c r="V40" s="1509"/>
      <c r="W40" s="1509"/>
      <c r="X40" s="1509"/>
      <c r="Y40" s="1449"/>
      <c r="Z40" s="1451"/>
      <c r="AA40" s="1452"/>
      <c r="AB40" s="1425" t="s">
        <v>697</v>
      </c>
      <c r="AC40" s="1418">
        <f>IF(AH40&gt;0,AH40,0)*20%</f>
        <v>0</v>
      </c>
      <c r="AD40" s="1426" t="s">
        <v>699</v>
      </c>
      <c r="AE40" s="1511">
        <f>IF(AJ40&gt;0,AJ40,0)*20%</f>
        <v>0</v>
      </c>
      <c r="AF40" s="2341"/>
      <c r="AG40" s="1420">
        <f>AC37-500000</f>
        <v>-500000</v>
      </c>
      <c r="AH40" s="1421">
        <f>IF(AG40&gt;500000,500000,AG40)</f>
        <v>-500000</v>
      </c>
      <c r="AI40" s="1420">
        <f>AE37-500000</f>
        <v>-500000</v>
      </c>
      <c r="AJ40" s="1421">
        <f>IF(AI40&gt;500000,500000,AI40)</f>
        <v>-500000</v>
      </c>
      <c r="AK40" s="1083"/>
      <c r="AL40" s="1390"/>
      <c r="AM40" s="1083"/>
      <c r="AN40" s="1083"/>
      <c r="AO40" s="1083"/>
      <c r="AP40" s="1083"/>
      <c r="AQ40" s="1083"/>
      <c r="AR40" s="1083"/>
      <c r="AS40" s="1083"/>
      <c r="AT40" s="1083"/>
      <c r="AU40" s="1083"/>
      <c r="AV40" s="1083"/>
      <c r="AW40" s="1083"/>
      <c r="AX40" s="1083"/>
      <c r="AY40" s="1083"/>
      <c r="AZ40" s="1083"/>
      <c r="BA40" s="1083"/>
      <c r="BB40" s="1083"/>
      <c r="BC40" s="1083"/>
      <c r="BD40" s="1083"/>
      <c r="BE40" s="1083"/>
      <c r="BF40" s="1083"/>
      <c r="BG40" s="1083"/>
      <c r="BH40" s="1083"/>
      <c r="BI40" s="1083"/>
      <c r="BJ40" s="1083"/>
      <c r="BK40" s="1083"/>
      <c r="BL40" s="1083"/>
      <c r="BM40" s="1083"/>
      <c r="BN40" s="1083"/>
      <c r="BO40" s="1083"/>
      <c r="BP40" s="1083"/>
      <c r="BQ40" s="1083"/>
      <c r="BR40" s="100"/>
      <c r="BS40" s="100"/>
      <c r="BT40" s="100"/>
      <c r="BU40" s="100"/>
      <c r="BV40" s="100"/>
      <c r="BW40" s="100"/>
      <c r="BX40" s="100"/>
      <c r="BY40" s="100"/>
    </row>
    <row r="41" spans="1:77" ht="20.100000000000001" customHeight="1">
      <c r="A41" s="1083"/>
      <c r="B41" s="2304" t="s">
        <v>775</v>
      </c>
      <c r="C41" s="2305"/>
      <c r="D41" s="1344" t="str">
        <f>DATA!E21</f>
        <v>Velgode</v>
      </c>
      <c r="E41" s="1512"/>
      <c r="F41" s="1512"/>
      <c r="G41" s="1512"/>
      <c r="H41" s="1512"/>
      <c r="I41" s="1512"/>
      <c r="J41" s="1512"/>
      <c r="K41" s="1512"/>
      <c r="L41" s="1512"/>
      <c r="M41" s="1512"/>
      <c r="N41" s="1512"/>
      <c r="O41" s="1512"/>
      <c r="P41" s="1512"/>
      <c r="Q41" s="1509"/>
      <c r="R41" s="1509"/>
      <c r="S41" s="1509"/>
      <c r="T41" s="1509"/>
      <c r="U41" s="1509"/>
      <c r="V41" s="1509"/>
      <c r="W41" s="1509"/>
      <c r="X41" s="1509"/>
      <c r="Y41" s="1449"/>
      <c r="Z41" s="1451"/>
      <c r="AA41" s="1452"/>
      <c r="AB41" s="1432" t="s">
        <v>726</v>
      </c>
      <c r="AC41" s="1418">
        <f>IF(AH41&gt;0,AH41,0)*30%</f>
        <v>0</v>
      </c>
      <c r="AD41" s="1434" t="s">
        <v>692</v>
      </c>
      <c r="AE41" s="1511">
        <f>IF(AJ41&gt;0,AJ41,0)*30%</f>
        <v>0</v>
      </c>
      <c r="AF41" s="2341"/>
      <c r="AG41" s="1420">
        <f>AC37-1000000</f>
        <v>-1000000</v>
      </c>
      <c r="AH41" s="1421">
        <f>IF(AG41&gt;500000,500000,AG41)</f>
        <v>-1000000</v>
      </c>
      <c r="AI41" s="1420">
        <f>AE37-1000000</f>
        <v>-1000000</v>
      </c>
      <c r="AJ41" s="1421">
        <f>IF(AI41&gt;500000,500000,AI41)</f>
        <v>-1000000</v>
      </c>
      <c r="AK41" s="1083"/>
      <c r="AL41" s="1390"/>
      <c r="AM41" s="1083"/>
      <c r="AN41" s="1083"/>
      <c r="AO41" s="1083"/>
      <c r="AP41" s="1083"/>
      <c r="AQ41" s="1083"/>
      <c r="AR41" s="1083"/>
      <c r="AS41" s="1083"/>
      <c r="AT41" s="1083"/>
      <c r="AU41" s="1083"/>
      <c r="AV41" s="1083"/>
      <c r="AW41" s="1083"/>
      <c r="AX41" s="1083"/>
      <c r="AY41" s="1083"/>
      <c r="AZ41" s="1083"/>
      <c r="BA41" s="1083"/>
      <c r="BB41" s="1083"/>
      <c r="BC41" s="1083"/>
      <c r="BD41" s="1083"/>
      <c r="BE41" s="1083"/>
      <c r="BF41" s="1083"/>
      <c r="BG41" s="1083"/>
      <c r="BH41" s="1083"/>
      <c r="BI41" s="1083"/>
      <c r="BJ41" s="1083"/>
      <c r="BK41" s="1083"/>
      <c r="BL41" s="1083"/>
      <c r="BM41" s="1083"/>
      <c r="BN41" s="1083"/>
      <c r="BO41" s="1083"/>
      <c r="BP41" s="1083"/>
      <c r="BQ41" s="1083"/>
      <c r="BR41" s="100"/>
      <c r="BS41" s="100"/>
      <c r="BT41" s="100"/>
      <c r="BU41" s="100"/>
      <c r="BV41" s="100"/>
      <c r="BW41" s="100"/>
      <c r="BX41" s="100"/>
      <c r="BY41" s="100"/>
    </row>
    <row r="42" spans="1:77" ht="20.100000000000001" customHeight="1">
      <c r="A42" s="1083"/>
      <c r="B42" s="2304" t="s">
        <v>951</v>
      </c>
      <c r="C42" s="2305"/>
      <c r="D42" s="2332">
        <f ca="1">TODAY()</f>
        <v>44553</v>
      </c>
      <c r="E42" s="2332"/>
      <c r="F42" s="2332"/>
      <c r="G42" s="2332"/>
      <c r="H42" s="1513"/>
      <c r="I42" s="1513"/>
      <c r="J42" s="1509"/>
      <c r="K42" s="1509"/>
      <c r="L42" s="1509"/>
      <c r="M42" s="1509"/>
      <c r="N42" s="1509"/>
      <c r="O42" s="1509"/>
      <c r="P42" s="2414" t="s">
        <v>650</v>
      </c>
      <c r="Q42" s="2414"/>
      <c r="R42" s="2414"/>
      <c r="S42" s="2414"/>
      <c r="T42" s="2414"/>
      <c r="U42" s="2414"/>
      <c r="V42" s="2414"/>
      <c r="W42" s="2414"/>
      <c r="X42" s="2414"/>
      <c r="Y42" s="1449"/>
      <c r="Z42" s="1451"/>
      <c r="AA42" s="1452"/>
      <c r="AB42" s="1439" t="s">
        <v>690</v>
      </c>
      <c r="AC42" s="1433">
        <f>IF(AC37&gt;500000,0,12500)</f>
        <v>12500</v>
      </c>
      <c r="AD42" s="1440" t="s">
        <v>690</v>
      </c>
      <c r="AE42" s="1433">
        <f>IF(AE37&gt;500000,0,12500)</f>
        <v>12500</v>
      </c>
      <c r="AF42" s="2341"/>
      <c r="AG42" s="1458"/>
      <c r="AH42" s="1458"/>
      <c r="AI42" s="1458"/>
      <c r="AJ42" s="1083"/>
      <c r="AK42" s="1083"/>
      <c r="AL42" s="1390"/>
      <c r="AM42" s="1083"/>
      <c r="AN42" s="1083"/>
      <c r="AO42" s="1083"/>
      <c r="AP42" s="1083"/>
      <c r="AQ42" s="1083"/>
      <c r="AR42" s="1083"/>
      <c r="AS42" s="1083"/>
      <c r="AT42" s="1083"/>
      <c r="AU42" s="1083"/>
      <c r="AV42" s="1083"/>
      <c r="AW42" s="1083"/>
      <c r="AX42" s="1083"/>
      <c r="AY42" s="1083"/>
      <c r="AZ42" s="1083"/>
      <c r="BA42" s="1083"/>
      <c r="BB42" s="1083"/>
      <c r="BC42" s="1083"/>
      <c r="BD42" s="1083"/>
      <c r="BE42" s="1083"/>
      <c r="BF42" s="1083"/>
      <c r="BG42" s="1083"/>
      <c r="BH42" s="1083"/>
      <c r="BI42" s="1083"/>
      <c r="BJ42" s="1083"/>
      <c r="BK42" s="1083"/>
      <c r="BL42" s="1083"/>
      <c r="BM42" s="1083"/>
      <c r="BN42" s="1083"/>
      <c r="BO42" s="1083"/>
      <c r="BP42" s="1083"/>
      <c r="BQ42" s="1083"/>
      <c r="BR42" s="100"/>
      <c r="BS42" s="100"/>
      <c r="BT42" s="100"/>
      <c r="BU42" s="100"/>
      <c r="BV42" s="100"/>
      <c r="BW42" s="100"/>
      <c r="BX42" s="100"/>
      <c r="BY42" s="100"/>
    </row>
    <row r="43" spans="1:77" ht="20.100000000000001" customHeight="1">
      <c r="A43" s="1083"/>
      <c r="B43" s="1514"/>
      <c r="C43" s="1515"/>
      <c r="D43" s="1515"/>
      <c r="E43" s="1515"/>
      <c r="F43" s="1516"/>
      <c r="G43" s="1516"/>
      <c r="H43" s="1516"/>
      <c r="I43" s="1516"/>
      <c r="J43" s="1449"/>
      <c r="K43" s="1449"/>
      <c r="L43" s="1449"/>
      <c r="M43" s="1449"/>
      <c r="N43" s="1449"/>
      <c r="O43" s="1449"/>
      <c r="P43" s="1517"/>
      <c r="Q43" s="1517"/>
      <c r="R43" s="1517"/>
      <c r="S43" s="1517"/>
      <c r="T43" s="1517"/>
      <c r="U43" s="1517"/>
      <c r="V43" s="1517"/>
      <c r="W43" s="1517"/>
      <c r="X43" s="1517"/>
      <c r="Y43" s="1449"/>
      <c r="Z43" s="1451"/>
      <c r="AA43" s="1452"/>
      <c r="AB43" s="1453" t="s">
        <v>10</v>
      </c>
      <c r="AC43" s="1454">
        <f>IF((SUM(AC38:AC41)-AC42)&gt;0,(SUM(AC38:AC41)-AC42),0)</f>
        <v>0</v>
      </c>
      <c r="AD43" s="1455" t="s">
        <v>10</v>
      </c>
      <c r="AE43" s="1454">
        <f>IF((SUM(AE38:AE41)-AE42)&gt;0,(SUM(AE38:AE41)-AE42),0)</f>
        <v>0</v>
      </c>
      <c r="AF43" s="2341"/>
      <c r="AG43" s="1458"/>
      <c r="AH43" s="1458"/>
      <c r="AI43" s="1458"/>
      <c r="AJ43" s="1083"/>
      <c r="AK43" s="1083"/>
      <c r="AL43" s="1390"/>
      <c r="AM43" s="1083"/>
      <c r="AN43" s="1083"/>
      <c r="AO43" s="1083"/>
      <c r="AP43" s="1083"/>
      <c r="AQ43" s="1083"/>
      <c r="AR43" s="1083"/>
      <c r="AS43" s="1083"/>
      <c r="AT43" s="1083"/>
      <c r="AU43" s="1083"/>
      <c r="AV43" s="1083"/>
      <c r="AW43" s="1083"/>
      <c r="AX43" s="1083"/>
      <c r="AY43" s="1083"/>
      <c r="AZ43" s="1083"/>
      <c r="BA43" s="1083"/>
      <c r="BB43" s="1083"/>
      <c r="BC43" s="1083"/>
      <c r="BD43" s="1083"/>
      <c r="BE43" s="1083"/>
      <c r="BF43" s="1083"/>
      <c r="BG43" s="1083"/>
      <c r="BH43" s="1083"/>
      <c r="BI43" s="1083"/>
      <c r="BJ43" s="1083"/>
      <c r="BK43" s="1083"/>
      <c r="BL43" s="1083"/>
      <c r="BM43" s="1083"/>
      <c r="BN43" s="1083"/>
      <c r="BO43" s="1083"/>
      <c r="BP43" s="1083"/>
      <c r="BQ43" s="1083"/>
      <c r="BR43" s="100"/>
      <c r="BS43" s="100"/>
      <c r="BT43" s="100"/>
      <c r="BU43" s="100"/>
      <c r="BV43" s="100"/>
      <c r="BW43" s="100"/>
      <c r="BX43" s="100"/>
      <c r="BY43" s="100"/>
    </row>
    <row r="44" spans="1:77" ht="20.100000000000001" customHeight="1">
      <c r="A44" s="1083"/>
      <c r="B44" s="1514"/>
      <c r="C44" s="1515"/>
      <c r="D44" s="1515"/>
      <c r="E44" s="1515"/>
      <c r="F44" s="1516"/>
      <c r="G44" s="1516"/>
      <c r="H44" s="1516"/>
      <c r="I44" s="1516"/>
      <c r="J44" s="1449"/>
      <c r="K44" s="1449"/>
      <c r="L44" s="1449"/>
      <c r="M44" s="1449"/>
      <c r="N44" s="1449"/>
      <c r="O44" s="1449"/>
      <c r="P44" s="1517"/>
      <c r="Q44" s="1517"/>
      <c r="R44" s="1517"/>
      <c r="S44" s="1517"/>
      <c r="T44" s="1517"/>
      <c r="U44" s="1517"/>
      <c r="V44" s="1517"/>
      <c r="W44" s="1517"/>
      <c r="X44" s="1517"/>
      <c r="Y44" s="1449"/>
      <c r="Z44" s="1451"/>
      <c r="AA44" s="1452"/>
      <c r="AB44" s="1499" t="s">
        <v>686</v>
      </c>
      <c r="AC44" s="1464">
        <f>ROUND(AC43*1%,0.1)</f>
        <v>0</v>
      </c>
      <c r="AD44" s="1500" t="s">
        <v>686</v>
      </c>
      <c r="AE44" s="1464">
        <f>ROUND(AE43*1%,0.1)</f>
        <v>0</v>
      </c>
      <c r="AF44" s="2341"/>
      <c r="AG44" s="1458"/>
      <c r="AH44" s="1458"/>
      <c r="AI44" s="1458"/>
      <c r="AJ44" s="1083"/>
      <c r="AK44" s="1083"/>
      <c r="AL44" s="1390"/>
      <c r="AM44" s="1083"/>
      <c r="AN44" s="1083"/>
      <c r="AO44" s="1083"/>
      <c r="AP44" s="1083"/>
      <c r="AQ44" s="1083"/>
      <c r="AR44" s="1083"/>
      <c r="AS44" s="1083"/>
      <c r="AT44" s="1083"/>
      <c r="AU44" s="1083"/>
      <c r="AV44" s="1083"/>
      <c r="AW44" s="1083"/>
      <c r="AX44" s="1083"/>
      <c r="AY44" s="1083"/>
      <c r="AZ44" s="1083"/>
      <c r="BA44" s="1083"/>
      <c r="BB44" s="1083"/>
      <c r="BC44" s="1083"/>
      <c r="BD44" s="1083"/>
      <c r="BE44" s="1083"/>
      <c r="BF44" s="1083"/>
      <c r="BG44" s="1083"/>
      <c r="BH44" s="1083"/>
      <c r="BI44" s="1083"/>
      <c r="BJ44" s="1083"/>
      <c r="BK44" s="1083"/>
      <c r="BL44" s="1083"/>
      <c r="BM44" s="1083"/>
      <c r="BN44" s="1083"/>
      <c r="BO44" s="1083"/>
      <c r="BP44" s="1083"/>
      <c r="BQ44" s="1083"/>
      <c r="BR44" s="100"/>
      <c r="BS44" s="100"/>
      <c r="BT44" s="100"/>
      <c r="BU44" s="100"/>
      <c r="BV44" s="100"/>
      <c r="BW44" s="100"/>
      <c r="BX44" s="100"/>
      <c r="BY44" s="100"/>
    </row>
    <row r="45" spans="1:77" ht="20.100000000000001" customHeight="1">
      <c r="A45" s="1083"/>
      <c r="B45" s="1514"/>
      <c r="C45" s="1515"/>
      <c r="D45" s="1515"/>
      <c r="E45" s="1515"/>
      <c r="F45" s="1516"/>
      <c r="G45" s="1516"/>
      <c r="H45" s="1516"/>
      <c r="I45" s="1516"/>
      <c r="J45" s="1449"/>
      <c r="K45" s="1449"/>
      <c r="L45" s="1449"/>
      <c r="M45" s="1449"/>
      <c r="N45" s="1449"/>
      <c r="O45" s="1449"/>
      <c r="P45" s="1517"/>
      <c r="Q45" s="1517"/>
      <c r="R45" s="1517"/>
      <c r="S45" s="1517"/>
      <c r="T45" s="1517"/>
      <c r="U45" s="1517"/>
      <c r="V45" s="1517"/>
      <c r="W45" s="1517"/>
      <c r="X45" s="1517"/>
      <c r="Y45" s="1449"/>
      <c r="Z45" s="1451"/>
      <c r="AA45" s="1452"/>
      <c r="AB45" s="1518" t="s">
        <v>988</v>
      </c>
      <c r="AC45" s="1427">
        <f>ROUND(AC43*3%,0.1)</f>
        <v>0</v>
      </c>
      <c r="AD45" s="1519" t="s">
        <v>988</v>
      </c>
      <c r="AE45" s="1427">
        <f>ROUND(AE43*3%,0.1)</f>
        <v>0</v>
      </c>
      <c r="AF45" s="2342"/>
      <c r="AG45" s="1458"/>
      <c r="AH45" s="1458"/>
      <c r="AI45" s="1458"/>
      <c r="AJ45" s="1083"/>
      <c r="AK45" s="1083"/>
      <c r="AL45" s="1390"/>
      <c r="AM45" s="1083"/>
      <c r="AN45" s="1083"/>
      <c r="AO45" s="1083"/>
      <c r="AP45" s="1083"/>
      <c r="AQ45" s="1083"/>
      <c r="AR45" s="1083"/>
      <c r="AS45" s="1083"/>
      <c r="AT45" s="1083"/>
      <c r="AU45" s="1083"/>
      <c r="AV45" s="1083"/>
      <c r="AW45" s="1083"/>
      <c r="AX45" s="1083"/>
      <c r="AY45" s="1083"/>
      <c r="AZ45" s="1083"/>
      <c r="BA45" s="1083"/>
      <c r="BB45" s="1083"/>
      <c r="BC45" s="1083"/>
      <c r="BD45" s="1083"/>
      <c r="BE45" s="1083"/>
      <c r="BF45" s="1083"/>
      <c r="BG45" s="1083"/>
      <c r="BH45" s="1083"/>
      <c r="BI45" s="1083"/>
      <c r="BJ45" s="1083"/>
      <c r="BK45" s="1083"/>
      <c r="BL45" s="1083"/>
      <c r="BM45" s="1083"/>
      <c r="BN45" s="1083"/>
      <c r="BO45" s="1083"/>
      <c r="BP45" s="1083"/>
      <c r="BQ45" s="1083"/>
      <c r="BR45" s="100"/>
      <c r="BS45" s="100"/>
      <c r="BT45" s="100"/>
      <c r="BU45" s="100"/>
      <c r="BV45" s="100"/>
      <c r="BW45" s="100"/>
      <c r="BX45" s="100"/>
      <c r="BY45" s="100"/>
    </row>
    <row r="46" spans="1:77" ht="13.5" customHeight="1">
      <c r="A46" s="1083"/>
      <c r="B46" s="1520"/>
      <c r="C46" s="1521"/>
      <c r="D46" s="1521"/>
      <c r="E46" s="1521"/>
      <c r="F46" s="1521"/>
      <c r="G46" s="1521"/>
      <c r="H46" s="1521"/>
      <c r="I46" s="1521"/>
      <c r="J46" s="1521"/>
      <c r="K46" s="1521"/>
      <c r="L46" s="1521"/>
      <c r="M46" s="1521"/>
      <c r="N46" s="1521"/>
      <c r="O46" s="1521"/>
      <c r="P46" s="1521"/>
      <c r="Q46" s="1521"/>
      <c r="R46" s="1521"/>
      <c r="S46" s="1521"/>
      <c r="T46" s="1521"/>
      <c r="U46" s="1521"/>
      <c r="V46" s="1521"/>
      <c r="W46" s="1521"/>
      <c r="X46" s="1521"/>
      <c r="Y46" s="1521"/>
      <c r="Z46" s="1522"/>
      <c r="AA46" s="1523"/>
      <c r="AB46" s="2348" t="s">
        <v>688</v>
      </c>
      <c r="AC46" s="2346">
        <f>SUM(AC43:AC45)</f>
        <v>0</v>
      </c>
      <c r="AD46" s="2348" t="s">
        <v>688</v>
      </c>
      <c r="AE46" s="2346">
        <f>SUM(AE43:AE45)</f>
        <v>0</v>
      </c>
      <c r="AF46" s="2363">
        <f>AC46-AE46</f>
        <v>0</v>
      </c>
      <c r="AG46" s="1524"/>
      <c r="AH46" s="1525"/>
      <c r="AI46" s="1525"/>
      <c r="AJ46" s="1083"/>
      <c r="AK46" s="1083"/>
      <c r="AL46" s="1390"/>
      <c r="AM46" s="1083"/>
      <c r="AN46" s="1083"/>
      <c r="AO46" s="1083"/>
      <c r="AP46" s="1083"/>
      <c r="AQ46" s="1083"/>
      <c r="AR46" s="1083"/>
      <c r="AS46" s="1083"/>
      <c r="AT46" s="1083"/>
      <c r="AU46" s="1083"/>
      <c r="AV46" s="1083"/>
      <c r="AW46" s="1083"/>
      <c r="AX46" s="1083"/>
      <c r="AY46" s="1083"/>
      <c r="AZ46" s="1083"/>
      <c r="BA46" s="1083"/>
      <c r="BB46" s="1083"/>
      <c r="BC46" s="1083"/>
      <c r="BD46" s="1083"/>
      <c r="BE46" s="1083"/>
      <c r="BF46" s="1083"/>
      <c r="BG46" s="1083"/>
      <c r="BH46" s="1083"/>
      <c r="BI46" s="1083"/>
      <c r="BJ46" s="1083"/>
      <c r="BK46" s="1083"/>
      <c r="BL46" s="1083"/>
      <c r="BM46" s="1083"/>
      <c r="BN46" s="1083"/>
      <c r="BO46" s="1083"/>
      <c r="BP46" s="1083"/>
      <c r="BQ46" s="1083"/>
      <c r="BR46" s="100"/>
      <c r="BS46" s="100"/>
      <c r="BT46" s="100"/>
      <c r="BU46" s="100"/>
      <c r="BV46" s="100"/>
      <c r="BW46" s="100"/>
      <c r="BX46" s="100"/>
      <c r="BY46" s="100"/>
    </row>
    <row r="47" spans="1:77" ht="13.15" customHeight="1">
      <c r="A47" s="1083"/>
      <c r="B47" s="2317"/>
      <c r="C47" s="2317"/>
      <c r="D47" s="2317"/>
      <c r="E47" s="2317"/>
      <c r="F47" s="2317"/>
      <c r="G47" s="2317"/>
      <c r="H47" s="2317"/>
      <c r="I47" s="2317"/>
      <c r="J47" s="2317"/>
      <c r="K47" s="2317"/>
      <c r="L47" s="2317"/>
      <c r="M47" s="2317"/>
      <c r="N47" s="2317"/>
      <c r="O47" s="2317"/>
      <c r="P47" s="2317"/>
      <c r="Q47" s="2317"/>
      <c r="R47" s="2317"/>
      <c r="S47" s="2317"/>
      <c r="T47" s="2317"/>
      <c r="U47" s="2317"/>
      <c r="V47" s="2317"/>
      <c r="W47" s="2317"/>
      <c r="X47" s="2317"/>
      <c r="Y47" s="2317"/>
      <c r="Z47" s="2317"/>
      <c r="AA47" s="1525"/>
      <c r="AB47" s="2349"/>
      <c r="AC47" s="2347"/>
      <c r="AD47" s="2349"/>
      <c r="AE47" s="2347"/>
      <c r="AF47" s="2364"/>
      <c r="AG47" s="1524"/>
      <c r="AH47" s="1525"/>
      <c r="AI47" s="1525"/>
      <c r="AJ47" s="1083"/>
      <c r="AK47" s="1083"/>
      <c r="AL47" s="1390"/>
      <c r="AM47" s="1083"/>
      <c r="AN47" s="1083"/>
      <c r="AO47" s="1083"/>
      <c r="AP47" s="1083"/>
      <c r="AQ47" s="1083"/>
      <c r="AR47" s="1083"/>
      <c r="AS47" s="1083"/>
      <c r="AT47" s="1083"/>
      <c r="AU47" s="1083"/>
      <c r="AV47" s="1083"/>
      <c r="AW47" s="1083"/>
      <c r="AX47" s="1083"/>
      <c r="AY47" s="1083"/>
      <c r="AZ47" s="1083"/>
      <c r="BA47" s="1083"/>
      <c r="BB47" s="1083"/>
      <c r="BC47" s="1083"/>
      <c r="BD47" s="1083"/>
      <c r="BE47" s="1083"/>
      <c r="BF47" s="1083"/>
      <c r="BG47" s="1083"/>
      <c r="BH47" s="1083"/>
      <c r="BI47" s="1083"/>
      <c r="BJ47" s="1083"/>
      <c r="BK47" s="1083"/>
      <c r="BL47" s="1083"/>
      <c r="BM47" s="1083"/>
      <c r="BN47" s="1083"/>
      <c r="BO47" s="1083"/>
      <c r="BP47" s="1083"/>
      <c r="BQ47" s="1083"/>
      <c r="BR47" s="100"/>
      <c r="BS47" s="100"/>
      <c r="BT47" s="100"/>
      <c r="BU47" s="100"/>
      <c r="BV47" s="100"/>
      <c r="BW47" s="100"/>
      <c r="BX47" s="100"/>
      <c r="BY47" s="100"/>
    </row>
    <row r="48" spans="1:77" ht="13.5" customHeight="1">
      <c r="A48" s="1083"/>
      <c r="B48" s="1524"/>
      <c r="C48" s="1524"/>
      <c r="D48" s="1524"/>
      <c r="E48" s="1524"/>
      <c r="F48" s="1524"/>
      <c r="G48" s="1524"/>
      <c r="H48" s="1524"/>
      <c r="I48" s="1524"/>
      <c r="J48" s="1524"/>
      <c r="K48" s="1524"/>
      <c r="L48" s="1524"/>
      <c r="M48" s="1524"/>
      <c r="N48" s="1524"/>
      <c r="O48" s="1524"/>
      <c r="P48" s="1524"/>
      <c r="Q48" s="1524"/>
      <c r="R48" s="1524"/>
      <c r="S48" s="1524"/>
      <c r="T48" s="1524"/>
      <c r="U48" s="1524"/>
      <c r="V48" s="1524"/>
      <c r="W48" s="1524"/>
      <c r="X48" s="1524"/>
      <c r="Y48" s="1524"/>
      <c r="Z48" s="1524"/>
      <c r="AA48" s="1526"/>
      <c r="AB48" s="1504"/>
      <c r="AC48" s="1504"/>
      <c r="AD48" s="1504"/>
      <c r="AE48" s="1504"/>
      <c r="AF48" s="1527"/>
      <c r="AG48" s="1524"/>
      <c r="AH48" s="1525"/>
      <c r="AI48" s="1525"/>
      <c r="AJ48" s="1083"/>
      <c r="AK48" s="1083"/>
      <c r="AL48" s="1390"/>
      <c r="AM48" s="1083"/>
      <c r="AN48" s="1083"/>
      <c r="AO48" s="1083"/>
      <c r="AP48" s="1083"/>
      <c r="AQ48" s="1083"/>
      <c r="AR48" s="1083"/>
      <c r="AS48" s="1083"/>
      <c r="AT48" s="1083"/>
      <c r="AU48" s="1083"/>
      <c r="AV48" s="1083"/>
      <c r="AW48" s="1083"/>
      <c r="AX48" s="1083"/>
      <c r="AY48" s="1083"/>
      <c r="AZ48" s="1083"/>
      <c r="BA48" s="1083"/>
      <c r="BB48" s="1083"/>
      <c r="BC48" s="1083"/>
      <c r="BD48" s="1083"/>
      <c r="BE48" s="1083"/>
      <c r="BF48" s="1083"/>
      <c r="BG48" s="1083"/>
      <c r="BH48" s="1083"/>
      <c r="BI48" s="1083"/>
      <c r="BJ48" s="1083"/>
      <c r="BK48" s="1083"/>
      <c r="BL48" s="1083"/>
      <c r="BM48" s="1083"/>
      <c r="BN48" s="1083"/>
      <c r="BO48" s="1083"/>
      <c r="BP48" s="1083"/>
      <c r="BQ48" s="1083"/>
      <c r="BR48" s="100"/>
      <c r="BS48" s="100"/>
      <c r="BT48" s="100"/>
      <c r="BU48" s="100"/>
      <c r="BV48" s="100"/>
      <c r="BW48" s="100"/>
      <c r="BX48" s="100"/>
      <c r="BY48" s="100"/>
    </row>
    <row r="49" spans="1:77" ht="20.25">
      <c r="A49" s="1083"/>
      <c r="B49" s="2415" t="s">
        <v>649</v>
      </c>
      <c r="C49" s="2416"/>
      <c r="D49" s="2416"/>
      <c r="E49" s="2416"/>
      <c r="F49" s="2416"/>
      <c r="G49" s="2416"/>
      <c r="H49" s="2416"/>
      <c r="I49" s="2416"/>
      <c r="J49" s="2416"/>
      <c r="K49" s="2416"/>
      <c r="L49" s="2416"/>
      <c r="M49" s="2416"/>
      <c r="N49" s="2416"/>
      <c r="O49" s="2416"/>
      <c r="P49" s="2416"/>
      <c r="Q49" s="2416"/>
      <c r="R49" s="2416"/>
      <c r="S49" s="2416"/>
      <c r="T49" s="2416"/>
      <c r="U49" s="2416"/>
      <c r="V49" s="2416"/>
      <c r="W49" s="2416"/>
      <c r="X49" s="2416"/>
      <c r="Y49" s="2416"/>
      <c r="Z49" s="2417"/>
      <c r="AA49" s="1528"/>
      <c r="AB49" s="1529"/>
      <c r="AC49" s="1529"/>
      <c r="AD49" s="1529"/>
      <c r="AE49" s="1529"/>
      <c r="AF49" s="1530"/>
      <c r="AG49" s="1531"/>
      <c r="AH49" s="1531"/>
      <c r="AI49" s="1531"/>
      <c r="AJ49" s="1532"/>
      <c r="AK49" s="1532"/>
      <c r="AL49" s="1533"/>
      <c r="AM49" s="1532"/>
      <c r="AN49" s="1532"/>
      <c r="AO49" s="1532"/>
      <c r="AP49" s="1532"/>
      <c r="AQ49" s="1532"/>
      <c r="AR49" s="1532"/>
      <c r="AS49" s="1532"/>
      <c r="AT49" s="1532"/>
      <c r="AU49" s="1532"/>
      <c r="AV49" s="1532"/>
      <c r="AW49" s="1532"/>
      <c r="AX49" s="1532"/>
      <c r="AY49" s="1532"/>
      <c r="AZ49" s="1532"/>
      <c r="BA49" s="1532"/>
      <c r="BB49" s="1532"/>
      <c r="BC49" s="1083"/>
      <c r="BD49" s="1083"/>
      <c r="BE49" s="1083"/>
      <c r="BF49" s="1083"/>
      <c r="BG49" s="1083"/>
      <c r="BH49" s="1083"/>
      <c r="BI49" s="1083"/>
      <c r="BJ49" s="1083"/>
      <c r="BK49" s="1083"/>
      <c r="BL49" s="1083"/>
      <c r="BM49" s="1083"/>
      <c r="BN49" s="1083"/>
      <c r="BO49" s="1083"/>
      <c r="BP49" s="1083"/>
      <c r="BQ49" s="1083"/>
      <c r="BR49" s="100"/>
      <c r="BS49" s="100"/>
      <c r="BT49" s="100"/>
      <c r="BU49" s="100"/>
      <c r="BV49" s="100"/>
      <c r="BW49" s="100"/>
      <c r="BX49" s="100"/>
      <c r="BY49" s="100"/>
    </row>
    <row r="50" spans="1:77" ht="17.25" customHeight="1">
      <c r="A50" s="1083"/>
      <c r="B50" s="2376" t="s">
        <v>651</v>
      </c>
      <c r="C50" s="2377"/>
      <c r="D50" s="2377"/>
      <c r="E50" s="2377"/>
      <c r="F50" s="2377"/>
      <c r="G50" s="2377"/>
      <c r="H50" s="2377"/>
      <c r="I50" s="2377"/>
      <c r="J50" s="2377"/>
      <c r="K50" s="2377"/>
      <c r="L50" s="2377"/>
      <c r="M50" s="2377"/>
      <c r="N50" s="2377"/>
      <c r="O50" s="2377"/>
      <c r="P50" s="2377"/>
      <c r="Q50" s="2377"/>
      <c r="R50" s="2377"/>
      <c r="S50" s="2377"/>
      <c r="T50" s="2377"/>
      <c r="U50" s="2377"/>
      <c r="V50" s="2377"/>
      <c r="W50" s="2377"/>
      <c r="X50" s="2377"/>
      <c r="Y50" s="2377"/>
      <c r="Z50" s="2378"/>
      <c r="AA50" s="1523"/>
      <c r="AB50" s="2324" t="s">
        <v>680</v>
      </c>
      <c r="AC50" s="2315" t="s">
        <v>671</v>
      </c>
      <c r="AD50" s="2315" t="s">
        <v>680</v>
      </c>
      <c r="AE50" s="2315" t="s">
        <v>671</v>
      </c>
      <c r="AF50" s="1534"/>
      <c r="AG50" s="1524"/>
      <c r="AH50" s="1525"/>
      <c r="AI50" s="1525"/>
      <c r="AJ50" s="1532"/>
      <c r="AK50" s="1532" t="s">
        <v>229</v>
      </c>
      <c r="AL50" s="1533"/>
      <c r="AM50" s="1532"/>
      <c r="AN50" s="1532"/>
      <c r="AO50" s="1532"/>
      <c r="AP50" s="1532"/>
      <c r="AQ50" s="1532"/>
      <c r="AR50" s="1532"/>
      <c r="AS50" s="1532"/>
      <c r="AT50" s="1532"/>
      <c r="AU50" s="1532"/>
      <c r="AV50" s="1532"/>
      <c r="AW50" s="1532"/>
      <c r="AX50" s="1532"/>
      <c r="AY50" s="1532"/>
      <c r="AZ50" s="1532"/>
      <c r="BA50" s="1532"/>
      <c r="BB50" s="1532"/>
      <c r="BC50" s="1083"/>
      <c r="BD50" s="1083"/>
      <c r="BE50" s="1083"/>
      <c r="BF50" s="1083"/>
      <c r="BG50" s="1083"/>
      <c r="BH50" s="1083"/>
      <c r="BI50" s="1083"/>
      <c r="BJ50" s="1083"/>
      <c r="BK50" s="1083"/>
      <c r="BL50" s="1083"/>
      <c r="BM50" s="1083"/>
      <c r="BN50" s="1083"/>
      <c r="BO50" s="1083"/>
      <c r="BP50" s="1083"/>
      <c r="BQ50" s="1083"/>
      <c r="BR50" s="100"/>
      <c r="BS50" s="100"/>
      <c r="BT50" s="100"/>
      <c r="BU50" s="100"/>
      <c r="BV50" s="100"/>
      <c r="BW50" s="100"/>
      <c r="BX50" s="100"/>
      <c r="BY50" s="100"/>
    </row>
    <row r="51" spans="1:77" ht="19.5" customHeight="1">
      <c r="A51" s="1083"/>
      <c r="B51" s="2306" t="s">
        <v>652</v>
      </c>
      <c r="C51" s="2307"/>
      <c r="D51" s="2307"/>
      <c r="E51" s="2307"/>
      <c r="F51" s="2307"/>
      <c r="G51" s="2307"/>
      <c r="H51" s="2307"/>
      <c r="I51" s="2307"/>
      <c r="J51" s="2307"/>
      <c r="K51" s="2307"/>
      <c r="L51" s="2307"/>
      <c r="M51" s="2307"/>
      <c r="N51" s="2307"/>
      <c r="O51" s="2307"/>
      <c r="P51" s="2307"/>
      <c r="Q51" s="2307"/>
      <c r="R51" s="2307"/>
      <c r="S51" s="2307"/>
      <c r="T51" s="2307"/>
      <c r="U51" s="2307"/>
      <c r="V51" s="2307"/>
      <c r="W51" s="2307"/>
      <c r="X51" s="2307"/>
      <c r="Y51" s="2307"/>
      <c r="Z51" s="2308"/>
      <c r="AA51" s="1535"/>
      <c r="AB51" s="2325"/>
      <c r="AC51" s="2316"/>
      <c r="AD51" s="2316"/>
      <c r="AE51" s="2316"/>
      <c r="AF51" s="2341" t="s">
        <v>689</v>
      </c>
      <c r="AG51" s="1536"/>
      <c r="AH51" s="1536"/>
      <c r="AI51" s="1536"/>
      <c r="AJ51" s="1532"/>
      <c r="AK51" s="1532"/>
      <c r="AL51" s="1533"/>
      <c r="AM51" s="1532"/>
      <c r="AN51" s="1532"/>
      <c r="AO51" s="1532"/>
      <c r="AP51" s="1532"/>
      <c r="AQ51" s="1532"/>
      <c r="AR51" s="1532"/>
      <c r="AS51" s="1532"/>
      <c r="AT51" s="1532"/>
      <c r="AU51" s="1532"/>
      <c r="AV51" s="1532"/>
      <c r="AW51" s="1532"/>
      <c r="AX51" s="1532"/>
      <c r="AY51" s="1532"/>
      <c r="AZ51" s="1532"/>
      <c r="BA51" s="1532"/>
      <c r="BB51" s="1532"/>
      <c r="BC51" s="1083"/>
      <c r="BD51" s="1083"/>
      <c r="BE51" s="1083"/>
      <c r="BF51" s="1083"/>
      <c r="BG51" s="1083"/>
      <c r="BH51" s="1083"/>
      <c r="BI51" s="1083"/>
      <c r="BJ51" s="1083"/>
      <c r="BK51" s="1083"/>
      <c r="BL51" s="1083"/>
      <c r="BM51" s="1083"/>
      <c r="BN51" s="1083"/>
      <c r="BO51" s="1083"/>
      <c r="BP51" s="1083"/>
      <c r="BQ51" s="1083"/>
      <c r="BR51" s="100"/>
      <c r="BS51" s="100"/>
      <c r="BT51" s="100"/>
      <c r="BU51" s="100"/>
      <c r="BV51" s="100"/>
      <c r="BW51" s="100"/>
      <c r="BX51" s="100"/>
      <c r="BY51" s="100"/>
    </row>
    <row r="52" spans="1:77" s="1537" customFormat="1" ht="18" customHeight="1">
      <c r="A52" s="1538"/>
      <c r="B52" s="1539">
        <v>1</v>
      </c>
      <c r="C52" s="2335" t="s">
        <v>653</v>
      </c>
      <c r="D52" s="2335"/>
      <c r="E52" s="2335"/>
      <c r="F52" s="2335"/>
      <c r="G52" s="2335"/>
      <c r="H52" s="2335"/>
      <c r="I52" s="2335"/>
      <c r="J52" s="2335"/>
      <c r="K52" s="2335"/>
      <c r="L52" s="2335"/>
      <c r="M52" s="2335"/>
      <c r="N52" s="2335"/>
      <c r="O52" s="2335"/>
      <c r="P52" s="2335"/>
      <c r="Q52" s="2335"/>
      <c r="R52" s="2335"/>
      <c r="S52" s="2335"/>
      <c r="T52" s="1540" t="s">
        <v>264</v>
      </c>
      <c r="U52" s="2383">
        <f>AC4</f>
        <v>1057680</v>
      </c>
      <c r="V52" s="2383"/>
      <c r="W52" s="2383"/>
      <c r="X52" s="2383"/>
      <c r="Y52" s="2383"/>
      <c r="Z52" s="1541"/>
      <c r="AA52" s="1542"/>
      <c r="AB52" s="1485" t="s">
        <v>681</v>
      </c>
      <c r="AC52" s="1543">
        <f>IF(AM13="","",AM13)</f>
        <v>0</v>
      </c>
      <c r="AD52" s="1544" t="s">
        <v>681</v>
      </c>
      <c r="AE52" s="1543">
        <f>AC52</f>
        <v>0</v>
      </c>
      <c r="AF52" s="2341"/>
      <c r="AG52" s="1545"/>
      <c r="AH52" s="1545"/>
      <c r="AI52" s="1545"/>
      <c r="AJ52" s="1546"/>
      <c r="AK52" s="1546"/>
      <c r="AL52" s="1546"/>
      <c r="AM52" s="1547"/>
      <c r="AN52" s="1547"/>
      <c r="AO52" s="1547"/>
      <c r="AP52" s="1547"/>
      <c r="AQ52" s="1547"/>
      <c r="AR52" s="1547"/>
      <c r="AS52" s="1547"/>
      <c r="AT52" s="1547"/>
      <c r="AU52" s="1548"/>
      <c r="AV52" s="1548"/>
      <c r="AW52" s="1548"/>
      <c r="AX52" s="1547"/>
      <c r="AY52" s="1548"/>
      <c r="AZ52" s="1549"/>
      <c r="BA52" s="1550"/>
      <c r="BB52" s="1550"/>
      <c r="BC52" s="1538"/>
      <c r="BD52" s="1538"/>
      <c r="BE52" s="1538"/>
      <c r="BF52" s="1538"/>
      <c r="BG52" s="1538"/>
      <c r="BH52" s="1538"/>
      <c r="BI52" s="1538"/>
      <c r="BJ52" s="1538"/>
      <c r="BK52" s="1538"/>
      <c r="BL52" s="1538"/>
      <c r="BM52" s="1538"/>
      <c r="BN52" s="1538"/>
      <c r="BO52" s="1538"/>
      <c r="BP52" s="1538"/>
      <c r="BQ52" s="1538"/>
      <c r="BR52" s="1551"/>
      <c r="BS52" s="1551"/>
      <c r="BT52" s="1551"/>
      <c r="BU52" s="1551"/>
      <c r="BV52" s="1551"/>
      <c r="BW52" s="1551"/>
      <c r="BX52" s="1551"/>
      <c r="BY52" s="1551"/>
    </row>
    <row r="53" spans="1:77" s="1537" customFormat="1" ht="18" customHeight="1">
      <c r="A53" s="1538"/>
      <c r="B53" s="1552">
        <v>2</v>
      </c>
      <c r="C53" s="2319" t="s">
        <v>654</v>
      </c>
      <c r="D53" s="2319"/>
      <c r="E53" s="2319"/>
      <c r="F53" s="2319"/>
      <c r="G53" s="2319"/>
      <c r="H53" s="2319"/>
      <c r="I53" s="2319"/>
      <c r="J53" s="2319"/>
      <c r="K53" s="2319"/>
      <c r="L53" s="2319"/>
      <c r="M53" s="2319"/>
      <c r="N53" s="2319"/>
      <c r="O53" s="2319"/>
      <c r="P53" s="2319"/>
      <c r="Q53" s="2319"/>
      <c r="R53" s="2319"/>
      <c r="S53" s="2319"/>
      <c r="T53" s="1553" t="s">
        <v>264</v>
      </c>
      <c r="U53" s="2311">
        <f>I81</f>
        <v>0</v>
      </c>
      <c r="V53" s="2311"/>
      <c r="W53" s="2311"/>
      <c r="X53" s="2311"/>
      <c r="Y53" s="2311"/>
      <c r="Z53" s="1554"/>
      <c r="AA53" s="1542"/>
      <c r="AB53" s="1485" t="s">
        <v>710</v>
      </c>
      <c r="AC53" s="1543">
        <f>IF(AN13="","",AN13)</f>
        <v>0</v>
      </c>
      <c r="AD53" s="1544" t="s">
        <v>710</v>
      </c>
      <c r="AE53" s="1543">
        <v>0</v>
      </c>
      <c r="AF53" s="2341"/>
      <c r="AG53" s="1545"/>
      <c r="AH53" s="1545"/>
      <c r="AI53" s="1545"/>
      <c r="AJ53" s="1555"/>
      <c r="AK53" s="1555"/>
      <c r="AL53" s="1555"/>
      <c r="AM53" s="1555"/>
      <c r="AN53" s="1555"/>
      <c r="AO53" s="1555"/>
      <c r="AP53" s="1555"/>
      <c r="AQ53" s="1555"/>
      <c r="AR53" s="1555"/>
      <c r="AS53" s="1555"/>
      <c r="AT53" s="1555"/>
      <c r="AU53" s="1555"/>
      <c r="AV53" s="1555"/>
      <c r="AW53" s="1555"/>
      <c r="AX53" s="1555"/>
      <c r="AY53" s="1555"/>
      <c r="AZ53" s="1549"/>
      <c r="BA53" s="1550"/>
      <c r="BB53" s="1550"/>
      <c r="BC53" s="1538"/>
      <c r="BD53" s="1538"/>
      <c r="BE53" s="1538"/>
      <c r="BF53" s="1538"/>
      <c r="BG53" s="1538"/>
      <c r="BH53" s="1538"/>
      <c r="BI53" s="1538"/>
      <c r="BJ53" s="1538"/>
      <c r="BK53" s="1538"/>
      <c r="BL53" s="1538"/>
      <c r="BM53" s="1538"/>
      <c r="BN53" s="1538"/>
      <c r="BO53" s="1538"/>
      <c r="BP53" s="1538"/>
      <c r="BQ53" s="1538"/>
      <c r="BR53" s="1551"/>
      <c r="BS53" s="1551"/>
      <c r="BT53" s="1551"/>
      <c r="BU53" s="1551"/>
      <c r="BV53" s="1551"/>
      <c r="BW53" s="1551"/>
      <c r="BX53" s="1551"/>
      <c r="BY53" s="1551"/>
    </row>
    <row r="54" spans="1:77" s="1537" customFormat="1" ht="18" customHeight="1">
      <c r="A54" s="1538"/>
      <c r="B54" s="1552">
        <v>3</v>
      </c>
      <c r="C54" s="2319" t="s">
        <v>655</v>
      </c>
      <c r="D54" s="2319"/>
      <c r="E54" s="2319"/>
      <c r="F54" s="2319"/>
      <c r="G54" s="2319"/>
      <c r="H54" s="2319"/>
      <c r="I54" s="2319"/>
      <c r="J54" s="2319"/>
      <c r="K54" s="2319"/>
      <c r="L54" s="2319"/>
      <c r="M54" s="2319"/>
      <c r="N54" s="2319"/>
      <c r="O54" s="2319"/>
      <c r="P54" s="2319"/>
      <c r="Q54" s="2319"/>
      <c r="R54" s="2319"/>
      <c r="S54" s="2319"/>
      <c r="T54" s="1553" t="s">
        <v>264</v>
      </c>
      <c r="U54" s="2311">
        <f>SUM(U52,U53)</f>
        <v>1057680</v>
      </c>
      <c r="V54" s="2311"/>
      <c r="W54" s="2311"/>
      <c r="X54" s="2311"/>
      <c r="Y54" s="2311"/>
      <c r="Z54" s="1554"/>
      <c r="AA54" s="1542"/>
      <c r="AB54" s="1492" t="s">
        <v>682</v>
      </c>
      <c r="AC54" s="1556">
        <f>SUM(AC52:AC53)</f>
        <v>0</v>
      </c>
      <c r="AD54" s="1493" t="s">
        <v>682</v>
      </c>
      <c r="AE54" s="1556">
        <f>SUM(AE52:AE53)</f>
        <v>0</v>
      </c>
      <c r="AF54" s="2341"/>
      <c r="AG54" s="1545"/>
      <c r="AH54" s="1545"/>
      <c r="AI54" s="1545"/>
      <c r="AJ54" s="1546"/>
      <c r="AK54" s="1546"/>
      <c r="AL54" s="1546"/>
      <c r="AM54" s="1547"/>
      <c r="AN54" s="1547"/>
      <c r="AO54" s="1547"/>
      <c r="AP54" s="1547"/>
      <c r="AQ54" s="1547"/>
      <c r="AR54" s="1547"/>
      <c r="AS54" s="1547"/>
      <c r="AT54" s="1547"/>
      <c r="AU54" s="1548"/>
      <c r="AV54" s="1548"/>
      <c r="AW54" s="1548"/>
      <c r="AX54" s="1547"/>
      <c r="AY54" s="1548"/>
      <c r="AZ54" s="1549"/>
      <c r="BA54" s="1550"/>
      <c r="BB54" s="1550"/>
      <c r="BC54" s="1538"/>
      <c r="BD54" s="1538"/>
      <c r="BE54" s="1538"/>
      <c r="BF54" s="1538"/>
      <c r="BG54" s="1538"/>
      <c r="BH54" s="1538"/>
      <c r="BI54" s="1538"/>
      <c r="BJ54" s="1538"/>
      <c r="BK54" s="1538"/>
      <c r="BL54" s="1538"/>
      <c r="BM54" s="1538"/>
      <c r="BN54" s="1538"/>
      <c r="BO54" s="1538"/>
      <c r="BP54" s="1538"/>
      <c r="BQ54" s="1538"/>
      <c r="BR54" s="1551"/>
      <c r="BS54" s="1551"/>
      <c r="BT54" s="1551"/>
      <c r="BU54" s="1551"/>
      <c r="BV54" s="1551"/>
      <c r="BW54" s="1551"/>
      <c r="BX54" s="1551"/>
      <c r="BY54" s="1551"/>
    </row>
    <row r="55" spans="1:77" s="1537" customFormat="1" ht="18" customHeight="1">
      <c r="A55" s="1538"/>
      <c r="B55" s="1552">
        <v>4</v>
      </c>
      <c r="C55" s="2319" t="s">
        <v>656</v>
      </c>
      <c r="D55" s="2319"/>
      <c r="E55" s="2319"/>
      <c r="F55" s="2319"/>
      <c r="G55" s="2319"/>
      <c r="H55" s="2319"/>
      <c r="I55" s="2319"/>
      <c r="J55" s="2319"/>
      <c r="K55" s="2319"/>
      <c r="L55" s="2319"/>
      <c r="M55" s="2319"/>
      <c r="N55" s="2319"/>
      <c r="O55" s="2319"/>
      <c r="P55" s="2319"/>
      <c r="Q55" s="2319"/>
      <c r="R55" s="2319"/>
      <c r="S55" s="2319"/>
      <c r="T55" s="1553" t="s">
        <v>264</v>
      </c>
      <c r="U55" s="2311">
        <f>AC16</f>
        <v>134996</v>
      </c>
      <c r="V55" s="2311"/>
      <c r="W55" s="2311"/>
      <c r="X55" s="2311"/>
      <c r="Y55" s="2311"/>
      <c r="Z55" s="1554"/>
      <c r="AA55" s="1542"/>
      <c r="AB55" s="1411" t="s">
        <v>683</v>
      </c>
      <c r="AC55" s="1412">
        <v>0</v>
      </c>
      <c r="AD55" s="1413" t="s">
        <v>683</v>
      </c>
      <c r="AE55" s="1412">
        <v>0</v>
      </c>
      <c r="AF55" s="2341"/>
      <c r="AG55" s="1545"/>
      <c r="AH55" s="1545"/>
      <c r="AI55" s="1545"/>
      <c r="AJ55" s="1555"/>
      <c r="AK55" s="1555"/>
      <c r="AL55" s="1555"/>
      <c r="AM55" s="1555"/>
      <c r="AN55" s="1555"/>
      <c r="AO55" s="1555"/>
      <c r="AP55" s="1555"/>
      <c r="AQ55" s="1555"/>
      <c r="AR55" s="1555"/>
      <c r="AS55" s="1555"/>
      <c r="AT55" s="1555"/>
      <c r="AU55" s="1555"/>
      <c r="AV55" s="1555"/>
      <c r="AW55" s="1555"/>
      <c r="AX55" s="1555"/>
      <c r="AY55" s="1555"/>
      <c r="AZ55" s="1549"/>
      <c r="BA55" s="1550"/>
      <c r="BB55" s="1550"/>
      <c r="BC55" s="1538"/>
      <c r="BD55" s="1538"/>
      <c r="BE55" s="1538"/>
      <c r="BF55" s="1538"/>
      <c r="BG55" s="1538"/>
      <c r="BH55" s="1538"/>
      <c r="BI55" s="1538"/>
      <c r="BJ55" s="1538"/>
      <c r="BK55" s="1538"/>
      <c r="BL55" s="1538"/>
      <c r="BM55" s="1538"/>
      <c r="BN55" s="1538"/>
      <c r="BO55" s="1538"/>
      <c r="BP55" s="1538"/>
      <c r="BQ55" s="1538"/>
      <c r="BR55" s="1551"/>
      <c r="BS55" s="1551"/>
      <c r="BT55" s="1551"/>
      <c r="BU55" s="1551"/>
      <c r="BV55" s="1551"/>
      <c r="BW55" s="1551"/>
      <c r="BX55" s="1551"/>
      <c r="BY55" s="1551"/>
    </row>
    <row r="56" spans="1:77" s="1537" customFormat="1" ht="18" customHeight="1">
      <c r="A56" s="1538"/>
      <c r="B56" s="1552">
        <v>5</v>
      </c>
      <c r="C56" s="2319" t="s">
        <v>657</v>
      </c>
      <c r="D56" s="2319"/>
      <c r="E56" s="2319"/>
      <c r="F56" s="2319"/>
      <c r="G56" s="2319"/>
      <c r="H56" s="2319"/>
      <c r="I56" s="2319"/>
      <c r="J56" s="2319"/>
      <c r="K56" s="2319"/>
      <c r="L56" s="2319"/>
      <c r="M56" s="2319"/>
      <c r="N56" s="2319"/>
      <c r="O56" s="2319"/>
      <c r="P56" s="2319"/>
      <c r="Q56" s="2319"/>
      <c r="R56" s="2319"/>
      <c r="S56" s="2319"/>
      <c r="T56" s="1553" t="s">
        <v>264</v>
      </c>
      <c r="U56" s="2311">
        <f>AE16</f>
        <v>134996</v>
      </c>
      <c r="V56" s="2311"/>
      <c r="W56" s="2311"/>
      <c r="X56" s="2311"/>
      <c r="Y56" s="2311"/>
      <c r="Z56" s="1554"/>
      <c r="AA56" s="1542"/>
      <c r="AB56" s="1417" t="s">
        <v>698</v>
      </c>
      <c r="AC56" s="1418">
        <f>IF(AH56&gt;0,AH56,0)*10%</f>
        <v>0</v>
      </c>
      <c r="AD56" s="1419" t="s">
        <v>695</v>
      </c>
      <c r="AE56" s="1418">
        <f>IF(AJ56&gt;0,AJ56,0)*10%</f>
        <v>0</v>
      </c>
      <c r="AF56" s="2341"/>
      <c r="AG56" s="1557">
        <f>AC54-250000</f>
        <v>-250000</v>
      </c>
      <c r="AH56" s="1558">
        <f>IF(AG56&gt;250000,250000,AG56)</f>
        <v>-250000</v>
      </c>
      <c r="AI56" s="1557">
        <f>AE54-250000</f>
        <v>-250000</v>
      </c>
      <c r="AJ56" s="1558">
        <f>IF(AI56&gt;250000,250000,AI56)</f>
        <v>-250000</v>
      </c>
      <c r="AK56" s="1549"/>
      <c r="AL56" s="1549"/>
      <c r="AM56" s="1549"/>
      <c r="AN56" s="1549"/>
      <c r="AO56" s="1549"/>
      <c r="AP56" s="1549"/>
      <c r="AQ56" s="1549"/>
      <c r="AR56" s="1549"/>
      <c r="AS56" s="1549"/>
      <c r="AT56" s="1549"/>
      <c r="AU56" s="1549"/>
      <c r="AV56" s="1549"/>
      <c r="AW56" s="1549"/>
      <c r="AX56" s="1549"/>
      <c r="AY56" s="1549"/>
      <c r="AZ56" s="1549"/>
      <c r="BA56" s="1550"/>
      <c r="BB56" s="1550"/>
      <c r="BC56" s="1538"/>
      <c r="BD56" s="1538"/>
      <c r="BE56" s="1538"/>
      <c r="BF56" s="1538"/>
      <c r="BG56" s="1538"/>
      <c r="BH56" s="1538"/>
      <c r="BI56" s="1538"/>
      <c r="BJ56" s="1538"/>
      <c r="BK56" s="1538"/>
      <c r="BL56" s="1538"/>
      <c r="BM56" s="1538"/>
      <c r="BN56" s="1538"/>
      <c r="BO56" s="1538"/>
      <c r="BP56" s="1538"/>
      <c r="BQ56" s="1538"/>
      <c r="BR56" s="1551"/>
      <c r="BS56" s="1551"/>
      <c r="BT56" s="1551"/>
      <c r="BU56" s="1551"/>
      <c r="BV56" s="1551"/>
      <c r="BW56" s="1551"/>
      <c r="BX56" s="1551"/>
      <c r="BY56" s="1551"/>
    </row>
    <row r="57" spans="1:77" s="1537" customFormat="1" ht="18" customHeight="1">
      <c r="A57" s="1538"/>
      <c r="B57" s="1552">
        <v>6</v>
      </c>
      <c r="C57" s="2319" t="s">
        <v>658</v>
      </c>
      <c r="D57" s="2319"/>
      <c r="E57" s="2319"/>
      <c r="F57" s="2319"/>
      <c r="G57" s="2319"/>
      <c r="H57" s="2319"/>
      <c r="I57" s="2319"/>
      <c r="J57" s="2319"/>
      <c r="K57" s="2319"/>
      <c r="L57" s="2319"/>
      <c r="M57" s="2319"/>
      <c r="N57" s="2319"/>
      <c r="O57" s="2319"/>
      <c r="P57" s="2319"/>
      <c r="Q57" s="2319"/>
      <c r="R57" s="2319"/>
      <c r="S57" s="2319"/>
      <c r="T57" s="1553" t="s">
        <v>264</v>
      </c>
      <c r="U57" s="2382">
        <f>IF(W80=0,0,(U55-U56))</f>
        <v>0</v>
      </c>
      <c r="V57" s="2382"/>
      <c r="W57" s="2382"/>
      <c r="X57" s="2382"/>
      <c r="Y57" s="2382"/>
      <c r="Z57" s="1554"/>
      <c r="AA57" s="1542"/>
      <c r="AB57" s="1425" t="s">
        <v>697</v>
      </c>
      <c r="AC57" s="1418">
        <f>IF(AH57&gt;0,AH57,0)*20%</f>
        <v>0</v>
      </c>
      <c r="AD57" s="1426" t="s">
        <v>699</v>
      </c>
      <c r="AE57" s="1556">
        <f>IF(AJ57&gt;0,AJ57,0)*20%</f>
        <v>0</v>
      </c>
      <c r="AF57" s="2341"/>
      <c r="AG57" s="1557">
        <f>AC54-500000</f>
        <v>-500000</v>
      </c>
      <c r="AH57" s="1558">
        <f>IF(AG57&gt;500000,500000,AG57)</f>
        <v>-500000</v>
      </c>
      <c r="AI57" s="1557">
        <f>AE54-500000</f>
        <v>-500000</v>
      </c>
      <c r="AJ57" s="1558">
        <f>IF(AI57&gt;500000,500000,AI57)</f>
        <v>-500000</v>
      </c>
      <c r="AK57" s="1549"/>
      <c r="AL57" s="1549"/>
      <c r="AM57" s="1549"/>
      <c r="AN57" s="1549"/>
      <c r="AO57" s="1549"/>
      <c r="AP57" s="1549"/>
      <c r="AQ57" s="1549"/>
      <c r="AR57" s="1549"/>
      <c r="AS57" s="1549"/>
      <c r="AT57" s="1549"/>
      <c r="AU57" s="1549"/>
      <c r="AV57" s="1549"/>
      <c r="AW57" s="1549"/>
      <c r="AX57" s="1549"/>
      <c r="AY57" s="1549"/>
      <c r="AZ57" s="1549"/>
      <c r="BA57" s="1550"/>
      <c r="BB57" s="1550"/>
      <c r="BC57" s="1538"/>
      <c r="BD57" s="1538"/>
      <c r="BE57" s="1538"/>
      <c r="BF57" s="1538"/>
      <c r="BG57" s="1538"/>
      <c r="BH57" s="1538"/>
      <c r="BI57" s="1538"/>
      <c r="BJ57" s="1538"/>
      <c r="BK57" s="1538"/>
      <c r="BL57" s="1538"/>
      <c r="BM57" s="1538"/>
      <c r="BN57" s="1538"/>
      <c r="BO57" s="1538"/>
      <c r="BP57" s="1538"/>
      <c r="BQ57" s="1538"/>
      <c r="BR57" s="1551"/>
      <c r="BS57" s="1551"/>
      <c r="BT57" s="1551"/>
      <c r="BU57" s="1551"/>
      <c r="BV57" s="1551"/>
      <c r="BW57" s="1551"/>
      <c r="BX57" s="1551"/>
      <c r="BY57" s="1551"/>
    </row>
    <row r="58" spans="1:77" s="1537" customFormat="1" ht="18" customHeight="1">
      <c r="A58" s="1538"/>
      <c r="B58" s="1552"/>
      <c r="C58" s="2319" t="s">
        <v>659</v>
      </c>
      <c r="D58" s="2319"/>
      <c r="E58" s="2319"/>
      <c r="F58" s="2319"/>
      <c r="G58" s="2319"/>
      <c r="H58" s="2319"/>
      <c r="I58" s="2319"/>
      <c r="J58" s="2319"/>
      <c r="K58" s="2319"/>
      <c r="L58" s="2319"/>
      <c r="M58" s="2319"/>
      <c r="N58" s="2319"/>
      <c r="O58" s="2319"/>
      <c r="P58" s="2319"/>
      <c r="Q58" s="2319"/>
      <c r="R58" s="2319"/>
      <c r="S58" s="2319"/>
      <c r="T58" s="1553"/>
      <c r="U58" s="2311"/>
      <c r="V58" s="2311"/>
      <c r="W58" s="2311"/>
      <c r="X58" s="2311"/>
      <c r="Y58" s="2311"/>
      <c r="Z58" s="1554"/>
      <c r="AA58" s="1542"/>
      <c r="AB58" s="1559" t="s">
        <v>724</v>
      </c>
      <c r="AC58" s="1418">
        <f>IF(AH58&gt;0,AH58,0)*30%</f>
        <v>0</v>
      </c>
      <c r="AD58" s="1434" t="s">
        <v>684</v>
      </c>
      <c r="AE58" s="1556">
        <f>IF(AJ58&gt;0,AJ58,0)*30%</f>
        <v>0</v>
      </c>
      <c r="AF58" s="2341"/>
      <c r="AG58" s="1557">
        <f>AC54-1000000</f>
        <v>-1000000</v>
      </c>
      <c r="AH58" s="1558">
        <f>IF(AG58&gt;500000,500000,AG58)</f>
        <v>-1000000</v>
      </c>
      <c r="AI58" s="1557">
        <f>AE54-1000000</f>
        <v>-1000000</v>
      </c>
      <c r="AJ58" s="1558">
        <f>IF(AI58&gt;500000,500000,AI58)</f>
        <v>-1000000</v>
      </c>
      <c r="AK58" s="1549"/>
      <c r="AL58" s="1549"/>
      <c r="AM58" s="1549"/>
      <c r="AN58" s="1549"/>
      <c r="AO58" s="1549"/>
      <c r="AP58" s="1549"/>
      <c r="AQ58" s="1549"/>
      <c r="AR58" s="1549"/>
      <c r="AS58" s="1549"/>
      <c r="AT58" s="1549"/>
      <c r="AU58" s="1549"/>
      <c r="AV58" s="1549"/>
      <c r="AW58" s="1549"/>
      <c r="AX58" s="1549"/>
      <c r="AY58" s="1549"/>
      <c r="AZ58" s="1549"/>
      <c r="BA58" s="1550"/>
      <c r="BB58" s="1550"/>
      <c r="BC58" s="1538"/>
      <c r="BD58" s="1538"/>
      <c r="BE58" s="1538"/>
      <c r="BF58" s="1538"/>
      <c r="BG58" s="1538"/>
      <c r="BH58" s="1538"/>
      <c r="BI58" s="1538"/>
      <c r="BJ58" s="1538"/>
      <c r="BK58" s="1538"/>
      <c r="BL58" s="1538"/>
      <c r="BM58" s="1538"/>
      <c r="BN58" s="1538"/>
      <c r="BO58" s="1538"/>
      <c r="BP58" s="1538"/>
      <c r="BQ58" s="1538"/>
      <c r="BR58" s="1551"/>
      <c r="BS58" s="1551"/>
      <c r="BT58" s="1551"/>
      <c r="BU58" s="1551"/>
      <c r="BV58" s="1551"/>
      <c r="BW58" s="1551"/>
      <c r="BX58" s="1551"/>
      <c r="BY58" s="1551"/>
    </row>
    <row r="59" spans="1:77" s="1537" customFormat="1" ht="18" customHeight="1">
      <c r="A59" s="1538"/>
      <c r="B59" s="1552">
        <v>7</v>
      </c>
      <c r="C59" s="2319" t="s">
        <v>660</v>
      </c>
      <c r="D59" s="2319"/>
      <c r="E59" s="2319"/>
      <c r="F59" s="2319"/>
      <c r="G59" s="2319"/>
      <c r="H59" s="2319"/>
      <c r="I59" s="2319"/>
      <c r="J59" s="2319"/>
      <c r="K59" s="2319"/>
      <c r="L59" s="2319"/>
      <c r="M59" s="2319"/>
      <c r="N59" s="2319"/>
      <c r="O59" s="2319"/>
      <c r="P59" s="2319"/>
      <c r="Q59" s="2319"/>
      <c r="R59" s="2319"/>
      <c r="S59" s="2319"/>
      <c r="T59" s="1553" t="s">
        <v>264</v>
      </c>
      <c r="U59" s="2311">
        <f>W80</f>
        <v>0</v>
      </c>
      <c r="V59" s="2311"/>
      <c r="W59" s="2311"/>
      <c r="X59" s="2311"/>
      <c r="Y59" s="2311"/>
      <c r="Z59" s="1554"/>
      <c r="AA59" s="1542"/>
      <c r="AB59" s="1439" t="s">
        <v>690</v>
      </c>
      <c r="AC59" s="1560">
        <f>IF(AC54&gt;500000,0,5000)</f>
        <v>5000</v>
      </c>
      <c r="AD59" s="1561" t="s">
        <v>690</v>
      </c>
      <c r="AE59" s="1560">
        <f>IF(AE54&gt;500000,0,5000)</f>
        <v>5000</v>
      </c>
      <c r="AF59" s="2341"/>
      <c r="AG59" s="1545"/>
      <c r="AH59" s="1545"/>
      <c r="AI59" s="1545"/>
      <c r="AJ59" s="1549"/>
      <c r="AK59" s="1549"/>
      <c r="AL59" s="1549"/>
      <c r="AM59" s="1549"/>
      <c r="AN59" s="1549"/>
      <c r="AO59" s="1549"/>
      <c r="AP59" s="1549"/>
      <c r="AQ59" s="1549"/>
      <c r="AR59" s="1549"/>
      <c r="AS59" s="1549"/>
      <c r="AT59" s="1549"/>
      <c r="AU59" s="1549"/>
      <c r="AV59" s="1549"/>
      <c r="AW59" s="1549"/>
      <c r="AX59" s="1562"/>
      <c r="AY59" s="1562"/>
      <c r="AZ59" s="1562"/>
      <c r="BA59" s="1550"/>
      <c r="BB59" s="1550"/>
      <c r="BC59" s="1538"/>
      <c r="BD59" s="1538"/>
      <c r="BE59" s="1538"/>
      <c r="BF59" s="1538"/>
      <c r="BG59" s="1538"/>
      <c r="BH59" s="1538"/>
      <c r="BI59" s="1538"/>
      <c r="BJ59" s="1538"/>
      <c r="BK59" s="1538"/>
      <c r="BL59" s="1538"/>
      <c r="BM59" s="1538"/>
      <c r="BN59" s="1538"/>
      <c r="BO59" s="1538"/>
      <c r="BP59" s="1538"/>
      <c r="BQ59" s="1538"/>
      <c r="BR59" s="1551"/>
      <c r="BS59" s="1551"/>
      <c r="BT59" s="1551"/>
      <c r="BU59" s="1551"/>
      <c r="BV59" s="1551"/>
      <c r="BW59" s="1551"/>
      <c r="BX59" s="1551"/>
      <c r="BY59" s="1551"/>
    </row>
    <row r="60" spans="1:77" s="1537" customFormat="1" ht="18" customHeight="1">
      <c r="A60" s="1538"/>
      <c r="B60" s="1552"/>
      <c r="C60" s="2319" t="s">
        <v>661</v>
      </c>
      <c r="D60" s="2319"/>
      <c r="E60" s="2319"/>
      <c r="F60" s="2319"/>
      <c r="G60" s="2319"/>
      <c r="H60" s="2319"/>
      <c r="I60" s="2319"/>
      <c r="J60" s="2319"/>
      <c r="K60" s="2319"/>
      <c r="L60" s="2319"/>
      <c r="M60" s="2319"/>
      <c r="N60" s="2319"/>
      <c r="O60" s="2319"/>
      <c r="P60" s="2319"/>
      <c r="Q60" s="2319"/>
      <c r="R60" s="2319"/>
      <c r="S60" s="2319"/>
      <c r="T60" s="1553"/>
      <c r="U60" s="2311"/>
      <c r="V60" s="2311"/>
      <c r="W60" s="2311"/>
      <c r="X60" s="2311"/>
      <c r="Y60" s="2311"/>
      <c r="Z60" s="1554"/>
      <c r="AA60" s="1542"/>
      <c r="AB60" s="1417" t="s">
        <v>10</v>
      </c>
      <c r="AC60" s="1563">
        <f>IF((SUM(AC55:AC58)-AC59)&gt;0,(SUM(AC55:AC58)-AC59),0)</f>
        <v>0</v>
      </c>
      <c r="AD60" s="1419" t="s">
        <v>10</v>
      </c>
      <c r="AE60" s="1563">
        <f>IF((SUM(AE55:AE58)-AE59)&gt;0,(SUM(AE55:AE58)-AE59),0)</f>
        <v>0</v>
      </c>
      <c r="AF60" s="2341"/>
      <c r="AG60" s="1545"/>
      <c r="AH60" s="1545"/>
      <c r="AI60" s="1545"/>
      <c r="AJ60" s="1564">
        <f>IF(U61&gt;0,U61,0)</f>
        <v>0</v>
      </c>
      <c r="AK60" s="1564"/>
      <c r="AL60" s="1564"/>
      <c r="AM60" s="1564"/>
      <c r="AN60" s="1564"/>
      <c r="AO60" s="1564"/>
      <c r="AP60" s="1564"/>
      <c r="AQ60" s="1564"/>
      <c r="AR60" s="1564"/>
      <c r="AS60" s="1564"/>
      <c r="AT60" s="1564"/>
      <c r="AU60" s="1564"/>
      <c r="AV60" s="1564"/>
      <c r="AW60" s="1564"/>
      <c r="AX60" s="1565"/>
      <c r="AY60" s="1565"/>
      <c r="AZ60" s="1562"/>
      <c r="BA60" s="1538"/>
      <c r="BB60" s="1538"/>
      <c r="BC60" s="1538"/>
      <c r="BD60" s="1538"/>
      <c r="BE60" s="1538"/>
      <c r="BF60" s="1538"/>
      <c r="BG60" s="1538"/>
      <c r="BH60" s="1538"/>
      <c r="BI60" s="1538"/>
      <c r="BJ60" s="1538"/>
      <c r="BK60" s="1538"/>
      <c r="BL60" s="1538"/>
      <c r="BM60" s="1538"/>
      <c r="BN60" s="1538"/>
      <c r="BO60" s="1538"/>
      <c r="BP60" s="1538"/>
      <c r="BQ60" s="1538"/>
      <c r="BR60" s="1551"/>
      <c r="BS60" s="1551"/>
      <c r="BT60" s="1551"/>
      <c r="BU60" s="1551"/>
      <c r="BV60" s="1551"/>
      <c r="BW60" s="1551"/>
      <c r="BX60" s="1551"/>
      <c r="BY60" s="1551"/>
    </row>
    <row r="61" spans="1:77" s="1537" customFormat="1" ht="33.75" customHeight="1">
      <c r="A61" s="1538"/>
      <c r="B61" s="1552">
        <v>8</v>
      </c>
      <c r="C61" s="2319" t="s">
        <v>700</v>
      </c>
      <c r="D61" s="2319"/>
      <c r="E61" s="2319"/>
      <c r="F61" s="2319"/>
      <c r="G61" s="2319"/>
      <c r="H61" s="2319"/>
      <c r="I61" s="2319"/>
      <c r="J61" s="2319"/>
      <c r="K61" s="2319"/>
      <c r="L61" s="2319"/>
      <c r="M61" s="2319"/>
      <c r="N61" s="2319"/>
      <c r="O61" s="2319"/>
      <c r="P61" s="2319"/>
      <c r="Q61" s="2319"/>
      <c r="R61" s="2319"/>
      <c r="S61" s="2319"/>
      <c r="T61" s="1553" t="s">
        <v>264</v>
      </c>
      <c r="U61" s="2311">
        <f>IF((U57-U59)&gt;0,(U57-U59),0)</f>
        <v>0</v>
      </c>
      <c r="V61" s="2311"/>
      <c r="W61" s="2311"/>
      <c r="X61" s="2311"/>
      <c r="Y61" s="2311"/>
      <c r="Z61" s="1554"/>
      <c r="AA61" s="1542"/>
      <c r="AB61" s="1566" t="s">
        <v>686</v>
      </c>
      <c r="AC61" s="1567">
        <f>ROUND(AC60*1%,0.1)</f>
        <v>0</v>
      </c>
      <c r="AD61" s="1568" t="s">
        <v>686</v>
      </c>
      <c r="AE61" s="1567">
        <f>ROUND(AE60*1%,0.1)</f>
        <v>0</v>
      </c>
      <c r="AF61" s="2341"/>
      <c r="AG61" s="1569"/>
      <c r="AH61" s="1569"/>
      <c r="AI61" s="1569"/>
      <c r="AJ61" s="1570"/>
      <c r="AK61" s="1571"/>
      <c r="AL61" s="1571"/>
      <c r="AM61" s="1571"/>
      <c r="AN61" s="1571"/>
      <c r="AO61" s="1571"/>
      <c r="AP61" s="1571"/>
      <c r="AQ61" s="1571"/>
      <c r="AR61" s="1571"/>
      <c r="AS61" s="1571"/>
      <c r="AT61" s="1571"/>
      <c r="AU61" s="1571"/>
      <c r="AV61" s="1571"/>
      <c r="AW61" s="1571"/>
      <c r="AX61" s="1572"/>
      <c r="AY61" s="1572"/>
      <c r="AZ61" s="1572"/>
      <c r="BA61" s="1538"/>
      <c r="BB61" s="1538"/>
      <c r="BC61" s="1538"/>
      <c r="BD61" s="1538"/>
      <c r="BE61" s="1538"/>
      <c r="BF61" s="1538"/>
      <c r="BG61" s="1538"/>
      <c r="BH61" s="1538"/>
      <c r="BI61" s="1538"/>
      <c r="BJ61" s="1538"/>
      <c r="BK61" s="1538"/>
      <c r="BL61" s="1538"/>
      <c r="BM61" s="1538"/>
      <c r="BN61" s="1538"/>
      <c r="BO61" s="1538"/>
      <c r="BP61" s="1538"/>
      <c r="BQ61" s="1538"/>
      <c r="BR61" s="1551"/>
      <c r="BS61" s="1551"/>
      <c r="BT61" s="1551"/>
      <c r="BU61" s="1551"/>
      <c r="BV61" s="1551"/>
      <c r="BW61" s="1551"/>
      <c r="BX61" s="1551"/>
      <c r="BY61" s="1551"/>
    </row>
    <row r="62" spans="1:77" ht="21.75" customHeight="1">
      <c r="A62" s="1083"/>
      <c r="B62" s="1573"/>
      <c r="C62" s="1574"/>
      <c r="D62" s="1574"/>
      <c r="E62" s="1574"/>
      <c r="F62" s="1574"/>
      <c r="G62" s="1574"/>
      <c r="H62" s="1574"/>
      <c r="I62" s="1574"/>
      <c r="J62" s="1574"/>
      <c r="K62" s="1574"/>
      <c r="L62" s="1574"/>
      <c r="M62" s="1574"/>
      <c r="N62" s="1574"/>
      <c r="O62" s="1574"/>
      <c r="P62" s="1574"/>
      <c r="Q62" s="1574"/>
      <c r="R62" s="1574"/>
      <c r="S62" s="1574"/>
      <c r="T62" s="1574"/>
      <c r="U62" s="1574"/>
      <c r="V62" s="1574"/>
      <c r="W62" s="1574"/>
      <c r="X62" s="1574"/>
      <c r="Y62" s="1574"/>
      <c r="Z62" s="1575"/>
      <c r="AA62" s="1523"/>
      <c r="AB62" s="1472" t="s">
        <v>687</v>
      </c>
      <c r="AC62" s="1576">
        <f>ROUND(AC60*2%,0.1)</f>
        <v>0</v>
      </c>
      <c r="AD62" s="1577" t="s">
        <v>687</v>
      </c>
      <c r="AE62" s="1576">
        <f>ROUND(AE60*2%,0.1)</f>
        <v>0</v>
      </c>
      <c r="AF62" s="2342"/>
      <c r="AG62" s="1524"/>
      <c r="AH62" s="1525"/>
      <c r="AI62" s="1525"/>
      <c r="AJ62" s="1578"/>
      <c r="AK62" s="1579"/>
      <c r="AL62" s="1579"/>
      <c r="AM62" s="1579"/>
      <c r="AN62" s="1579"/>
      <c r="AO62" s="1579"/>
      <c r="AP62" s="1579"/>
      <c r="AQ62" s="1579"/>
      <c r="AR62" s="1579"/>
      <c r="AS62" s="1579"/>
      <c r="AT62" s="1579"/>
      <c r="AU62" s="1579"/>
      <c r="AV62" s="1579"/>
      <c r="AW62" s="1579"/>
      <c r="AX62" s="1579"/>
      <c r="AY62" s="1579"/>
      <c r="AZ62" s="1579"/>
      <c r="BA62" s="1083"/>
      <c r="BB62" s="1083"/>
      <c r="BC62" s="1083"/>
      <c r="BD62" s="1083"/>
      <c r="BE62" s="1083"/>
      <c r="BF62" s="1083"/>
      <c r="BG62" s="1083"/>
      <c r="BH62" s="1083"/>
      <c r="BI62" s="1083"/>
      <c r="BJ62" s="1083"/>
      <c r="BK62" s="1083"/>
      <c r="BL62" s="1083"/>
      <c r="BM62" s="1083"/>
      <c r="BN62" s="1083"/>
      <c r="BO62" s="1083"/>
      <c r="BP62" s="1083"/>
      <c r="BQ62" s="1083"/>
      <c r="BR62" s="100"/>
      <c r="BS62" s="100"/>
      <c r="BT62" s="100"/>
      <c r="BU62" s="100"/>
      <c r="BV62" s="100"/>
      <c r="BW62" s="100"/>
      <c r="BX62" s="100"/>
      <c r="BY62" s="100"/>
    </row>
    <row r="63" spans="1:77" ht="13.5" customHeight="1">
      <c r="A63" s="1083"/>
      <c r="B63" s="1580"/>
      <c r="C63" s="1581"/>
      <c r="D63" s="1581"/>
      <c r="E63" s="1581"/>
      <c r="F63" s="1581"/>
      <c r="G63" s="1581"/>
      <c r="H63" s="1581"/>
      <c r="I63" s="1581"/>
      <c r="J63" s="1581"/>
      <c r="K63" s="1581"/>
      <c r="L63" s="1581"/>
      <c r="M63" s="1581"/>
      <c r="N63" s="1581"/>
      <c r="O63" s="1581"/>
      <c r="P63" s="1581"/>
      <c r="Q63" s="1581"/>
      <c r="R63" s="1581"/>
      <c r="S63" s="1581"/>
      <c r="T63" s="1581"/>
      <c r="U63" s="1581"/>
      <c r="V63" s="1581"/>
      <c r="W63" s="1581"/>
      <c r="X63" s="1581"/>
      <c r="Y63" s="1581"/>
      <c r="Z63" s="1582"/>
      <c r="AA63" s="1523"/>
      <c r="AB63" s="2348" t="s">
        <v>688</v>
      </c>
      <c r="AC63" s="2346">
        <f>SUM(AC60:AC62)</f>
        <v>0</v>
      </c>
      <c r="AD63" s="2348" t="s">
        <v>688</v>
      </c>
      <c r="AE63" s="2346">
        <f>SUM(AE60:AE62)</f>
        <v>0</v>
      </c>
      <c r="AF63" s="2363">
        <f>AC63-AE63</f>
        <v>0</v>
      </c>
      <c r="AG63" s="1524"/>
      <c r="AH63" s="1525"/>
      <c r="AI63" s="1525"/>
      <c r="AJ63" s="1583"/>
      <c r="AK63" s="1395"/>
      <c r="AL63" s="1395"/>
      <c r="AM63" s="1395"/>
      <c r="AN63" s="1395"/>
      <c r="AO63" s="1395"/>
      <c r="AP63" s="1395"/>
      <c r="AQ63" s="1395"/>
      <c r="AR63" s="1395"/>
      <c r="AS63" s="1395"/>
      <c r="AT63" s="1395"/>
      <c r="AU63" s="1395"/>
      <c r="AV63" s="1395"/>
      <c r="AW63" s="1395"/>
      <c r="AX63" s="1395"/>
      <c r="AY63" s="1395"/>
      <c r="AZ63" s="1395"/>
      <c r="BA63" s="1083"/>
      <c r="BB63" s="1083"/>
      <c r="BC63" s="1083"/>
      <c r="BD63" s="1083"/>
      <c r="BE63" s="1083"/>
      <c r="BF63" s="1083"/>
      <c r="BG63" s="1083"/>
      <c r="BH63" s="1083"/>
      <c r="BI63" s="1083"/>
      <c r="BJ63" s="1083"/>
      <c r="BK63" s="1083"/>
      <c r="BL63" s="1083"/>
      <c r="BM63" s="1083"/>
      <c r="BN63" s="1083"/>
      <c r="BO63" s="1083"/>
      <c r="BP63" s="1083"/>
      <c r="BQ63" s="1083"/>
      <c r="BR63" s="100"/>
      <c r="BS63" s="100"/>
      <c r="BT63" s="100"/>
      <c r="BU63" s="100"/>
      <c r="BV63" s="100"/>
      <c r="BW63" s="100"/>
      <c r="BX63" s="100"/>
      <c r="BY63" s="100"/>
    </row>
    <row r="64" spans="1:77">
      <c r="A64" s="1083"/>
      <c r="B64" s="1580"/>
      <c r="C64" s="1581"/>
      <c r="D64" s="1581"/>
      <c r="E64" s="1581"/>
      <c r="F64" s="1581"/>
      <c r="G64" s="1581"/>
      <c r="H64" s="1581"/>
      <c r="I64" s="1581"/>
      <c r="J64" s="1581"/>
      <c r="K64" s="1581"/>
      <c r="L64" s="1581"/>
      <c r="M64" s="1581"/>
      <c r="N64" s="1581"/>
      <c r="O64" s="1581"/>
      <c r="P64" s="1581"/>
      <c r="Q64" s="1581"/>
      <c r="R64" s="1581"/>
      <c r="S64" s="1581"/>
      <c r="T64" s="1581"/>
      <c r="U64" s="1581"/>
      <c r="V64" s="1581"/>
      <c r="W64" s="1581"/>
      <c r="X64" s="1581"/>
      <c r="Y64" s="1581"/>
      <c r="Z64" s="1582"/>
      <c r="AA64" s="1523"/>
      <c r="AB64" s="2349"/>
      <c r="AC64" s="2347"/>
      <c r="AD64" s="2349"/>
      <c r="AE64" s="2347"/>
      <c r="AF64" s="2364"/>
      <c r="AG64" s="1524"/>
      <c r="AH64" s="1525"/>
      <c r="AI64" s="1525"/>
      <c r="AJ64" s="1083"/>
      <c r="AK64" s="1083"/>
      <c r="AL64" s="1390"/>
      <c r="AM64" s="1083"/>
      <c r="AN64" s="1083"/>
      <c r="AO64" s="1083"/>
      <c r="AP64" s="1083"/>
      <c r="AQ64" s="1083"/>
      <c r="AR64" s="1083"/>
      <c r="AS64" s="1083"/>
      <c r="AT64" s="1083"/>
      <c r="AU64" s="1083"/>
      <c r="AV64" s="1083"/>
      <c r="AW64" s="1083"/>
      <c r="AX64" s="1083"/>
      <c r="AY64" s="1083"/>
      <c r="AZ64" s="1083"/>
      <c r="BA64" s="1083"/>
      <c r="BB64" s="1083"/>
      <c r="BC64" s="1083"/>
      <c r="BD64" s="1083"/>
      <c r="BE64" s="1083"/>
      <c r="BF64" s="1083"/>
      <c r="BG64" s="1083"/>
      <c r="BH64" s="1083"/>
      <c r="BI64" s="1083"/>
      <c r="BJ64" s="1083"/>
      <c r="BK64" s="1083"/>
      <c r="BL64" s="1083"/>
      <c r="BM64" s="1083"/>
      <c r="BN64" s="1083"/>
      <c r="BO64" s="1083"/>
      <c r="BP64" s="1083"/>
      <c r="BQ64" s="1083"/>
      <c r="BR64" s="100"/>
      <c r="BS64" s="100"/>
      <c r="BT64" s="100"/>
      <c r="BU64" s="100"/>
      <c r="BV64" s="100"/>
      <c r="BW64" s="100"/>
      <c r="BX64" s="100"/>
      <c r="BY64" s="100"/>
    </row>
    <row r="65" spans="1:77" ht="18">
      <c r="A65" s="1083"/>
      <c r="B65" s="2329" t="s">
        <v>662</v>
      </c>
      <c r="C65" s="2330"/>
      <c r="D65" s="2330"/>
      <c r="E65" s="2330"/>
      <c r="F65" s="2330"/>
      <c r="G65" s="2330"/>
      <c r="H65" s="2330"/>
      <c r="I65" s="2330"/>
      <c r="J65" s="2330"/>
      <c r="K65" s="2330"/>
      <c r="L65" s="2330"/>
      <c r="M65" s="2330"/>
      <c r="N65" s="2330"/>
      <c r="O65" s="2330"/>
      <c r="P65" s="2330"/>
      <c r="Q65" s="2330"/>
      <c r="R65" s="2330"/>
      <c r="S65" s="2330"/>
      <c r="T65" s="2330"/>
      <c r="U65" s="2330"/>
      <c r="V65" s="2330"/>
      <c r="W65" s="2330"/>
      <c r="X65" s="2330"/>
      <c r="Y65" s="2330"/>
      <c r="Z65" s="2331"/>
      <c r="AA65" s="1584"/>
      <c r="AB65" s="1584"/>
      <c r="AC65" s="1584"/>
      <c r="AD65" s="1584"/>
      <c r="AE65" s="1584"/>
      <c r="AF65" s="1584"/>
      <c r="AG65" s="1585"/>
      <c r="AH65" s="1585"/>
      <c r="AI65" s="1585"/>
      <c r="AJ65" s="1083"/>
      <c r="AK65" s="1083"/>
      <c r="AL65" s="1390"/>
      <c r="AM65" s="1083"/>
      <c r="AN65" s="1083"/>
      <c r="AO65" s="1083"/>
      <c r="AP65" s="1083"/>
      <c r="AQ65" s="1083"/>
      <c r="AR65" s="1083"/>
      <c r="AS65" s="1083"/>
      <c r="AT65" s="1083"/>
      <c r="AU65" s="1083"/>
      <c r="AV65" s="1083"/>
      <c r="AW65" s="1083"/>
      <c r="AX65" s="1083"/>
      <c r="AY65" s="1083"/>
      <c r="AZ65" s="1083"/>
      <c r="BA65" s="1083"/>
      <c r="BB65" s="1083"/>
      <c r="BC65" s="1083"/>
      <c r="BD65" s="1083"/>
      <c r="BE65" s="1083"/>
      <c r="BF65" s="1083"/>
      <c r="BG65" s="1083"/>
      <c r="BH65" s="1083"/>
      <c r="BI65" s="1083"/>
      <c r="BJ65" s="1083"/>
      <c r="BK65" s="1083"/>
      <c r="BL65" s="1083"/>
      <c r="BM65" s="1083"/>
      <c r="BN65" s="1083"/>
      <c r="BO65" s="1083"/>
      <c r="BP65" s="1083"/>
      <c r="BQ65" s="1083"/>
      <c r="BR65" s="100"/>
      <c r="BS65" s="100"/>
      <c r="BT65" s="100"/>
      <c r="BU65" s="100"/>
      <c r="BV65" s="100"/>
      <c r="BW65" s="100"/>
      <c r="BX65" s="100"/>
      <c r="BY65" s="100"/>
    </row>
    <row r="66" spans="1:77">
      <c r="A66" s="1083"/>
      <c r="B66" s="2419" t="s">
        <v>663</v>
      </c>
      <c r="C66" s="2420"/>
      <c r="D66" s="2420"/>
      <c r="E66" s="2420"/>
      <c r="F66" s="2420"/>
      <c r="G66" s="2420"/>
      <c r="H66" s="2420"/>
      <c r="I66" s="2420"/>
      <c r="J66" s="2420"/>
      <c r="K66" s="2420"/>
      <c r="L66" s="2420"/>
      <c r="M66" s="2420"/>
      <c r="N66" s="2420"/>
      <c r="O66" s="2420"/>
      <c r="P66" s="2420"/>
      <c r="Q66" s="2420"/>
      <c r="R66" s="2420"/>
      <c r="S66" s="2420"/>
      <c r="T66" s="2420"/>
      <c r="U66" s="2420"/>
      <c r="V66" s="2420"/>
      <c r="W66" s="2420"/>
      <c r="X66" s="2420"/>
      <c r="Y66" s="2420"/>
      <c r="Z66" s="2421"/>
      <c r="AA66" s="1535"/>
      <c r="AB66" s="1535"/>
      <c r="AC66" s="1535"/>
      <c r="AD66" s="1535"/>
      <c r="AE66" s="1535"/>
      <c r="AF66" s="1535"/>
      <c r="AG66" s="1536"/>
      <c r="AH66" s="1536"/>
      <c r="AI66" s="1536"/>
      <c r="AJ66" s="1083"/>
      <c r="AK66" s="1083"/>
      <c r="AL66" s="1390"/>
      <c r="AM66" s="1083"/>
      <c r="AN66" s="1083"/>
      <c r="AO66" s="1083"/>
      <c r="AP66" s="1083"/>
      <c r="AQ66" s="1083"/>
      <c r="AR66" s="1083"/>
      <c r="AS66" s="1083"/>
      <c r="AT66" s="1083"/>
      <c r="AU66" s="1083"/>
      <c r="AV66" s="1083"/>
      <c r="AW66" s="1083"/>
      <c r="AX66" s="1083"/>
      <c r="AY66" s="1083"/>
      <c r="AZ66" s="1083"/>
      <c r="BA66" s="1083"/>
      <c r="BB66" s="1083"/>
      <c r="BC66" s="1083"/>
      <c r="BD66" s="1083"/>
      <c r="BE66" s="1083"/>
      <c r="BF66" s="1083"/>
      <c r="BG66" s="1083"/>
      <c r="BH66" s="1083"/>
      <c r="BI66" s="1083"/>
      <c r="BJ66" s="1083"/>
      <c r="BK66" s="1083"/>
      <c r="BL66" s="1083"/>
      <c r="BM66" s="1083"/>
      <c r="BN66" s="1083"/>
      <c r="BO66" s="1083"/>
      <c r="BP66" s="1083"/>
      <c r="BQ66" s="1083"/>
      <c r="BR66" s="100"/>
      <c r="BS66" s="100"/>
      <c r="BT66" s="100"/>
      <c r="BU66" s="100"/>
      <c r="BV66" s="100"/>
      <c r="BW66" s="100"/>
      <c r="BX66" s="100"/>
      <c r="BY66" s="100"/>
    </row>
    <row r="67" spans="1:77" ht="20.25">
      <c r="A67" s="1083"/>
      <c r="B67" s="2384" t="s">
        <v>664</v>
      </c>
      <c r="C67" s="2318"/>
      <c r="D67" s="2321"/>
      <c r="E67" s="2318" t="s">
        <v>665</v>
      </c>
      <c r="F67" s="2318"/>
      <c r="G67" s="2318"/>
      <c r="H67" s="2318"/>
      <c r="I67" s="2320" t="s">
        <v>666</v>
      </c>
      <c r="J67" s="2318"/>
      <c r="K67" s="2318"/>
      <c r="L67" s="2321"/>
      <c r="M67" s="2318" t="s">
        <v>667</v>
      </c>
      <c r="N67" s="2318"/>
      <c r="O67" s="2318"/>
      <c r="P67" s="2318"/>
      <c r="Q67" s="2320" t="s">
        <v>668</v>
      </c>
      <c r="R67" s="2318"/>
      <c r="S67" s="2321"/>
      <c r="T67" s="2318" t="s">
        <v>669</v>
      </c>
      <c r="U67" s="2318"/>
      <c r="V67" s="2318"/>
      <c r="W67" s="2320" t="s">
        <v>670</v>
      </c>
      <c r="X67" s="2318"/>
      <c r="Y67" s="2318"/>
      <c r="Z67" s="2365"/>
      <c r="AA67" s="1586"/>
      <c r="AB67" s="2350" t="s">
        <v>691</v>
      </c>
      <c r="AC67" s="2351"/>
      <c r="AD67" s="2351"/>
      <c r="AE67" s="2352"/>
      <c r="AF67" s="1587">
        <f>IF((AF16-AF31-AF46-AF63-AF88-AF107-AF127)&gt;0,(AF16-AF31-AF46-AF63-AF88-AF107-AF127),0)</f>
        <v>0</v>
      </c>
      <c r="AG67" s="1588"/>
      <c r="AH67" s="1588"/>
      <c r="AI67" s="1588"/>
      <c r="AJ67" s="1083"/>
      <c r="AK67" s="1083"/>
      <c r="AL67" s="1390"/>
      <c r="AM67" s="1083"/>
      <c r="AN67" s="1083"/>
      <c r="AO67" s="1083"/>
      <c r="AP67" s="1083"/>
      <c r="AQ67" s="1083"/>
      <c r="AR67" s="1083"/>
      <c r="AS67" s="1083"/>
      <c r="AT67" s="1083"/>
      <c r="AU67" s="1083"/>
      <c r="AV67" s="1083"/>
      <c r="AW67" s="1083"/>
      <c r="AX67" s="1083"/>
      <c r="AY67" s="1083"/>
      <c r="AZ67" s="1083"/>
      <c r="BA67" s="1083"/>
      <c r="BB67" s="1083"/>
      <c r="BC67" s="1083"/>
      <c r="BD67" s="1083"/>
      <c r="BE67" s="1083"/>
      <c r="BF67" s="1083"/>
      <c r="BG67" s="1083"/>
      <c r="BH67" s="1083"/>
      <c r="BI67" s="1083"/>
      <c r="BJ67" s="1083"/>
      <c r="BK67" s="1083"/>
      <c r="BL67" s="1083"/>
      <c r="BM67" s="1083"/>
      <c r="BN67" s="1083"/>
      <c r="BO67" s="1083"/>
      <c r="BP67" s="1083"/>
      <c r="BQ67" s="1083"/>
      <c r="BR67" s="100"/>
      <c r="BS67" s="100"/>
      <c r="BT67" s="100"/>
      <c r="BU67" s="100"/>
      <c r="BV67" s="100"/>
      <c r="BW67" s="100"/>
      <c r="BX67" s="100"/>
      <c r="BY67" s="100"/>
    </row>
    <row r="68" spans="1:77" ht="18">
      <c r="A68" s="1083"/>
      <c r="B68" s="2384"/>
      <c r="C68" s="2318"/>
      <c r="D68" s="2321"/>
      <c r="E68" s="2318"/>
      <c r="F68" s="2318"/>
      <c r="G68" s="2318"/>
      <c r="H68" s="2318"/>
      <c r="I68" s="2320"/>
      <c r="J68" s="2318"/>
      <c r="K68" s="2318"/>
      <c r="L68" s="2321"/>
      <c r="M68" s="2318"/>
      <c r="N68" s="2318"/>
      <c r="O68" s="2318"/>
      <c r="P68" s="2318"/>
      <c r="Q68" s="2320"/>
      <c r="R68" s="2318"/>
      <c r="S68" s="2321"/>
      <c r="T68" s="2318"/>
      <c r="U68" s="2318"/>
      <c r="V68" s="2318"/>
      <c r="W68" s="2320"/>
      <c r="X68" s="2318"/>
      <c r="Y68" s="2318"/>
      <c r="Z68" s="2365"/>
      <c r="AA68" s="1586"/>
      <c r="AB68" s="2358" t="str">
        <f>IF(AF67&lt;=0,"You are not eligible to get relief Under section 89(1)","You are eligible to claim relief above mentioned amount Under Section 89(1)")</f>
        <v>You are not eligible to get relief Under section 89(1)</v>
      </c>
      <c r="AC68" s="2359"/>
      <c r="AD68" s="2359"/>
      <c r="AE68" s="2359"/>
      <c r="AF68" s="2360"/>
      <c r="AG68" s="1588"/>
      <c r="AH68" s="1588"/>
      <c r="AI68" s="1588"/>
      <c r="AJ68" s="1083"/>
      <c r="AK68" s="1083"/>
      <c r="AL68" s="1390"/>
      <c r="AM68" s="1083"/>
      <c r="AN68" s="1083"/>
      <c r="AO68" s="1083"/>
      <c r="AP68" s="1083"/>
      <c r="AQ68" s="1083"/>
      <c r="AR68" s="1083"/>
      <c r="AS68" s="1083"/>
      <c r="AT68" s="1083"/>
      <c r="AU68" s="1083"/>
      <c r="AV68" s="1083"/>
      <c r="AW68" s="1083"/>
      <c r="AX68" s="1083"/>
      <c r="AY68" s="1083"/>
      <c r="AZ68" s="1083"/>
      <c r="BA68" s="1083"/>
      <c r="BB68" s="1083"/>
      <c r="BC68" s="1083"/>
      <c r="BD68" s="1083"/>
      <c r="BE68" s="1083"/>
      <c r="BF68" s="1083"/>
      <c r="BG68" s="1083"/>
      <c r="BH68" s="1083"/>
      <c r="BI68" s="1083"/>
      <c r="BJ68" s="1083"/>
      <c r="BK68" s="1083"/>
      <c r="BL68" s="1083"/>
      <c r="BM68" s="1083"/>
      <c r="BN68" s="1083"/>
      <c r="BO68" s="1083"/>
      <c r="BP68" s="1083"/>
      <c r="BQ68" s="1083"/>
      <c r="BR68" s="100"/>
      <c r="BS68" s="100"/>
      <c r="BT68" s="100"/>
      <c r="BU68" s="100"/>
      <c r="BV68" s="100"/>
      <c r="BW68" s="100"/>
      <c r="BX68" s="100"/>
      <c r="BY68" s="100"/>
    </row>
    <row r="69" spans="1:77">
      <c r="A69" s="1083"/>
      <c r="B69" s="2384"/>
      <c r="C69" s="2318"/>
      <c r="D69" s="2321"/>
      <c r="E69" s="2318"/>
      <c r="F69" s="2318"/>
      <c r="G69" s="2318"/>
      <c r="H69" s="2318"/>
      <c r="I69" s="2320"/>
      <c r="J69" s="2318"/>
      <c r="K69" s="2318"/>
      <c r="L69" s="2321"/>
      <c r="M69" s="2318"/>
      <c r="N69" s="2318"/>
      <c r="O69" s="2318"/>
      <c r="P69" s="2318"/>
      <c r="Q69" s="2320"/>
      <c r="R69" s="2318"/>
      <c r="S69" s="2321"/>
      <c r="T69" s="2318"/>
      <c r="U69" s="2318"/>
      <c r="V69" s="2318"/>
      <c r="W69" s="2320"/>
      <c r="X69" s="2318"/>
      <c r="Y69" s="2318"/>
      <c r="Z69" s="2365"/>
      <c r="AA69" s="1586"/>
      <c r="AB69" s="1586"/>
      <c r="AC69" s="1589"/>
      <c r="AD69" s="1586"/>
      <c r="AE69" s="1589"/>
      <c r="AF69" s="1586"/>
      <c r="AG69" s="1588"/>
      <c r="AH69" s="1588"/>
      <c r="AI69" s="1588"/>
      <c r="AJ69" s="1083"/>
      <c r="AK69" s="1083"/>
      <c r="AL69" s="1390"/>
      <c r="AM69" s="1083"/>
      <c r="AN69" s="1083"/>
      <c r="AO69" s="1083"/>
      <c r="AP69" s="1083"/>
      <c r="AQ69" s="1083"/>
      <c r="AR69" s="1083"/>
      <c r="AS69" s="1083"/>
      <c r="AT69" s="1083"/>
      <c r="AU69" s="1083"/>
      <c r="AV69" s="1083"/>
      <c r="AW69" s="1083"/>
      <c r="AX69" s="1083"/>
      <c r="AY69" s="1083"/>
      <c r="AZ69" s="1083"/>
      <c r="BA69" s="1083"/>
      <c r="BB69" s="1083"/>
      <c r="BC69" s="1083"/>
      <c r="BD69" s="1083"/>
      <c r="BE69" s="1083"/>
      <c r="BF69" s="1083"/>
      <c r="BG69" s="1083"/>
      <c r="BH69" s="1083"/>
      <c r="BI69" s="1083"/>
      <c r="BJ69" s="1083"/>
      <c r="BK69" s="1083"/>
      <c r="BL69" s="1083"/>
      <c r="BM69" s="1083"/>
      <c r="BN69" s="1083"/>
      <c r="BO69" s="1083"/>
      <c r="BP69" s="1083"/>
      <c r="BQ69" s="1083"/>
      <c r="BR69" s="100"/>
      <c r="BS69" s="100"/>
      <c r="BT69" s="100"/>
      <c r="BU69" s="100"/>
      <c r="BV69" s="100"/>
      <c r="BW69" s="100"/>
      <c r="BX69" s="100"/>
      <c r="BY69" s="100"/>
    </row>
    <row r="70" spans="1:77">
      <c r="A70" s="1083"/>
      <c r="B70" s="2384"/>
      <c r="C70" s="2318"/>
      <c r="D70" s="2321"/>
      <c r="E70" s="2318"/>
      <c r="F70" s="2318"/>
      <c r="G70" s="2318"/>
      <c r="H70" s="2318"/>
      <c r="I70" s="2320"/>
      <c r="J70" s="2318"/>
      <c r="K70" s="2318"/>
      <c r="L70" s="2321"/>
      <c r="M70" s="2318"/>
      <c r="N70" s="2318"/>
      <c r="O70" s="2318"/>
      <c r="P70" s="2318"/>
      <c r="Q70" s="2320"/>
      <c r="R70" s="2318"/>
      <c r="S70" s="2321"/>
      <c r="T70" s="2318"/>
      <c r="U70" s="2318"/>
      <c r="V70" s="2318"/>
      <c r="W70" s="2320"/>
      <c r="X70" s="2318"/>
      <c r="Y70" s="2318"/>
      <c r="Z70" s="2365"/>
      <c r="AA70" s="1586"/>
      <c r="AB70" s="1586"/>
      <c r="AC70" s="1589"/>
      <c r="AD70" s="1586"/>
      <c r="AE70" s="1589"/>
      <c r="AF70" s="1586"/>
      <c r="AG70" s="1588"/>
      <c r="AH70" s="1588"/>
      <c r="AI70" s="1588"/>
      <c r="AJ70" s="1083"/>
      <c r="AK70" s="1083"/>
      <c r="AL70" s="1390"/>
      <c r="AM70" s="1083"/>
      <c r="AN70" s="1083"/>
      <c r="AO70" s="1083"/>
      <c r="AP70" s="1083"/>
      <c r="AQ70" s="1083"/>
      <c r="AR70" s="1083"/>
      <c r="AS70" s="1083"/>
      <c r="AT70" s="1083"/>
      <c r="AU70" s="1083"/>
      <c r="AV70" s="1083"/>
      <c r="AW70" s="1083"/>
      <c r="AX70" s="1083"/>
      <c r="AY70" s="1083"/>
      <c r="AZ70" s="1083"/>
      <c r="BA70" s="1083"/>
      <c r="BB70" s="1083"/>
      <c r="BC70" s="1083"/>
      <c r="BD70" s="1083"/>
      <c r="BE70" s="1083"/>
      <c r="BF70" s="1083"/>
      <c r="BG70" s="1083"/>
      <c r="BH70" s="1083"/>
      <c r="BI70" s="1083"/>
      <c r="BJ70" s="1083"/>
      <c r="BK70" s="1083"/>
      <c r="BL70" s="1083"/>
      <c r="BM70" s="1083"/>
      <c r="BN70" s="1083"/>
      <c r="BO70" s="1083"/>
      <c r="BP70" s="1083"/>
      <c r="BQ70" s="1083"/>
      <c r="BR70" s="100"/>
      <c r="BS70" s="100"/>
      <c r="BT70" s="100"/>
      <c r="BU70" s="100"/>
      <c r="BV70" s="100"/>
      <c r="BW70" s="100"/>
      <c r="BX70" s="100"/>
      <c r="BY70" s="100"/>
    </row>
    <row r="71" spans="1:77" ht="30.75" customHeight="1">
      <c r="A71" s="1083"/>
      <c r="B71" s="2384"/>
      <c r="C71" s="2318"/>
      <c r="D71" s="2321"/>
      <c r="E71" s="2318"/>
      <c r="F71" s="2318"/>
      <c r="G71" s="2318"/>
      <c r="H71" s="2318"/>
      <c r="I71" s="2320"/>
      <c r="J71" s="2318"/>
      <c r="K71" s="2318"/>
      <c r="L71" s="2321"/>
      <c r="M71" s="2318"/>
      <c r="N71" s="2318"/>
      <c r="O71" s="2318"/>
      <c r="P71" s="2318"/>
      <c r="Q71" s="2320"/>
      <c r="R71" s="2318"/>
      <c r="S71" s="2321"/>
      <c r="T71" s="2318"/>
      <c r="U71" s="2318"/>
      <c r="V71" s="2318"/>
      <c r="W71" s="2320"/>
      <c r="X71" s="2318"/>
      <c r="Y71" s="2318"/>
      <c r="Z71" s="2365"/>
      <c r="AA71" s="1586"/>
      <c r="AB71" s="1586"/>
      <c r="AC71" s="1589"/>
      <c r="AD71" s="1586"/>
      <c r="AE71" s="1589"/>
      <c r="AF71" s="1586"/>
      <c r="AG71" s="1588"/>
      <c r="AH71" s="1588"/>
      <c r="AI71" s="1588"/>
      <c r="AJ71" s="1083"/>
      <c r="AK71" s="1083"/>
      <c r="AL71" s="1390"/>
      <c r="AM71" s="1083"/>
      <c r="AN71" s="1083"/>
      <c r="AO71" s="1083"/>
      <c r="AP71" s="1083"/>
      <c r="AQ71" s="1083"/>
      <c r="AR71" s="1083"/>
      <c r="AS71" s="1083"/>
      <c r="AT71" s="1083"/>
      <c r="AU71" s="1083"/>
      <c r="AV71" s="1083"/>
      <c r="AW71" s="1083"/>
      <c r="AX71" s="1083"/>
      <c r="AY71" s="1083"/>
      <c r="AZ71" s="1083"/>
      <c r="BA71" s="1083"/>
      <c r="BB71" s="1083"/>
      <c r="BC71" s="1083"/>
      <c r="BD71" s="1083"/>
      <c r="BE71" s="1083"/>
      <c r="BF71" s="1083"/>
      <c r="BG71" s="1083"/>
      <c r="BH71" s="1083"/>
      <c r="BI71" s="1083"/>
      <c r="BJ71" s="1083"/>
      <c r="BK71" s="1083"/>
      <c r="BL71" s="1083"/>
      <c r="BM71" s="1083"/>
      <c r="BN71" s="1083"/>
      <c r="BO71" s="1083"/>
      <c r="BP71" s="1083"/>
      <c r="BQ71" s="1083"/>
      <c r="BR71" s="100"/>
      <c r="BS71" s="100"/>
      <c r="BT71" s="100"/>
      <c r="BU71" s="100"/>
      <c r="BV71" s="100"/>
      <c r="BW71" s="100"/>
      <c r="BX71" s="100"/>
      <c r="BY71" s="100"/>
    </row>
    <row r="72" spans="1:77" ht="43.5" customHeight="1">
      <c r="A72" s="1083"/>
      <c r="B72" s="2384"/>
      <c r="C72" s="2318"/>
      <c r="D72" s="2321"/>
      <c r="E72" s="2318"/>
      <c r="F72" s="2318"/>
      <c r="G72" s="2318"/>
      <c r="H72" s="2318"/>
      <c r="I72" s="2320"/>
      <c r="J72" s="2318"/>
      <c r="K72" s="2318"/>
      <c r="L72" s="2321"/>
      <c r="M72" s="2318"/>
      <c r="N72" s="2318"/>
      <c r="O72" s="2318"/>
      <c r="P72" s="2318"/>
      <c r="Q72" s="2320"/>
      <c r="R72" s="2318"/>
      <c r="S72" s="2321"/>
      <c r="T72" s="2318"/>
      <c r="U72" s="2318"/>
      <c r="V72" s="2318"/>
      <c r="W72" s="2320"/>
      <c r="X72" s="2318"/>
      <c r="Y72" s="2318"/>
      <c r="Z72" s="2365"/>
      <c r="AA72" s="1586"/>
      <c r="AB72" s="2357"/>
      <c r="AC72" s="2357"/>
      <c r="AD72" s="2357"/>
      <c r="AE72" s="2357"/>
      <c r="AF72" s="1504"/>
      <c r="AG72" s="1588"/>
      <c r="AH72" s="1588"/>
      <c r="AI72" s="1588"/>
      <c r="AJ72" s="1083"/>
      <c r="AK72" s="1083"/>
      <c r="AL72" s="1390"/>
      <c r="AM72" s="1083"/>
      <c r="AN72" s="1083"/>
      <c r="AO72" s="1083"/>
      <c r="AP72" s="1083"/>
      <c r="AQ72" s="1083"/>
      <c r="AR72" s="1083"/>
      <c r="AS72" s="1083"/>
      <c r="AT72" s="1083"/>
      <c r="AU72" s="1083"/>
      <c r="AV72" s="1083"/>
      <c r="AW72" s="1083"/>
      <c r="AX72" s="1083"/>
      <c r="AY72" s="1083"/>
      <c r="AZ72" s="1083"/>
      <c r="BA72" s="1083"/>
      <c r="BB72" s="1083"/>
      <c r="BC72" s="1083"/>
      <c r="BD72" s="1083"/>
      <c r="BE72" s="1083"/>
      <c r="BF72" s="1083"/>
      <c r="BG72" s="1083"/>
      <c r="BH72" s="1083"/>
      <c r="BI72" s="1083"/>
      <c r="BJ72" s="1083"/>
      <c r="BK72" s="1083"/>
      <c r="BL72" s="1083"/>
      <c r="BM72" s="1083"/>
      <c r="BN72" s="1083"/>
      <c r="BO72" s="1083"/>
      <c r="BP72" s="1083"/>
      <c r="BQ72" s="1083"/>
      <c r="BR72" s="100"/>
      <c r="BS72" s="100"/>
      <c r="BT72" s="100"/>
      <c r="BU72" s="100"/>
      <c r="BV72" s="100"/>
      <c r="BW72" s="100"/>
      <c r="BX72" s="100"/>
      <c r="BY72" s="100"/>
    </row>
    <row r="73" spans="1:77" ht="13.5" customHeight="1">
      <c r="A73" s="1083"/>
      <c r="B73" s="2353">
        <v>1</v>
      </c>
      <c r="C73" s="2313"/>
      <c r="D73" s="2313"/>
      <c r="E73" s="2313">
        <v>2</v>
      </c>
      <c r="F73" s="2313"/>
      <c r="G73" s="2313"/>
      <c r="H73" s="2313"/>
      <c r="I73" s="2313">
        <v>3</v>
      </c>
      <c r="J73" s="2313"/>
      <c r="K73" s="2313"/>
      <c r="L73" s="2313"/>
      <c r="M73" s="2313">
        <v>4</v>
      </c>
      <c r="N73" s="2313"/>
      <c r="O73" s="2313"/>
      <c r="P73" s="2313"/>
      <c r="Q73" s="2313">
        <v>5</v>
      </c>
      <c r="R73" s="2313"/>
      <c r="S73" s="2313"/>
      <c r="T73" s="2313">
        <v>6</v>
      </c>
      <c r="U73" s="2313"/>
      <c r="V73" s="2313"/>
      <c r="W73" s="2313">
        <v>7</v>
      </c>
      <c r="X73" s="2313"/>
      <c r="Y73" s="2313"/>
      <c r="Z73" s="2314"/>
      <c r="AA73" s="1590"/>
      <c r="AB73" s="2357"/>
      <c r="AC73" s="2357"/>
      <c r="AD73" s="2357"/>
      <c r="AE73" s="2357"/>
      <c r="AF73" s="1591"/>
      <c r="AG73" s="1592"/>
      <c r="AH73" s="1592"/>
      <c r="AI73" s="1592"/>
      <c r="AJ73" s="1083"/>
      <c r="AK73" s="1083"/>
      <c r="AL73" s="1390"/>
      <c r="AM73" s="1083"/>
      <c r="AN73" s="1083"/>
      <c r="AO73" s="1083"/>
      <c r="AP73" s="1083"/>
      <c r="AQ73" s="1083"/>
      <c r="AR73" s="1083"/>
      <c r="AS73" s="1083"/>
      <c r="AT73" s="1083"/>
      <c r="AU73" s="1083"/>
      <c r="AV73" s="1083"/>
      <c r="AW73" s="1083"/>
      <c r="AX73" s="1083"/>
      <c r="AY73" s="1083"/>
      <c r="AZ73" s="1083"/>
      <c r="BA73" s="1083"/>
      <c r="BB73" s="1083"/>
      <c r="BC73" s="1083"/>
      <c r="BD73" s="1083"/>
      <c r="BE73" s="1083"/>
      <c r="BF73" s="1083"/>
      <c r="BG73" s="1083"/>
      <c r="BH73" s="1083"/>
      <c r="BI73" s="1083"/>
      <c r="BJ73" s="1083"/>
      <c r="BK73" s="1083"/>
      <c r="BL73" s="1083"/>
      <c r="BM73" s="1083"/>
      <c r="BN73" s="1083"/>
      <c r="BO73" s="1083"/>
      <c r="BP73" s="1083"/>
      <c r="BQ73" s="1083"/>
      <c r="BR73" s="100"/>
      <c r="BS73" s="100"/>
      <c r="BT73" s="100"/>
      <c r="BU73" s="100"/>
      <c r="BV73" s="100"/>
      <c r="BW73" s="100"/>
      <c r="BX73" s="100"/>
      <c r="BY73" s="100"/>
    </row>
    <row r="74" spans="1:77" ht="24" customHeight="1">
      <c r="A74" s="1083"/>
      <c r="B74" s="2326" t="s">
        <v>858</v>
      </c>
      <c r="C74" s="2327"/>
      <c r="D74" s="2328"/>
      <c r="E74" s="2354">
        <f>IF(AM17="",0,AM17)</f>
        <v>0</v>
      </c>
      <c r="F74" s="2355"/>
      <c r="G74" s="2355"/>
      <c r="H74" s="2356"/>
      <c r="I74" s="2354">
        <f>IF(E80=0,0,IF(AN17="",0,AN17))</f>
        <v>0</v>
      </c>
      <c r="J74" s="2355"/>
      <c r="K74" s="2355"/>
      <c r="L74" s="2356"/>
      <c r="M74" s="2301">
        <f>E80+I80</f>
        <v>0</v>
      </c>
      <c r="N74" s="2355"/>
      <c r="O74" s="2355"/>
      <c r="P74" s="2356"/>
      <c r="Q74" s="2301">
        <f>IF(AE46&gt;0,AE46,0)</f>
        <v>0</v>
      </c>
      <c r="R74" s="2355"/>
      <c r="S74" s="2356"/>
      <c r="T74" s="2301">
        <f>IF(AC46&gt;0,AC46,0)</f>
        <v>0</v>
      </c>
      <c r="U74" s="2355"/>
      <c r="V74" s="2356"/>
      <c r="W74" s="2301">
        <f>T74-Q74</f>
        <v>0</v>
      </c>
      <c r="X74" s="2355"/>
      <c r="Y74" s="2355"/>
      <c r="Z74" s="2369"/>
      <c r="AA74" s="1590"/>
      <c r="AB74" s="1593"/>
      <c r="AC74" s="1593"/>
      <c r="AD74" s="1593"/>
      <c r="AE74" s="1593"/>
      <c r="AF74" s="1591"/>
      <c r="AG74" s="1592"/>
      <c r="AH74" s="1592"/>
      <c r="AI74" s="1592"/>
      <c r="AJ74" s="1083"/>
      <c r="AK74" s="1083"/>
      <c r="AL74" s="1390"/>
      <c r="AM74" s="1083"/>
      <c r="AN74" s="1083"/>
      <c r="AO74" s="1083"/>
      <c r="AP74" s="1083"/>
      <c r="AQ74" s="1083"/>
      <c r="AR74" s="1083"/>
      <c r="AS74" s="1083"/>
      <c r="AT74" s="1083"/>
      <c r="AU74" s="1083"/>
      <c r="AV74" s="1083"/>
      <c r="AW74" s="1083"/>
      <c r="AX74" s="1083"/>
      <c r="AY74" s="1083"/>
      <c r="AZ74" s="1083"/>
      <c r="BA74" s="1083"/>
      <c r="BB74" s="1083"/>
      <c r="BC74" s="1083"/>
      <c r="BD74" s="1083"/>
      <c r="BE74" s="1083"/>
      <c r="BF74" s="1083"/>
      <c r="BG74" s="1083"/>
      <c r="BH74" s="1083"/>
      <c r="BI74" s="1083"/>
      <c r="BJ74" s="1083"/>
      <c r="BK74" s="1083"/>
      <c r="BL74" s="1083"/>
      <c r="BM74" s="1083"/>
      <c r="BN74" s="1083"/>
      <c r="BO74" s="1083"/>
      <c r="BP74" s="1083"/>
      <c r="BQ74" s="1083"/>
      <c r="BR74" s="100"/>
      <c r="BS74" s="100"/>
      <c r="BT74" s="100"/>
      <c r="BU74" s="100"/>
      <c r="BV74" s="100"/>
      <c r="BW74" s="100"/>
      <c r="BX74" s="100"/>
      <c r="BY74" s="100"/>
    </row>
    <row r="75" spans="1:77" ht="24" customHeight="1">
      <c r="A75" s="1083"/>
      <c r="B75" s="2326" t="s">
        <v>830</v>
      </c>
      <c r="C75" s="2327"/>
      <c r="D75" s="2328"/>
      <c r="E75" s="2301">
        <f>IF(AM12="",0,AM12)</f>
        <v>0</v>
      </c>
      <c r="F75" s="2302"/>
      <c r="G75" s="2302"/>
      <c r="H75" s="2303"/>
      <c r="I75" s="2301">
        <f>IF(E75=0,0,IF(AN12="",0,AN12))</f>
        <v>0</v>
      </c>
      <c r="J75" s="2302"/>
      <c r="K75" s="2302"/>
      <c r="L75" s="2303"/>
      <c r="M75" s="2301">
        <f t="shared" ref="M75:M79" si="0">E75+I75</f>
        <v>0</v>
      </c>
      <c r="N75" s="2302"/>
      <c r="O75" s="2302"/>
      <c r="P75" s="2303"/>
      <c r="Q75" s="2301">
        <f>IF(AE127&gt;0,AE127,0)</f>
        <v>0</v>
      </c>
      <c r="R75" s="2302"/>
      <c r="S75" s="2303"/>
      <c r="T75" s="2301">
        <f>IF(AC127&gt;0,AC127,0)</f>
        <v>0</v>
      </c>
      <c r="U75" s="2302"/>
      <c r="V75" s="2303"/>
      <c r="W75" s="2301">
        <f t="shared" ref="W75:W79" si="1">T75-Q75</f>
        <v>0</v>
      </c>
      <c r="X75" s="2302"/>
      <c r="Y75" s="2302"/>
      <c r="Z75" s="2338"/>
      <c r="AA75" s="1590"/>
      <c r="AB75" s="1594"/>
      <c r="AC75" s="1594"/>
      <c r="AD75" s="1594"/>
      <c r="AE75" s="1594"/>
      <c r="AF75" s="1591"/>
      <c r="AG75" s="1592"/>
      <c r="AH75" s="1592"/>
      <c r="AI75" s="1592"/>
      <c r="AJ75" s="1083"/>
      <c r="AK75" s="1083"/>
      <c r="AL75" s="1390"/>
      <c r="AM75" s="1083"/>
      <c r="AN75" s="1083"/>
      <c r="AO75" s="1083"/>
      <c r="AP75" s="1083"/>
      <c r="AQ75" s="1083"/>
      <c r="AR75" s="1083"/>
      <c r="AS75" s="1083"/>
      <c r="AT75" s="1083"/>
      <c r="AU75" s="1083"/>
      <c r="AV75" s="1083"/>
      <c r="AW75" s="1083"/>
      <c r="AX75" s="1083"/>
      <c r="AY75" s="1083"/>
      <c r="AZ75" s="1083"/>
      <c r="BA75" s="1083"/>
      <c r="BB75" s="1083"/>
      <c r="BC75" s="1083"/>
      <c r="BD75" s="1083"/>
      <c r="BE75" s="1083"/>
      <c r="BF75" s="1083"/>
      <c r="BG75" s="1083"/>
      <c r="BH75" s="1083"/>
      <c r="BI75" s="1083"/>
      <c r="BJ75" s="1083"/>
      <c r="BK75" s="1083"/>
      <c r="BL75" s="1083"/>
      <c r="BM75" s="1083"/>
      <c r="BN75" s="1083"/>
      <c r="BO75" s="1083"/>
      <c r="BP75" s="1083"/>
      <c r="BQ75" s="1083"/>
      <c r="BR75" s="100"/>
      <c r="BS75" s="100"/>
      <c r="BT75" s="100"/>
      <c r="BU75" s="100"/>
      <c r="BV75" s="100"/>
      <c r="BW75" s="100"/>
      <c r="BX75" s="100"/>
      <c r="BY75" s="100"/>
    </row>
    <row r="76" spans="1:77" ht="24" customHeight="1">
      <c r="A76" s="1083"/>
      <c r="B76" s="2368" t="s">
        <v>719</v>
      </c>
      <c r="C76" s="2283"/>
      <c r="D76" s="2284"/>
      <c r="E76" s="2301">
        <f>IF(AM15="",0,AM15)</f>
        <v>0</v>
      </c>
      <c r="F76" s="2302"/>
      <c r="G76" s="2302"/>
      <c r="H76" s="2303"/>
      <c r="I76" s="2301">
        <f>IF(E76=0,0,IF(AN15="",0,AN15))</f>
        <v>0</v>
      </c>
      <c r="J76" s="2302"/>
      <c r="K76" s="2302"/>
      <c r="L76" s="2303"/>
      <c r="M76" s="2301">
        <f t="shared" si="0"/>
        <v>0</v>
      </c>
      <c r="N76" s="2302"/>
      <c r="O76" s="2302"/>
      <c r="P76" s="2303"/>
      <c r="Q76" s="2301">
        <f>IF(AE107&gt;0,AE107,0)</f>
        <v>0</v>
      </c>
      <c r="R76" s="2302"/>
      <c r="S76" s="2303"/>
      <c r="T76" s="2301">
        <f>IF(AC107&gt;0,AC107,0)</f>
        <v>0</v>
      </c>
      <c r="U76" s="2302"/>
      <c r="V76" s="2303"/>
      <c r="W76" s="2301">
        <f t="shared" si="1"/>
        <v>0</v>
      </c>
      <c r="X76" s="2302"/>
      <c r="Y76" s="2302"/>
      <c r="Z76" s="2338"/>
      <c r="AA76" s="1590"/>
      <c r="AB76" s="1595" t="s">
        <v>928</v>
      </c>
      <c r="AC76" s="1596" t="s">
        <v>762</v>
      </c>
      <c r="AD76" s="1596" t="s">
        <v>928</v>
      </c>
      <c r="AE76" s="1596" t="s">
        <v>762</v>
      </c>
      <c r="AF76" s="2341" t="s">
        <v>689</v>
      </c>
      <c r="AG76" s="1592"/>
      <c r="AH76" s="1592"/>
      <c r="AI76" s="1592"/>
      <c r="AJ76" s="1083"/>
      <c r="AK76" s="1083"/>
      <c r="AL76" s="1390"/>
      <c r="AM76" s="1083"/>
      <c r="AN76" s="1083"/>
      <c r="AO76" s="1083"/>
      <c r="AP76" s="1083"/>
      <c r="AQ76" s="1083"/>
      <c r="AR76" s="1083"/>
      <c r="AS76" s="1083"/>
      <c r="AT76" s="1083"/>
      <c r="AU76" s="1083"/>
      <c r="AV76" s="1083"/>
      <c r="AW76" s="1083"/>
      <c r="AX76" s="1083"/>
      <c r="AY76" s="1083"/>
      <c r="AZ76" s="1083"/>
      <c r="BA76" s="1083"/>
      <c r="BB76" s="1083"/>
      <c r="BC76" s="1083"/>
      <c r="BD76" s="1083"/>
      <c r="BE76" s="1083"/>
      <c r="BF76" s="1083"/>
      <c r="BG76" s="1083"/>
      <c r="BH76" s="1083"/>
      <c r="BI76" s="1083"/>
      <c r="BJ76" s="1083"/>
      <c r="BK76" s="1083"/>
      <c r="BL76" s="1083"/>
      <c r="BM76" s="1083"/>
      <c r="BN76" s="1083"/>
      <c r="BO76" s="1083"/>
      <c r="BP76" s="1083"/>
      <c r="BQ76" s="1083"/>
      <c r="BR76" s="100"/>
      <c r="BS76" s="100"/>
      <c r="BT76" s="100"/>
      <c r="BU76" s="100"/>
      <c r="BV76" s="100"/>
      <c r="BW76" s="100"/>
      <c r="BX76" s="100"/>
      <c r="BY76" s="100"/>
    </row>
    <row r="77" spans="1:77" ht="24" customHeight="1">
      <c r="A77" s="1083"/>
      <c r="B77" s="2326" t="s">
        <v>630</v>
      </c>
      <c r="C77" s="2327"/>
      <c r="D77" s="2328"/>
      <c r="E77" s="2301">
        <f>IF(AM14="",0,AM14)</f>
        <v>0</v>
      </c>
      <c r="F77" s="2302"/>
      <c r="G77" s="2302"/>
      <c r="H77" s="2303"/>
      <c r="I77" s="2301">
        <f>IF(E77=0,0,IF(AN14="",0,AN14))</f>
        <v>0</v>
      </c>
      <c r="J77" s="2302"/>
      <c r="K77" s="2302"/>
      <c r="L77" s="2303"/>
      <c r="M77" s="2336">
        <f t="shared" si="0"/>
        <v>0</v>
      </c>
      <c r="N77" s="2336"/>
      <c r="O77" s="2336"/>
      <c r="P77" s="2336"/>
      <c r="Q77" s="2301">
        <f>IF(AE31&gt;0,AE31,0)</f>
        <v>0</v>
      </c>
      <c r="R77" s="2302"/>
      <c r="S77" s="2303"/>
      <c r="T77" s="2301">
        <f>IF(AC31&gt;0,AC31,0)</f>
        <v>0</v>
      </c>
      <c r="U77" s="2302"/>
      <c r="V77" s="2303"/>
      <c r="W77" s="2301">
        <f t="shared" si="1"/>
        <v>0</v>
      </c>
      <c r="X77" s="2302"/>
      <c r="Y77" s="2302"/>
      <c r="Z77" s="2338"/>
      <c r="AA77" s="1597"/>
      <c r="AB77" s="1485" t="s">
        <v>681</v>
      </c>
      <c r="AC77" s="1543">
        <f>IF(AM16="","",AM16)</f>
        <v>0</v>
      </c>
      <c r="AD77" s="1544" t="s">
        <v>681</v>
      </c>
      <c r="AE77" s="1543">
        <f>AC77</f>
        <v>0</v>
      </c>
      <c r="AF77" s="2341"/>
      <c r="AG77" s="1598"/>
      <c r="AH77" s="1598"/>
      <c r="AI77" s="1598"/>
      <c r="AJ77" s="1083"/>
      <c r="AK77" s="1083"/>
      <c r="AL77" s="1390"/>
      <c r="AM77" s="1083"/>
      <c r="AN77" s="1083"/>
      <c r="AO77" s="1083"/>
      <c r="AP77" s="1083"/>
      <c r="AQ77" s="1083"/>
      <c r="AR77" s="1083"/>
      <c r="AS77" s="1083"/>
      <c r="AT77" s="1083"/>
      <c r="AU77" s="1083"/>
      <c r="AV77" s="1083"/>
      <c r="AW77" s="1083"/>
      <c r="AX77" s="1083"/>
      <c r="AY77" s="1083"/>
      <c r="AZ77" s="1083"/>
      <c r="BA77" s="1083"/>
      <c r="BB77" s="1083"/>
      <c r="BC77" s="1083"/>
      <c r="BD77" s="1083"/>
      <c r="BE77" s="1083"/>
      <c r="BF77" s="1083"/>
      <c r="BG77" s="1083"/>
      <c r="BH77" s="1083"/>
      <c r="BI77" s="1083"/>
      <c r="BJ77" s="1083"/>
      <c r="BK77" s="1083"/>
      <c r="BL77" s="1083"/>
      <c r="BM77" s="1083"/>
      <c r="BN77" s="1083"/>
      <c r="BO77" s="1083"/>
      <c r="BP77" s="1083"/>
      <c r="BQ77" s="1083"/>
      <c r="BR77" s="100"/>
      <c r="BS77" s="100"/>
      <c r="BT77" s="100"/>
      <c r="BU77" s="100"/>
      <c r="BV77" s="100"/>
      <c r="BW77" s="100"/>
      <c r="BX77" s="100"/>
      <c r="BY77" s="100"/>
    </row>
    <row r="78" spans="1:77" ht="24" customHeight="1">
      <c r="A78" s="1083"/>
      <c r="B78" s="2326" t="s">
        <v>671</v>
      </c>
      <c r="C78" s="2327"/>
      <c r="D78" s="2328"/>
      <c r="E78" s="2301">
        <f>IF(AM13="",0,AM13)</f>
        <v>0</v>
      </c>
      <c r="F78" s="2302"/>
      <c r="G78" s="2302"/>
      <c r="H78" s="2303"/>
      <c r="I78" s="2301">
        <f>IF(E78=0,0,IF(AN13="",0,AN13))</f>
        <v>0</v>
      </c>
      <c r="J78" s="2302"/>
      <c r="K78" s="2302"/>
      <c r="L78" s="2303"/>
      <c r="M78" s="2336">
        <f t="shared" si="0"/>
        <v>0</v>
      </c>
      <c r="N78" s="2336"/>
      <c r="O78" s="2336"/>
      <c r="P78" s="2336"/>
      <c r="Q78" s="2301">
        <f>IF(AE63&gt;0,AE63,0)</f>
        <v>0</v>
      </c>
      <c r="R78" s="2302"/>
      <c r="S78" s="2303"/>
      <c r="T78" s="2301">
        <f>IF(AC63&gt;0,AC63,0)</f>
        <v>0</v>
      </c>
      <c r="U78" s="2302"/>
      <c r="V78" s="2303"/>
      <c r="W78" s="2301">
        <f t="shared" si="1"/>
        <v>0</v>
      </c>
      <c r="X78" s="2302"/>
      <c r="Y78" s="2302"/>
      <c r="Z78" s="2338"/>
      <c r="AA78" s="1597"/>
      <c r="AB78" s="1485" t="s">
        <v>710</v>
      </c>
      <c r="AC78" s="1543">
        <f>IF(AN16="","",AN16)</f>
        <v>0</v>
      </c>
      <c r="AD78" s="1544" t="s">
        <v>710</v>
      </c>
      <c r="AE78" s="1543">
        <v>0</v>
      </c>
      <c r="AF78" s="2341"/>
      <c r="AG78" s="1598"/>
      <c r="AH78" s="1598"/>
      <c r="AI78" s="1598"/>
      <c r="AJ78" s="1083"/>
      <c r="AK78" s="1083"/>
      <c r="AL78" s="1390"/>
      <c r="AM78" s="1083"/>
      <c r="AN78" s="1083"/>
      <c r="AO78" s="1083"/>
      <c r="AP78" s="1083"/>
      <c r="AQ78" s="1083"/>
      <c r="AR78" s="1083"/>
      <c r="AS78" s="1083"/>
      <c r="AT78" s="1083"/>
      <c r="AU78" s="1083"/>
      <c r="AV78" s="1083"/>
      <c r="AW78" s="1083"/>
      <c r="AX78" s="1083"/>
      <c r="AY78" s="1083"/>
      <c r="AZ78" s="1083"/>
      <c r="BA78" s="1083"/>
      <c r="BB78" s="1083"/>
      <c r="BC78" s="1083"/>
      <c r="BD78" s="1083"/>
      <c r="BE78" s="1083"/>
      <c r="BF78" s="1083"/>
      <c r="BG78" s="1083"/>
      <c r="BH78" s="1083"/>
      <c r="BI78" s="1083"/>
      <c r="BJ78" s="1083"/>
      <c r="BK78" s="1083"/>
      <c r="BL78" s="1083"/>
      <c r="BM78" s="1083"/>
      <c r="BN78" s="1083"/>
      <c r="BO78" s="1083"/>
      <c r="BP78" s="1083"/>
      <c r="BQ78" s="1083"/>
      <c r="BR78" s="100"/>
      <c r="BS78" s="100"/>
      <c r="BT78" s="100"/>
      <c r="BU78" s="100"/>
      <c r="BV78" s="100"/>
      <c r="BW78" s="100"/>
      <c r="BX78" s="100"/>
      <c r="BY78" s="100"/>
    </row>
    <row r="79" spans="1:77" ht="24" customHeight="1">
      <c r="A79" s="1083"/>
      <c r="B79" s="2326" t="s">
        <v>762</v>
      </c>
      <c r="C79" s="2327"/>
      <c r="D79" s="2328"/>
      <c r="E79" s="2301">
        <f>IF(AM16="",0,AM16)</f>
        <v>0</v>
      </c>
      <c r="F79" s="2302"/>
      <c r="G79" s="2302"/>
      <c r="H79" s="2303"/>
      <c r="I79" s="2301">
        <f>IF(E79=0,0,IF(AN16="",0,AN16))</f>
        <v>0</v>
      </c>
      <c r="J79" s="2302"/>
      <c r="K79" s="2302"/>
      <c r="L79" s="2303"/>
      <c r="M79" s="2336">
        <f t="shared" si="0"/>
        <v>0</v>
      </c>
      <c r="N79" s="2336"/>
      <c r="O79" s="2336"/>
      <c r="P79" s="2336"/>
      <c r="Q79" s="2301">
        <f>IF(AE88&gt;0,AE88,0)</f>
        <v>0</v>
      </c>
      <c r="R79" s="2302"/>
      <c r="S79" s="2303"/>
      <c r="T79" s="2301">
        <f>IF(AC88&gt;0,AC88,0)</f>
        <v>0</v>
      </c>
      <c r="U79" s="2302"/>
      <c r="V79" s="2303"/>
      <c r="W79" s="2301">
        <f t="shared" si="1"/>
        <v>0</v>
      </c>
      <c r="X79" s="2302"/>
      <c r="Y79" s="2302"/>
      <c r="Z79" s="2338"/>
      <c r="AA79" s="1597"/>
      <c r="AB79" s="1492" t="s">
        <v>682</v>
      </c>
      <c r="AC79" s="1599">
        <f>SUM(AC77:AC78)</f>
        <v>0</v>
      </c>
      <c r="AD79" s="1493" t="s">
        <v>682</v>
      </c>
      <c r="AE79" s="1599">
        <f>SUM(AE77:AE78)</f>
        <v>0</v>
      </c>
      <c r="AF79" s="2341"/>
      <c r="AG79" s="1598"/>
      <c r="AH79" s="1598"/>
      <c r="AI79" s="1598"/>
      <c r="AJ79" s="1083"/>
      <c r="AK79" s="1083"/>
      <c r="AL79" s="1390"/>
      <c r="AM79" s="1083"/>
      <c r="AN79" s="1083"/>
      <c r="AO79" s="1083"/>
      <c r="AP79" s="1083"/>
      <c r="AQ79" s="1083"/>
      <c r="AR79" s="1083"/>
      <c r="AS79" s="1083"/>
      <c r="AT79" s="1083"/>
      <c r="AU79" s="1083"/>
      <c r="AV79" s="1083"/>
      <c r="AW79" s="1083"/>
      <c r="AX79" s="1083"/>
      <c r="AY79" s="1083"/>
      <c r="AZ79" s="1083"/>
      <c r="BA79" s="1083"/>
      <c r="BB79" s="1083"/>
      <c r="BC79" s="1083"/>
      <c r="BD79" s="1083"/>
      <c r="BE79" s="1083"/>
      <c r="BF79" s="1083"/>
      <c r="BG79" s="1083"/>
      <c r="BH79" s="1083"/>
      <c r="BI79" s="1083"/>
      <c r="BJ79" s="1083"/>
      <c r="BK79" s="1083"/>
      <c r="BL79" s="1083"/>
      <c r="BM79" s="1083"/>
      <c r="BN79" s="1083"/>
      <c r="BO79" s="1083"/>
      <c r="BP79" s="1083"/>
      <c r="BQ79" s="1083"/>
      <c r="BR79" s="100"/>
      <c r="BS79" s="100"/>
      <c r="BT79" s="100"/>
      <c r="BU79" s="100"/>
      <c r="BV79" s="100"/>
      <c r="BW79" s="100"/>
      <c r="BX79" s="100"/>
      <c r="BY79" s="100"/>
    </row>
    <row r="80" spans="1:77" ht="24" customHeight="1">
      <c r="A80" s="1083"/>
      <c r="B80" s="2326" t="s">
        <v>10</v>
      </c>
      <c r="C80" s="2327"/>
      <c r="D80" s="2328"/>
      <c r="E80" s="2301">
        <f>SUM(E74:H79)</f>
        <v>0</v>
      </c>
      <c r="F80" s="2302"/>
      <c r="G80" s="2302"/>
      <c r="H80" s="2303"/>
      <c r="I80" s="2301">
        <f>SUM(I74:L79)</f>
        <v>0</v>
      </c>
      <c r="J80" s="2302"/>
      <c r="K80" s="2302"/>
      <c r="L80" s="2303"/>
      <c r="M80" s="2301">
        <f>SUM(M74:P79)</f>
        <v>0</v>
      </c>
      <c r="N80" s="2302"/>
      <c r="O80" s="2302"/>
      <c r="P80" s="2303"/>
      <c r="Q80" s="2301">
        <f>SUM(Q74:S79)</f>
        <v>0</v>
      </c>
      <c r="R80" s="2302"/>
      <c r="S80" s="2303"/>
      <c r="T80" s="2301">
        <f>SUM(T74:V79)</f>
        <v>0</v>
      </c>
      <c r="U80" s="2302"/>
      <c r="V80" s="2303"/>
      <c r="W80" s="2301">
        <f>SUM(W74:Z79)</f>
        <v>0</v>
      </c>
      <c r="X80" s="2302"/>
      <c r="Y80" s="2302"/>
      <c r="Z80" s="2338"/>
      <c r="AA80" s="1597"/>
      <c r="AB80" s="1411" t="s">
        <v>683</v>
      </c>
      <c r="AC80" s="1412">
        <v>0</v>
      </c>
      <c r="AD80" s="1413" t="s">
        <v>683</v>
      </c>
      <c r="AE80" s="1412">
        <v>0</v>
      </c>
      <c r="AF80" s="2341"/>
      <c r="AG80" s="1420">
        <f>AC79-250000</f>
        <v>-250000</v>
      </c>
      <c r="AH80" s="1421">
        <f>IF(AG80&gt;250000,250000,AG80)</f>
        <v>-250000</v>
      </c>
      <c r="AI80" s="1420">
        <f>AE79-250000</f>
        <v>-250000</v>
      </c>
      <c r="AJ80" s="1421">
        <f>IF(AI80&gt;250000,250000,AI80)</f>
        <v>-250000</v>
      </c>
      <c r="AK80" s="1083"/>
      <c r="AL80" s="1390"/>
      <c r="AM80" s="1083"/>
      <c r="AN80" s="1083"/>
      <c r="AO80" s="1083"/>
      <c r="AP80" s="1083"/>
      <c r="AQ80" s="1083"/>
      <c r="AR80" s="1083"/>
      <c r="AS80" s="1083"/>
      <c r="AT80" s="1083"/>
      <c r="AU80" s="1083"/>
      <c r="AV80" s="1083"/>
      <c r="AW80" s="1083"/>
      <c r="AX80" s="1083"/>
      <c r="AY80" s="1083"/>
      <c r="AZ80" s="1083"/>
      <c r="BA80" s="1083"/>
      <c r="BB80" s="1083"/>
      <c r="BC80" s="1083"/>
      <c r="BD80" s="1083"/>
      <c r="BE80" s="1083"/>
      <c r="BF80" s="1083"/>
      <c r="BG80" s="1083"/>
      <c r="BH80" s="1083"/>
      <c r="BI80" s="1083"/>
      <c r="BJ80" s="1083"/>
      <c r="BK80" s="1083"/>
      <c r="BL80" s="1083"/>
      <c r="BM80" s="1083"/>
      <c r="BN80" s="1083"/>
      <c r="BO80" s="1083"/>
      <c r="BP80" s="1083"/>
      <c r="BQ80" s="1083"/>
      <c r="BR80" s="100"/>
      <c r="BS80" s="100"/>
      <c r="BT80" s="100"/>
      <c r="BU80" s="100"/>
      <c r="BV80" s="100"/>
      <c r="BW80" s="100"/>
      <c r="BX80" s="100"/>
      <c r="BY80" s="100"/>
    </row>
    <row r="81" spans="1:77" ht="23.25" customHeight="1">
      <c r="A81" s="1083"/>
      <c r="B81" s="1600"/>
      <c r="C81" s="1601"/>
      <c r="D81" s="1601"/>
      <c r="E81" s="1602"/>
      <c r="F81" s="1602"/>
      <c r="G81" s="1602"/>
      <c r="H81" s="1602"/>
      <c r="I81" s="1602"/>
      <c r="J81" s="1602"/>
      <c r="K81" s="1602"/>
      <c r="L81" s="1602"/>
      <c r="M81" s="1602"/>
      <c r="N81" s="1602"/>
      <c r="O81" s="1602"/>
      <c r="P81" s="1602"/>
      <c r="Q81" s="1602"/>
      <c r="R81" s="1602"/>
      <c r="S81" s="1602"/>
      <c r="T81" s="1602"/>
      <c r="U81" s="1602"/>
      <c r="V81" s="1602"/>
      <c r="W81" s="1602"/>
      <c r="X81" s="1602"/>
      <c r="Y81" s="1602"/>
      <c r="Z81" s="1603"/>
      <c r="AA81" s="1604"/>
      <c r="AB81" s="1417" t="s">
        <v>698</v>
      </c>
      <c r="AC81" s="1418">
        <f>IF(AH80&gt;0,AH80,0)*10%</f>
        <v>0</v>
      </c>
      <c r="AD81" s="1419" t="s">
        <v>695</v>
      </c>
      <c r="AE81" s="1418">
        <f>IF(AJ80&gt;0,AJ80,0)*10%</f>
        <v>0</v>
      </c>
      <c r="AF81" s="2341"/>
      <c r="AG81" s="1420">
        <f>AC79-500000</f>
        <v>-500000</v>
      </c>
      <c r="AH81" s="1421">
        <f>IF(AG81&gt;500000,500000,AG81)</f>
        <v>-500000</v>
      </c>
      <c r="AI81" s="1420">
        <f>AE79-500000</f>
        <v>-500000</v>
      </c>
      <c r="AJ81" s="1421">
        <f>IF(AI81&gt;500000,500000,AI81)</f>
        <v>-500000</v>
      </c>
      <c r="AK81" s="1083"/>
      <c r="AL81" s="1390"/>
      <c r="AM81" s="1083"/>
      <c r="AN81" s="1083"/>
      <c r="AO81" s="1083"/>
      <c r="AP81" s="1083"/>
      <c r="AQ81" s="1083"/>
      <c r="AR81" s="1083"/>
      <c r="AS81" s="1083"/>
      <c r="AT81" s="1083"/>
      <c r="AU81" s="1083"/>
      <c r="AV81" s="1083"/>
      <c r="AW81" s="1083"/>
      <c r="AX81" s="1083"/>
      <c r="AY81" s="1083"/>
      <c r="AZ81" s="1083"/>
      <c r="BA81" s="1083"/>
      <c r="BB81" s="1083"/>
      <c r="BC81" s="1083"/>
      <c r="BD81" s="1083"/>
      <c r="BE81" s="1083"/>
      <c r="BF81" s="1083"/>
      <c r="BG81" s="1083"/>
      <c r="BH81" s="1083"/>
      <c r="BI81" s="1083"/>
      <c r="BJ81" s="1083"/>
      <c r="BK81" s="1083"/>
      <c r="BL81" s="1083"/>
      <c r="BM81" s="1083"/>
      <c r="BN81" s="1083"/>
      <c r="BO81" s="1083"/>
      <c r="BP81" s="1083"/>
      <c r="BQ81" s="1083"/>
      <c r="BR81" s="100"/>
      <c r="BS81" s="100"/>
      <c r="BT81" s="100"/>
      <c r="BU81" s="100"/>
      <c r="BV81" s="100"/>
      <c r="BW81" s="100"/>
      <c r="BX81" s="100"/>
      <c r="BY81" s="100"/>
    </row>
    <row r="82" spans="1:77" ht="14.25" customHeight="1">
      <c r="A82" s="1083"/>
      <c r="B82" s="1580"/>
      <c r="C82" s="1581"/>
      <c r="D82" s="1581"/>
      <c r="E82" s="1581"/>
      <c r="F82" s="1581"/>
      <c r="G82" s="1581"/>
      <c r="H82" s="1581"/>
      <c r="I82" s="1581"/>
      <c r="J82" s="1581"/>
      <c r="K82" s="1581"/>
      <c r="L82" s="1581"/>
      <c r="M82" s="1581"/>
      <c r="N82" s="1581"/>
      <c r="O82" s="1581"/>
      <c r="P82" s="1581"/>
      <c r="Q82" s="1581"/>
      <c r="R82" s="1581"/>
      <c r="S82" s="1581"/>
      <c r="T82" s="1581"/>
      <c r="U82" s="1581"/>
      <c r="V82" s="1581"/>
      <c r="W82" s="1581"/>
      <c r="X82" s="1581"/>
      <c r="Y82" s="1581"/>
      <c r="Z82" s="1582"/>
      <c r="AA82" s="1523"/>
      <c r="AB82" s="1425" t="s">
        <v>697</v>
      </c>
      <c r="AC82" s="1418">
        <f>IF(AH81&gt;0,AH81,0)*20%</f>
        <v>0</v>
      </c>
      <c r="AD82" s="1426" t="s">
        <v>699</v>
      </c>
      <c r="AE82" s="1599">
        <f>IF(AJ81&gt;0,AJ81,0)*20%</f>
        <v>0</v>
      </c>
      <c r="AF82" s="2341"/>
      <c r="AG82" s="1420">
        <f>AC79-1000000</f>
        <v>-1000000</v>
      </c>
      <c r="AH82" s="1421">
        <f>IF(AG82&gt;500000,500000,AG82)</f>
        <v>-1000000</v>
      </c>
      <c r="AI82" s="1420">
        <f>AE79-1000000</f>
        <v>-1000000</v>
      </c>
      <c r="AJ82" s="1421">
        <f>IF(AI82&gt;500000,500000,AI82)</f>
        <v>-1000000</v>
      </c>
      <c r="AK82" s="1083"/>
      <c r="AL82" s="1390"/>
      <c r="AM82" s="1083"/>
      <c r="AN82" s="1083"/>
      <c r="AO82" s="1083"/>
      <c r="AP82" s="1083"/>
      <c r="AQ82" s="1083"/>
      <c r="AR82" s="1083"/>
      <c r="AS82" s="1083"/>
      <c r="AT82" s="1083"/>
      <c r="AU82" s="1083"/>
      <c r="AV82" s="1083"/>
      <c r="AW82" s="1083"/>
      <c r="AX82" s="1083"/>
      <c r="AY82" s="1083"/>
      <c r="AZ82" s="1083"/>
      <c r="BA82" s="1083"/>
      <c r="BB82" s="1083"/>
      <c r="BC82" s="1083"/>
      <c r="BD82" s="1083"/>
      <c r="BE82" s="1083"/>
      <c r="BF82" s="1083"/>
      <c r="BG82" s="1083"/>
      <c r="BH82" s="1083"/>
      <c r="BI82" s="1083"/>
      <c r="BJ82" s="1083"/>
      <c r="BK82" s="1083"/>
      <c r="BL82" s="1083"/>
      <c r="BM82" s="1083"/>
      <c r="BN82" s="1083"/>
      <c r="BO82" s="1083"/>
      <c r="BP82" s="1083"/>
      <c r="BQ82" s="1083"/>
      <c r="BR82" s="100"/>
      <c r="BS82" s="100"/>
      <c r="BT82" s="100"/>
      <c r="BU82" s="100"/>
      <c r="BV82" s="100"/>
      <c r="BW82" s="100"/>
      <c r="BX82" s="100"/>
      <c r="BY82" s="100"/>
    </row>
    <row r="83" spans="1:77" ht="14.25" customHeight="1">
      <c r="A83" s="1083"/>
      <c r="B83" s="1580"/>
      <c r="C83" s="1581"/>
      <c r="D83" s="1581"/>
      <c r="E83" s="1581"/>
      <c r="F83" s="1581"/>
      <c r="G83" s="1581"/>
      <c r="H83" s="1581"/>
      <c r="I83" s="1581"/>
      <c r="J83" s="1581"/>
      <c r="K83" s="1581"/>
      <c r="L83" s="1581"/>
      <c r="M83" s="1581"/>
      <c r="N83" s="1581"/>
      <c r="O83" s="1581"/>
      <c r="P83" s="1581"/>
      <c r="Q83" s="1581"/>
      <c r="R83" s="1581"/>
      <c r="S83" s="1581"/>
      <c r="T83" s="1581"/>
      <c r="U83" s="1581"/>
      <c r="V83" s="1581"/>
      <c r="W83" s="1581"/>
      <c r="X83" s="1581"/>
      <c r="Y83" s="1581"/>
      <c r="Z83" s="1582"/>
      <c r="AA83" s="1523"/>
      <c r="AB83" s="1559" t="s">
        <v>724</v>
      </c>
      <c r="AC83" s="1418">
        <f>IF(AH82&gt;0,AH82,0)*30%</f>
        <v>0</v>
      </c>
      <c r="AD83" s="1434" t="s">
        <v>684</v>
      </c>
      <c r="AE83" s="1599">
        <f>IF(AJ82&gt;0,AJ82,0)*30%</f>
        <v>0</v>
      </c>
      <c r="AF83" s="2341"/>
      <c r="AG83" s="1524"/>
      <c r="AH83" s="1525"/>
      <c r="AI83" s="1525"/>
      <c r="AJ83" s="1083"/>
      <c r="AK83" s="1083"/>
      <c r="AL83" s="1390"/>
      <c r="AM83" s="1083"/>
      <c r="AN83" s="1083"/>
      <c r="AO83" s="1083"/>
      <c r="AP83" s="1083"/>
      <c r="AQ83" s="1083"/>
      <c r="AR83" s="1083"/>
      <c r="AS83" s="1083"/>
      <c r="AT83" s="1083"/>
      <c r="AU83" s="1083"/>
      <c r="AV83" s="1083"/>
      <c r="AW83" s="1083"/>
      <c r="AX83" s="1083"/>
      <c r="AY83" s="1083"/>
      <c r="AZ83" s="1083"/>
      <c r="BA83" s="1083"/>
      <c r="BB83" s="1083"/>
      <c r="BC83" s="1083"/>
      <c r="BD83" s="1083"/>
      <c r="BE83" s="1083"/>
      <c r="BF83" s="1083"/>
      <c r="BG83" s="1083"/>
      <c r="BH83" s="1083"/>
      <c r="BI83" s="1083"/>
      <c r="BJ83" s="1083"/>
      <c r="BK83" s="1083"/>
      <c r="BL83" s="1083"/>
      <c r="BM83" s="1083"/>
      <c r="BN83" s="1083"/>
      <c r="BO83" s="1083"/>
      <c r="BP83" s="1083"/>
      <c r="BQ83" s="1083"/>
      <c r="BR83" s="100"/>
      <c r="BS83" s="100"/>
      <c r="BT83" s="100"/>
      <c r="BU83" s="100"/>
      <c r="BV83" s="100"/>
      <c r="BW83" s="100"/>
      <c r="BX83" s="100"/>
      <c r="BY83" s="100"/>
    </row>
    <row r="84" spans="1:77" ht="14.25" customHeight="1">
      <c r="A84" s="1083"/>
      <c r="B84" s="1580"/>
      <c r="C84" s="1581"/>
      <c r="D84" s="1581"/>
      <c r="E84" s="1581"/>
      <c r="F84" s="1581"/>
      <c r="G84" s="1581"/>
      <c r="H84" s="1581"/>
      <c r="I84" s="1581"/>
      <c r="J84" s="1581"/>
      <c r="K84" s="1581"/>
      <c r="L84" s="1581"/>
      <c r="M84" s="1581"/>
      <c r="N84" s="1581"/>
      <c r="O84" s="1581"/>
      <c r="P84" s="1605" t="s">
        <v>771</v>
      </c>
      <c r="Q84" s="1606"/>
      <c r="R84" s="1606"/>
      <c r="S84" s="1606"/>
      <c r="T84" s="1581"/>
      <c r="U84" s="1581"/>
      <c r="V84" s="1581"/>
      <c r="W84" s="1581"/>
      <c r="X84" s="1581"/>
      <c r="Y84" s="1581"/>
      <c r="Z84" s="1582"/>
      <c r="AA84" s="1523"/>
      <c r="AB84" s="1439" t="s">
        <v>690</v>
      </c>
      <c r="AC84" s="1560">
        <f>IF(AC79&gt;500000,0,2000)</f>
        <v>2000</v>
      </c>
      <c r="AD84" s="1561" t="s">
        <v>690</v>
      </c>
      <c r="AE84" s="1560">
        <f>IF(AE79&gt;500000,0,2000)</f>
        <v>2000</v>
      </c>
      <c r="AF84" s="2341"/>
      <c r="AG84" s="1524"/>
      <c r="AH84" s="1525"/>
      <c r="AI84" s="1525"/>
      <c r="AJ84" s="1083"/>
      <c r="AK84" s="1083"/>
      <c r="AL84" s="1390"/>
      <c r="AM84" s="1083"/>
      <c r="AN84" s="1083"/>
      <c r="AO84" s="1083"/>
      <c r="AP84" s="1083"/>
      <c r="AQ84" s="1083"/>
      <c r="AR84" s="1083"/>
      <c r="AS84" s="1083"/>
      <c r="AT84" s="1083"/>
      <c r="AU84" s="1083"/>
      <c r="AV84" s="1083"/>
      <c r="AW84" s="1083"/>
      <c r="AX84" s="1083"/>
      <c r="AY84" s="1083"/>
      <c r="AZ84" s="1083"/>
      <c r="BA84" s="1083"/>
      <c r="BB84" s="1083"/>
      <c r="BC84" s="1083"/>
      <c r="BD84" s="1083"/>
      <c r="BE84" s="1083"/>
      <c r="BF84" s="1083"/>
      <c r="BG84" s="1083"/>
      <c r="BH84" s="1083"/>
      <c r="BI84" s="1083"/>
      <c r="BJ84" s="1083"/>
      <c r="BK84" s="1083"/>
      <c r="BL84" s="1083"/>
      <c r="BM84" s="1083"/>
      <c r="BN84" s="1083"/>
      <c r="BO84" s="1083"/>
      <c r="BP84" s="1083"/>
      <c r="BQ84" s="1083"/>
      <c r="BR84" s="100"/>
      <c r="BS84" s="100"/>
      <c r="BT84" s="100"/>
      <c r="BU84" s="100"/>
      <c r="BV84" s="100"/>
      <c r="BW84" s="100"/>
      <c r="BX84" s="100"/>
      <c r="BY84" s="100"/>
    </row>
    <row r="85" spans="1:77" ht="14.25" customHeight="1">
      <c r="A85" s="1083"/>
      <c r="B85" s="1580"/>
      <c r="C85" s="1607" t="s">
        <v>775</v>
      </c>
      <c r="D85" s="1608"/>
      <c r="E85" s="1608"/>
      <c r="F85" s="1608"/>
      <c r="G85" s="1581"/>
      <c r="H85" s="1581"/>
      <c r="I85" s="1581"/>
      <c r="J85" s="1581"/>
      <c r="K85" s="1581"/>
      <c r="L85" s="1581"/>
      <c r="M85" s="1581"/>
      <c r="N85" s="1581"/>
      <c r="O85" s="1581"/>
      <c r="P85" s="1605" t="s">
        <v>772</v>
      </c>
      <c r="Q85" s="1606"/>
      <c r="R85" s="1606"/>
      <c r="S85" s="1606"/>
      <c r="T85" s="1581"/>
      <c r="U85" s="1581"/>
      <c r="V85" s="1581"/>
      <c r="W85" s="1581"/>
      <c r="X85" s="1581"/>
      <c r="Y85" s="1581"/>
      <c r="Z85" s="1582"/>
      <c r="AA85" s="1523"/>
      <c r="AB85" s="1453" t="s">
        <v>10</v>
      </c>
      <c r="AC85" s="1454">
        <f>IF((SUM(AC80:AC83)-AC84)&gt;0,(SUM(AC80:AC83)-AC84),0)</f>
        <v>0</v>
      </c>
      <c r="AD85" s="1455" t="s">
        <v>10</v>
      </c>
      <c r="AE85" s="1454">
        <f>IF((SUM(AE80:AE83)-AE84)&gt;0,(SUM(AE80:AE83)-AE84),0)</f>
        <v>0</v>
      </c>
      <c r="AF85" s="2341"/>
      <c r="AG85" s="1524"/>
      <c r="AH85" s="1525"/>
      <c r="AI85" s="1525"/>
      <c r="AJ85" s="1083"/>
      <c r="AK85" s="1083"/>
      <c r="AL85" s="1390"/>
      <c r="AM85" s="1083"/>
      <c r="AN85" s="1083"/>
      <c r="AO85" s="1083"/>
      <c r="AP85" s="1083"/>
      <c r="AQ85" s="1083"/>
      <c r="AR85" s="1083"/>
      <c r="AS85" s="1083"/>
      <c r="AT85" s="1083"/>
      <c r="AU85" s="1083"/>
      <c r="AV85" s="1083"/>
      <c r="AW85" s="1083"/>
      <c r="AX85" s="1083"/>
      <c r="AY85" s="1083"/>
      <c r="AZ85" s="1083"/>
      <c r="BA85" s="1083"/>
      <c r="BB85" s="1083"/>
      <c r="BC85" s="1083"/>
      <c r="BD85" s="1083"/>
      <c r="BE85" s="1083"/>
      <c r="BF85" s="1083"/>
      <c r="BG85" s="1083"/>
      <c r="BH85" s="1083"/>
      <c r="BI85" s="1083"/>
      <c r="BJ85" s="1083"/>
      <c r="BK85" s="1083"/>
      <c r="BL85" s="1083"/>
      <c r="BM85" s="1083"/>
      <c r="BN85" s="1083"/>
      <c r="BO85" s="1083"/>
      <c r="BP85" s="1083"/>
      <c r="BQ85" s="1083"/>
      <c r="BR85" s="100"/>
      <c r="BS85" s="100"/>
      <c r="BT85" s="100"/>
      <c r="BU85" s="100"/>
      <c r="BV85" s="100"/>
      <c r="BW85" s="100"/>
      <c r="BX85" s="100"/>
      <c r="BY85" s="100"/>
    </row>
    <row r="86" spans="1:77" ht="14.25" customHeight="1">
      <c r="A86" s="1083"/>
      <c r="B86" s="1609"/>
      <c r="C86" s="1610"/>
      <c r="D86" s="1610"/>
      <c r="E86" s="1610"/>
      <c r="F86" s="1610"/>
      <c r="G86" s="1611"/>
      <c r="H86" s="1611"/>
      <c r="I86" s="1611"/>
      <c r="J86" s="1611"/>
      <c r="K86" s="1611"/>
      <c r="L86" s="1611"/>
      <c r="M86" s="1611"/>
      <c r="N86" s="1611"/>
      <c r="O86" s="1611"/>
      <c r="P86" s="1605" t="s">
        <v>773</v>
      </c>
      <c r="Q86" s="1354"/>
      <c r="R86" s="1354"/>
      <c r="S86" s="1354"/>
      <c r="T86" s="1611"/>
      <c r="U86" s="1611"/>
      <c r="V86" s="1611"/>
      <c r="W86" s="1611"/>
      <c r="X86" s="1611"/>
      <c r="Y86" s="1611"/>
      <c r="Z86" s="1612"/>
      <c r="AA86" s="1394"/>
      <c r="AB86" s="1613" t="s">
        <v>686</v>
      </c>
      <c r="AC86" s="1614">
        <f>ROUND(AC85*1%,0.1)</f>
        <v>0</v>
      </c>
      <c r="AD86" s="1615" t="s">
        <v>686</v>
      </c>
      <c r="AE86" s="1614">
        <f>ROUND(AE85*1%,0.1)</f>
        <v>0</v>
      </c>
      <c r="AF86" s="2341"/>
      <c r="AG86" s="1395"/>
      <c r="AH86" s="1395"/>
      <c r="AI86" s="1395"/>
      <c r="AJ86" s="1083"/>
      <c r="AK86" s="1083"/>
      <c r="AL86" s="1390"/>
      <c r="AM86" s="1083"/>
      <c r="AN86" s="1083"/>
      <c r="AO86" s="1083"/>
      <c r="AP86" s="1083"/>
      <c r="AQ86" s="1083"/>
      <c r="AR86" s="1083"/>
      <c r="AS86" s="1083"/>
      <c r="AT86" s="1083"/>
      <c r="AU86" s="1083"/>
      <c r="AV86" s="1083"/>
      <c r="AW86" s="1083"/>
      <c r="AX86" s="1083"/>
      <c r="AY86" s="1083"/>
      <c r="AZ86" s="1083"/>
      <c r="BA86" s="1083"/>
      <c r="BB86" s="1083"/>
      <c r="BC86" s="1083"/>
      <c r="BD86" s="1083"/>
      <c r="BE86" s="1083"/>
      <c r="BF86" s="1083"/>
      <c r="BG86" s="1083"/>
      <c r="BH86" s="1083"/>
      <c r="BI86" s="1083"/>
      <c r="BJ86" s="1083"/>
      <c r="BK86" s="1083"/>
      <c r="BL86" s="1083"/>
      <c r="BM86" s="1083"/>
      <c r="BN86" s="1083"/>
      <c r="BO86" s="1083"/>
      <c r="BP86" s="1083"/>
      <c r="BQ86" s="1083"/>
      <c r="BR86" s="100"/>
      <c r="BS86" s="100"/>
      <c r="BT86" s="100"/>
      <c r="BU86" s="100"/>
      <c r="BV86" s="100"/>
      <c r="BW86" s="100"/>
      <c r="BX86" s="100"/>
      <c r="BY86" s="100"/>
    </row>
    <row r="87" spans="1:77" ht="15" customHeight="1">
      <c r="A87" s="1083"/>
      <c r="B87" s="1609"/>
      <c r="C87" s="1610" t="s">
        <v>346</v>
      </c>
      <c r="D87" s="2337">
        <f ca="1">TODAY()</f>
        <v>44553</v>
      </c>
      <c r="E87" s="2337"/>
      <c r="F87" s="2337"/>
      <c r="G87" s="1611"/>
      <c r="H87" s="1611"/>
      <c r="I87" s="1611"/>
      <c r="J87" s="1611"/>
      <c r="K87" s="1611"/>
      <c r="L87" s="1611"/>
      <c r="M87" s="1611"/>
      <c r="N87" s="1611"/>
      <c r="O87" s="1611"/>
      <c r="P87" s="1605" t="s">
        <v>774</v>
      </c>
      <c r="Q87" s="1354"/>
      <c r="R87" s="1354"/>
      <c r="S87" s="1354"/>
      <c r="T87" s="1611"/>
      <c r="U87" s="1611"/>
      <c r="V87" s="1611"/>
      <c r="W87" s="1611"/>
      <c r="X87" s="1611"/>
      <c r="Y87" s="1611"/>
      <c r="Z87" s="1612"/>
      <c r="AA87" s="1394"/>
      <c r="AB87" s="1616" t="s">
        <v>687</v>
      </c>
      <c r="AC87" s="1599">
        <f>ROUND(AC85*2%,0.1)</f>
        <v>0</v>
      </c>
      <c r="AD87" s="1617" t="s">
        <v>687</v>
      </c>
      <c r="AE87" s="1599">
        <f>ROUND(AE85*2%,0.1)</f>
        <v>0</v>
      </c>
      <c r="AF87" s="2342"/>
      <c r="AG87" s="1395"/>
      <c r="AH87" s="1395"/>
      <c r="AI87" s="1395"/>
      <c r="AJ87" s="1083"/>
      <c r="AK87" s="1083"/>
      <c r="AL87" s="1390"/>
      <c r="AM87" s="1083"/>
      <c r="AN87" s="1083"/>
      <c r="AO87" s="1083"/>
      <c r="AP87" s="1083"/>
      <c r="AQ87" s="1083"/>
      <c r="AR87" s="1083"/>
      <c r="AS87" s="1083"/>
      <c r="AT87" s="1083"/>
      <c r="AU87" s="1083"/>
      <c r="AV87" s="1083"/>
      <c r="AW87" s="1083"/>
      <c r="AX87" s="1083"/>
      <c r="AY87" s="1083"/>
      <c r="AZ87" s="1083"/>
      <c r="BA87" s="1083"/>
      <c r="BB87" s="1083"/>
      <c r="BC87" s="1083"/>
      <c r="BD87" s="1083"/>
      <c r="BE87" s="1083"/>
      <c r="BF87" s="1083"/>
      <c r="BG87" s="1083"/>
      <c r="BH87" s="1083"/>
      <c r="BI87" s="1083"/>
      <c r="BJ87" s="1083"/>
      <c r="BK87" s="1083"/>
      <c r="BL87" s="1083"/>
      <c r="BM87" s="1083"/>
      <c r="BN87" s="1083"/>
      <c r="BO87" s="1083"/>
      <c r="BP87" s="1083"/>
      <c r="BQ87" s="1083"/>
      <c r="BR87" s="100"/>
      <c r="BS87" s="100"/>
      <c r="BT87" s="100"/>
      <c r="BU87" s="100"/>
      <c r="BV87" s="100"/>
      <c r="BW87" s="100"/>
      <c r="BX87" s="100"/>
      <c r="BY87" s="100"/>
    </row>
    <row r="88" spans="1:77">
      <c r="A88" s="1083"/>
      <c r="B88" s="1618"/>
      <c r="C88" s="1619"/>
      <c r="D88" s="1619"/>
      <c r="E88" s="1619"/>
      <c r="F88" s="1619"/>
      <c r="G88" s="1619"/>
      <c r="H88" s="1619"/>
      <c r="I88" s="1619"/>
      <c r="J88" s="1619"/>
      <c r="K88" s="1619"/>
      <c r="L88" s="1619"/>
      <c r="M88" s="1619"/>
      <c r="N88" s="1619"/>
      <c r="O88" s="1619"/>
      <c r="P88" s="1619"/>
      <c r="Q88" s="1619"/>
      <c r="R88" s="1619"/>
      <c r="S88" s="1619"/>
      <c r="T88" s="1619"/>
      <c r="U88" s="1619"/>
      <c r="V88" s="1619"/>
      <c r="W88" s="1619"/>
      <c r="X88" s="1619"/>
      <c r="Y88" s="1619"/>
      <c r="Z88" s="1620"/>
      <c r="AA88" s="1394"/>
      <c r="AB88" s="2348" t="s">
        <v>688</v>
      </c>
      <c r="AC88" s="2346">
        <f>SUM(AC85:AC87)</f>
        <v>0</v>
      </c>
      <c r="AD88" s="2348" t="s">
        <v>688</v>
      </c>
      <c r="AE88" s="2346">
        <f>SUM(AE85:AE87)</f>
        <v>0</v>
      </c>
      <c r="AF88" s="2363">
        <f>AC88-AE88</f>
        <v>0</v>
      </c>
      <c r="AG88" s="1395"/>
      <c r="AH88" s="1395"/>
      <c r="AI88" s="1395"/>
      <c r="AJ88" s="1083"/>
      <c r="AK88" s="1083"/>
      <c r="AL88" s="1390"/>
      <c r="AM88" s="1083"/>
      <c r="AN88" s="1083"/>
      <c r="AO88" s="1083"/>
      <c r="AP88" s="1083"/>
      <c r="AQ88" s="1083"/>
      <c r="AR88" s="1083"/>
      <c r="AS88" s="1083"/>
      <c r="AT88" s="1083"/>
      <c r="AU88" s="1083"/>
      <c r="AV88" s="1083"/>
      <c r="AW88" s="1083"/>
      <c r="AX88" s="1083"/>
      <c r="AY88" s="1083"/>
      <c r="AZ88" s="1083"/>
      <c r="BA88" s="1083"/>
      <c r="BB88" s="1083"/>
      <c r="BC88" s="1083"/>
      <c r="BD88" s="1083"/>
      <c r="BE88" s="1083"/>
      <c r="BF88" s="1083"/>
      <c r="BG88" s="1083"/>
      <c r="BH88" s="1083"/>
      <c r="BI88" s="1083"/>
      <c r="BJ88" s="1083"/>
      <c r="BK88" s="1083"/>
      <c r="BL88" s="1083"/>
      <c r="BM88" s="1083"/>
      <c r="BN88" s="1083"/>
      <c r="BO88" s="1083"/>
      <c r="BP88" s="1083"/>
      <c r="BQ88" s="1083"/>
      <c r="BR88" s="100"/>
      <c r="BS88" s="100"/>
      <c r="BT88" s="100"/>
      <c r="BU88" s="100"/>
      <c r="BV88" s="100"/>
      <c r="BW88" s="100"/>
      <c r="BX88" s="100"/>
      <c r="BY88" s="100"/>
    </row>
    <row r="89" spans="1:77">
      <c r="A89" s="1083"/>
      <c r="B89" s="1083"/>
      <c r="C89" s="1083"/>
      <c r="D89" s="1083"/>
      <c r="E89" s="1083"/>
      <c r="F89" s="1083"/>
      <c r="G89" s="1083"/>
      <c r="H89" s="1083"/>
      <c r="I89" s="1083"/>
      <c r="J89" s="1083"/>
      <c r="K89" s="1083"/>
      <c r="L89" s="1083"/>
      <c r="M89" s="1083"/>
      <c r="N89" s="1083"/>
      <c r="O89" s="1083"/>
      <c r="P89" s="1083"/>
      <c r="Q89" s="1083"/>
      <c r="R89" s="1083"/>
      <c r="S89" s="1083"/>
      <c r="T89" s="1083"/>
      <c r="U89" s="1083"/>
      <c r="V89" s="1083"/>
      <c r="W89" s="1083"/>
      <c r="X89" s="1083"/>
      <c r="Y89" s="1083"/>
      <c r="Z89" s="1083"/>
      <c r="AA89" s="1083"/>
      <c r="AB89" s="2349"/>
      <c r="AC89" s="2347"/>
      <c r="AD89" s="2349"/>
      <c r="AE89" s="2347"/>
      <c r="AF89" s="2364"/>
      <c r="AG89" s="1083"/>
      <c r="AH89" s="1083"/>
      <c r="AI89" s="1083"/>
      <c r="AJ89" s="1083"/>
      <c r="AK89" s="1083"/>
      <c r="AL89" s="1390"/>
      <c r="AM89" s="1083"/>
      <c r="AN89" s="1083"/>
      <c r="AO89" s="1083"/>
      <c r="AP89" s="1083"/>
      <c r="AQ89" s="1083"/>
      <c r="AR89" s="1083"/>
      <c r="AS89" s="1083"/>
      <c r="AT89" s="1083"/>
      <c r="AU89" s="1083"/>
      <c r="AV89" s="1083"/>
      <c r="AW89" s="1083"/>
      <c r="AX89" s="1083"/>
      <c r="AY89" s="1083"/>
      <c r="AZ89" s="1083"/>
      <c r="BA89" s="1083"/>
      <c r="BB89" s="1083"/>
      <c r="BC89" s="1083"/>
      <c r="BD89" s="1083"/>
      <c r="BE89" s="1083"/>
      <c r="BF89" s="1083"/>
      <c r="BG89" s="1083"/>
      <c r="BH89" s="1083"/>
      <c r="BI89" s="1083"/>
      <c r="BJ89" s="1083"/>
      <c r="BK89" s="1083"/>
      <c r="BL89" s="1083"/>
      <c r="BM89" s="1083"/>
      <c r="BN89" s="1083"/>
      <c r="BO89" s="1083"/>
      <c r="BP89" s="1083"/>
      <c r="BQ89" s="1083"/>
      <c r="BR89" s="100"/>
      <c r="BS89" s="100"/>
      <c r="BT89" s="100"/>
      <c r="BU89" s="100"/>
      <c r="BV89" s="100"/>
      <c r="BW89" s="100"/>
      <c r="BX89" s="100"/>
      <c r="BY89" s="100"/>
    </row>
    <row r="90" spans="1:77">
      <c r="A90" s="1083"/>
      <c r="B90" s="1083"/>
      <c r="C90" s="1083"/>
      <c r="D90" s="1083"/>
      <c r="E90" s="1083"/>
      <c r="F90" s="1083"/>
      <c r="G90" s="1083"/>
      <c r="H90" s="1083"/>
      <c r="I90" s="1083"/>
      <c r="J90" s="1083"/>
      <c r="K90" s="1083"/>
      <c r="L90" s="1083"/>
      <c r="M90" s="1083"/>
      <c r="N90" s="1083"/>
      <c r="O90" s="1083"/>
      <c r="P90" s="1083"/>
      <c r="Q90" s="1083"/>
      <c r="R90" s="1083"/>
      <c r="S90" s="1083"/>
      <c r="T90" s="1083"/>
      <c r="U90" s="1083"/>
      <c r="V90" s="1083"/>
      <c r="W90" s="1083"/>
      <c r="X90" s="1083"/>
      <c r="Y90" s="1083"/>
      <c r="Z90" s="1083"/>
      <c r="AA90" s="1083"/>
      <c r="AB90" s="1083"/>
      <c r="AC90" s="1389"/>
      <c r="AD90" s="1083"/>
      <c r="AE90" s="1389"/>
      <c r="AF90" s="1083"/>
      <c r="AG90" s="1083"/>
      <c r="AH90" s="1083"/>
      <c r="AI90" s="1083"/>
      <c r="AJ90" s="1083"/>
      <c r="AK90" s="1083"/>
      <c r="AL90" s="1390"/>
      <c r="AM90" s="1083"/>
      <c r="AN90" s="1083"/>
      <c r="AO90" s="1083"/>
      <c r="AP90" s="1083"/>
      <c r="AQ90" s="1083"/>
      <c r="AR90" s="1083"/>
      <c r="AS90" s="1083"/>
      <c r="AT90" s="1083"/>
      <c r="AU90" s="1083"/>
      <c r="AV90" s="1083"/>
      <c r="AW90" s="1083"/>
      <c r="AX90" s="1083"/>
      <c r="AY90" s="1083"/>
      <c r="AZ90" s="1083"/>
      <c r="BA90" s="1083"/>
      <c r="BB90" s="1083"/>
      <c r="BC90" s="1083"/>
      <c r="BD90" s="1083"/>
      <c r="BE90" s="1083"/>
      <c r="BF90" s="1083"/>
      <c r="BG90" s="1083"/>
      <c r="BH90" s="1083"/>
      <c r="BI90" s="1083"/>
      <c r="BJ90" s="1083"/>
      <c r="BK90" s="1083"/>
      <c r="BL90" s="1083"/>
      <c r="BM90" s="1083"/>
      <c r="BN90" s="1083"/>
      <c r="BO90" s="1083"/>
      <c r="BP90" s="1083"/>
      <c r="BQ90" s="1083"/>
      <c r="BR90" s="100"/>
      <c r="BS90" s="100"/>
      <c r="BT90" s="100"/>
      <c r="BU90" s="100"/>
      <c r="BV90" s="100"/>
      <c r="BW90" s="100"/>
      <c r="BX90" s="100"/>
      <c r="BY90" s="100"/>
    </row>
    <row r="91" spans="1:77">
      <c r="A91" s="1083"/>
      <c r="B91" s="1083"/>
      <c r="C91" s="1083"/>
      <c r="D91" s="1083"/>
      <c r="E91" s="1083"/>
      <c r="F91" s="1083"/>
      <c r="G91" s="1083"/>
      <c r="H91" s="1083"/>
      <c r="I91" s="1083"/>
      <c r="J91" s="1083"/>
      <c r="K91" s="1083"/>
      <c r="L91" s="1083"/>
      <c r="M91" s="1083"/>
      <c r="N91" s="1083"/>
      <c r="O91" s="1083"/>
      <c r="P91" s="1083"/>
      <c r="Q91" s="1083"/>
      <c r="R91" s="1083"/>
      <c r="S91" s="1083"/>
      <c r="T91" s="1083"/>
      <c r="U91" s="1083"/>
      <c r="V91" s="1083"/>
      <c r="W91" s="1083"/>
      <c r="X91" s="1083"/>
      <c r="Y91" s="1083"/>
      <c r="Z91" s="1083"/>
      <c r="AA91" s="1083"/>
      <c r="AB91" s="1083"/>
      <c r="AC91" s="1389"/>
      <c r="AD91" s="1083"/>
      <c r="AE91" s="1389"/>
      <c r="AF91" s="1083"/>
      <c r="AG91" s="1083"/>
      <c r="AH91" s="1083"/>
      <c r="AI91" s="1083"/>
      <c r="AJ91" s="1083"/>
      <c r="AK91" s="1083"/>
      <c r="AL91" s="1390"/>
      <c r="AM91" s="1083"/>
      <c r="AN91" s="1083"/>
      <c r="AO91" s="1083"/>
      <c r="AP91" s="1083"/>
      <c r="AQ91" s="1083"/>
      <c r="AR91" s="1083"/>
      <c r="AS91" s="1083"/>
      <c r="AT91" s="1083"/>
      <c r="AU91" s="1083"/>
      <c r="AV91" s="1083"/>
      <c r="AW91" s="1083"/>
      <c r="AX91" s="1083"/>
      <c r="AY91" s="1083"/>
      <c r="AZ91" s="1083"/>
      <c r="BA91" s="1083"/>
      <c r="BB91" s="1083"/>
      <c r="BC91" s="1083"/>
      <c r="BD91" s="1083"/>
      <c r="BE91" s="1083"/>
      <c r="BF91" s="1083"/>
      <c r="BG91" s="1083"/>
      <c r="BH91" s="1083"/>
      <c r="BI91" s="1083"/>
      <c r="BJ91" s="1083"/>
      <c r="BK91" s="1083"/>
      <c r="BL91" s="1083"/>
      <c r="BM91" s="1083"/>
      <c r="BN91" s="1083"/>
      <c r="BO91" s="1083"/>
      <c r="BP91" s="1083"/>
      <c r="BQ91" s="1083"/>
      <c r="BR91" s="100"/>
      <c r="BS91" s="100"/>
      <c r="BT91" s="100"/>
      <c r="BU91" s="100"/>
      <c r="BV91" s="100"/>
      <c r="BW91" s="100"/>
      <c r="BX91" s="100"/>
      <c r="BY91" s="100"/>
    </row>
    <row r="92" spans="1:77">
      <c r="A92" s="1083"/>
      <c r="B92" s="1083"/>
      <c r="C92" s="1083"/>
      <c r="D92" s="1083"/>
      <c r="E92" s="1083"/>
      <c r="F92" s="1083"/>
      <c r="G92" s="1083"/>
      <c r="H92" s="1083"/>
      <c r="I92" s="1083"/>
      <c r="J92" s="1083"/>
      <c r="K92" s="1083"/>
      <c r="L92" s="1083"/>
      <c r="M92" s="1083"/>
      <c r="N92" s="1083"/>
      <c r="O92" s="1083"/>
      <c r="P92" s="1083"/>
      <c r="Q92" s="1083"/>
      <c r="R92" s="1083"/>
      <c r="S92" s="1083"/>
      <c r="T92" s="1083"/>
      <c r="U92" s="1083"/>
      <c r="V92" s="1083"/>
      <c r="W92" s="1083"/>
      <c r="X92" s="1083"/>
      <c r="Y92" s="1083"/>
      <c r="Z92" s="1083"/>
      <c r="AA92" s="1083"/>
      <c r="AB92" s="1083"/>
      <c r="AC92" s="1389"/>
      <c r="AD92" s="1083"/>
      <c r="AE92" s="1389"/>
      <c r="AF92" s="1083"/>
      <c r="AG92" s="1083"/>
      <c r="AH92" s="1083"/>
      <c r="AI92" s="1083"/>
      <c r="AJ92" s="1083"/>
      <c r="AK92" s="1083"/>
      <c r="AL92" s="1390"/>
      <c r="AM92" s="1083"/>
      <c r="AN92" s="1083"/>
      <c r="AO92" s="1083"/>
      <c r="AP92" s="1083"/>
      <c r="AQ92" s="1083"/>
      <c r="AR92" s="1083"/>
      <c r="AS92" s="1083"/>
      <c r="AT92" s="1083"/>
      <c r="AU92" s="1083"/>
      <c r="AV92" s="1083"/>
      <c r="AW92" s="1083"/>
      <c r="AX92" s="1083"/>
      <c r="AY92" s="1083"/>
      <c r="AZ92" s="1083"/>
      <c r="BA92" s="1083"/>
      <c r="BB92" s="1083"/>
      <c r="BC92" s="1083"/>
      <c r="BD92" s="1083"/>
      <c r="BE92" s="1083"/>
      <c r="BF92" s="1083"/>
      <c r="BG92" s="1083"/>
      <c r="BH92" s="1083"/>
      <c r="BI92" s="1083"/>
      <c r="BJ92" s="1083"/>
      <c r="BK92" s="1083"/>
      <c r="BL92" s="1083"/>
      <c r="BM92" s="1083"/>
      <c r="BN92" s="1083"/>
      <c r="BO92" s="1083"/>
      <c r="BP92" s="1083"/>
      <c r="BQ92" s="1083"/>
      <c r="BR92" s="100"/>
      <c r="BS92" s="100"/>
      <c r="BT92" s="100"/>
      <c r="BU92" s="100"/>
      <c r="BV92" s="100"/>
      <c r="BW92" s="100"/>
      <c r="BX92" s="100"/>
      <c r="BY92" s="100"/>
    </row>
    <row r="93" spans="1:77">
      <c r="A93" s="1083"/>
      <c r="B93" s="1083"/>
      <c r="C93" s="1083"/>
      <c r="D93" s="1083"/>
      <c r="E93" s="1083"/>
      <c r="F93" s="1083"/>
      <c r="G93" s="1083"/>
      <c r="H93" s="1083"/>
      <c r="I93" s="1083"/>
      <c r="J93" s="1083"/>
      <c r="K93" s="1083"/>
      <c r="L93" s="1083"/>
      <c r="M93" s="1083"/>
      <c r="N93" s="1083"/>
      <c r="O93" s="1083"/>
      <c r="P93" s="1083"/>
      <c r="Q93" s="1083"/>
      <c r="R93" s="1083"/>
      <c r="S93" s="1083"/>
      <c r="T93" s="1083"/>
      <c r="U93" s="1083"/>
      <c r="V93" s="1083"/>
      <c r="W93" s="1083"/>
      <c r="X93" s="1083"/>
      <c r="Y93" s="1083"/>
      <c r="Z93" s="1083"/>
      <c r="AA93" s="1083"/>
      <c r="AB93" s="1083"/>
      <c r="AC93" s="1389"/>
      <c r="AD93" s="1083"/>
      <c r="AE93" s="1389"/>
      <c r="AF93" s="1083"/>
      <c r="AG93" s="1083"/>
      <c r="AH93" s="1083"/>
      <c r="AI93" s="1083"/>
      <c r="AJ93" s="1083"/>
      <c r="AK93" s="1083"/>
      <c r="AL93" s="1390"/>
      <c r="AM93" s="1083"/>
      <c r="AN93" s="1083"/>
      <c r="AO93" s="1083"/>
      <c r="AP93" s="1083"/>
      <c r="AQ93" s="1083"/>
      <c r="AR93" s="1083"/>
      <c r="AS93" s="1083"/>
      <c r="AT93" s="1083"/>
      <c r="AU93" s="1083"/>
      <c r="AV93" s="1083"/>
      <c r="AW93" s="1083"/>
      <c r="AX93" s="1083"/>
      <c r="AY93" s="1083"/>
      <c r="AZ93" s="1083"/>
      <c r="BA93" s="1083"/>
      <c r="BB93" s="1083"/>
      <c r="BC93" s="1083"/>
      <c r="BD93" s="1083"/>
      <c r="BE93" s="1083"/>
      <c r="BF93" s="1083"/>
      <c r="BG93" s="1083"/>
      <c r="BH93" s="1083"/>
      <c r="BI93" s="1083"/>
      <c r="BJ93" s="1083"/>
      <c r="BK93" s="1083"/>
      <c r="BL93" s="1083"/>
      <c r="BM93" s="1083"/>
      <c r="BN93" s="1083"/>
      <c r="BO93" s="1083"/>
      <c r="BP93" s="1083"/>
      <c r="BQ93" s="1083"/>
      <c r="BR93" s="100"/>
      <c r="BS93" s="100"/>
      <c r="BT93" s="100"/>
      <c r="BU93" s="100"/>
      <c r="BV93" s="100"/>
      <c r="BW93" s="100"/>
      <c r="BX93" s="100"/>
      <c r="BY93" s="100"/>
    </row>
    <row r="94" spans="1:77" ht="13.15" customHeight="1">
      <c r="A94" s="1083"/>
      <c r="B94" s="1083"/>
      <c r="C94" s="1083"/>
      <c r="D94" s="1083"/>
      <c r="E94" s="1083"/>
      <c r="F94" s="1083"/>
      <c r="G94" s="1083"/>
      <c r="H94" s="1083"/>
      <c r="I94" s="1083"/>
      <c r="J94" s="1083"/>
      <c r="K94" s="1083"/>
      <c r="L94" s="1083"/>
      <c r="M94" s="1083"/>
      <c r="N94" s="1083"/>
      <c r="O94" s="1083"/>
      <c r="P94" s="1083"/>
      <c r="Q94" s="1083"/>
      <c r="R94" s="1083"/>
      <c r="S94" s="1083"/>
      <c r="T94" s="1083"/>
      <c r="U94" s="1083"/>
      <c r="V94" s="1083"/>
      <c r="W94" s="1083"/>
      <c r="X94" s="1083"/>
      <c r="Y94" s="1083"/>
      <c r="Z94" s="1083"/>
      <c r="AA94" s="1083"/>
      <c r="AB94" s="2324" t="s">
        <v>680</v>
      </c>
      <c r="AC94" s="2315" t="s">
        <v>719</v>
      </c>
      <c r="AD94" s="2315" t="s">
        <v>680</v>
      </c>
      <c r="AE94" s="2315" t="s">
        <v>719</v>
      </c>
      <c r="AF94" s="1534"/>
      <c r="AG94" s="1083"/>
      <c r="AH94" s="1083"/>
      <c r="AI94" s="1083"/>
      <c r="AJ94" s="1083"/>
      <c r="AK94" s="1083"/>
      <c r="AL94" s="1390"/>
      <c r="AM94" s="1083"/>
      <c r="AN94" s="1083"/>
      <c r="AO94" s="1083"/>
      <c r="AP94" s="1083"/>
      <c r="AQ94" s="1083"/>
      <c r="AR94" s="1083"/>
      <c r="AS94" s="1083"/>
      <c r="AT94" s="1083"/>
      <c r="AU94" s="1083"/>
      <c r="AV94" s="1083"/>
      <c r="AW94" s="1083"/>
      <c r="AX94" s="1083"/>
      <c r="AY94" s="1083"/>
      <c r="AZ94" s="1083"/>
      <c r="BA94" s="1083"/>
      <c r="BB94" s="1083"/>
      <c r="BC94" s="1083"/>
      <c r="BD94" s="1083"/>
      <c r="BE94" s="1083"/>
      <c r="BF94" s="1083"/>
      <c r="BG94" s="1083"/>
      <c r="BH94" s="1083"/>
      <c r="BI94" s="1083"/>
      <c r="BJ94" s="1083"/>
      <c r="BK94" s="1083"/>
      <c r="BL94" s="1083"/>
      <c r="BM94" s="1083"/>
      <c r="BN94" s="1083"/>
      <c r="BO94" s="1083"/>
      <c r="BP94" s="1083"/>
      <c r="BQ94" s="1083"/>
      <c r="BR94" s="100"/>
      <c r="BS94" s="100"/>
      <c r="BT94" s="100"/>
      <c r="BU94" s="100"/>
      <c r="BV94" s="100"/>
      <c r="BW94" s="100"/>
      <c r="BX94" s="100"/>
      <c r="BY94" s="100"/>
    </row>
    <row r="95" spans="1:77" ht="13.5" customHeight="1">
      <c r="A95" s="1083"/>
      <c r="B95" s="1083"/>
      <c r="C95" s="1083"/>
      <c r="D95" s="1083"/>
      <c r="E95" s="1083"/>
      <c r="F95" s="1083"/>
      <c r="G95" s="1083"/>
      <c r="H95" s="1083"/>
      <c r="I95" s="1083"/>
      <c r="J95" s="1083"/>
      <c r="K95" s="1083"/>
      <c r="L95" s="1083"/>
      <c r="M95" s="1083"/>
      <c r="N95" s="1083"/>
      <c r="O95" s="1083"/>
      <c r="P95" s="1083"/>
      <c r="Q95" s="1083"/>
      <c r="R95" s="1083"/>
      <c r="S95" s="1083"/>
      <c r="T95" s="1083"/>
      <c r="U95" s="1083"/>
      <c r="V95" s="1083"/>
      <c r="W95" s="1083"/>
      <c r="X95" s="1083"/>
      <c r="Y95" s="1083"/>
      <c r="Z95" s="1083"/>
      <c r="AA95" s="1083"/>
      <c r="AB95" s="2325"/>
      <c r="AC95" s="2316"/>
      <c r="AD95" s="2316"/>
      <c r="AE95" s="2316"/>
      <c r="AF95" s="2366" t="s">
        <v>689</v>
      </c>
      <c r="AG95" s="1083"/>
      <c r="AH95" s="1083"/>
      <c r="AI95" s="1083"/>
      <c r="AJ95" s="1083"/>
      <c r="AK95" s="1083"/>
      <c r="AL95" s="1390"/>
      <c r="AM95" s="1083"/>
      <c r="AN95" s="1083"/>
      <c r="AO95" s="1083"/>
      <c r="AP95" s="1083"/>
      <c r="AQ95" s="1083"/>
      <c r="AR95" s="1083"/>
      <c r="AS95" s="1083"/>
      <c r="AT95" s="1083"/>
      <c r="AU95" s="1083"/>
      <c r="AV95" s="1083"/>
      <c r="AW95" s="1083"/>
      <c r="AX95" s="1083"/>
      <c r="AY95" s="1083"/>
      <c r="AZ95" s="1083"/>
      <c r="BA95" s="1083"/>
      <c r="BB95" s="1083"/>
      <c r="BC95" s="1083"/>
      <c r="BD95" s="1083"/>
      <c r="BE95" s="1083"/>
      <c r="BF95" s="1083"/>
      <c r="BG95" s="1083"/>
      <c r="BH95" s="1083"/>
      <c r="BI95" s="1083"/>
      <c r="BJ95" s="1083"/>
      <c r="BK95" s="1083"/>
      <c r="BL95" s="1083"/>
      <c r="BM95" s="1083"/>
      <c r="BN95" s="1083"/>
      <c r="BO95" s="1083"/>
      <c r="BP95" s="1083"/>
      <c r="BQ95" s="1083"/>
      <c r="BR95" s="100"/>
      <c r="BS95" s="100"/>
      <c r="BT95" s="100"/>
      <c r="BU95" s="100"/>
      <c r="BV95" s="100"/>
      <c r="BW95" s="100"/>
      <c r="BX95" s="100"/>
      <c r="BY95" s="100"/>
    </row>
    <row r="96" spans="1:77" ht="15.95" customHeight="1">
      <c r="A96" s="1083"/>
      <c r="B96" s="1083"/>
      <c r="C96" s="1083"/>
      <c r="D96" s="1083"/>
      <c r="E96" s="1083"/>
      <c r="F96" s="1083"/>
      <c r="G96" s="1083"/>
      <c r="H96" s="1083"/>
      <c r="I96" s="1083"/>
      <c r="J96" s="1083"/>
      <c r="K96" s="1083"/>
      <c r="L96" s="1083"/>
      <c r="M96" s="1083"/>
      <c r="N96" s="1083"/>
      <c r="O96" s="1083"/>
      <c r="P96" s="1083"/>
      <c r="Q96" s="1083"/>
      <c r="R96" s="1083"/>
      <c r="S96" s="1083"/>
      <c r="T96" s="1083"/>
      <c r="U96" s="1083"/>
      <c r="V96" s="1083"/>
      <c r="W96" s="1083"/>
      <c r="X96" s="1083"/>
      <c r="Y96" s="1083"/>
      <c r="Z96" s="1083"/>
      <c r="AA96" s="1083"/>
      <c r="AB96" s="1485" t="s">
        <v>681</v>
      </c>
      <c r="AC96" s="1543">
        <f>AM15</f>
        <v>0</v>
      </c>
      <c r="AD96" s="1544" t="s">
        <v>681</v>
      </c>
      <c r="AE96" s="1543">
        <f>AC96</f>
        <v>0</v>
      </c>
      <c r="AF96" s="2367"/>
      <c r="AG96" s="1083"/>
      <c r="AH96" s="1083"/>
      <c r="AI96" s="1083"/>
      <c r="AJ96" s="1083"/>
      <c r="AK96" s="1083"/>
      <c r="AL96" s="1390"/>
      <c r="AM96" s="1083"/>
      <c r="AN96" s="1083"/>
      <c r="AO96" s="1083"/>
      <c r="AP96" s="1083"/>
      <c r="AQ96" s="1083"/>
      <c r="AR96" s="1083"/>
      <c r="AS96" s="1083"/>
      <c r="AT96" s="1083"/>
      <c r="AU96" s="1083"/>
      <c r="AV96" s="1083"/>
      <c r="AW96" s="1083"/>
      <c r="AX96" s="1083"/>
      <c r="AY96" s="1083"/>
      <c r="AZ96" s="1083"/>
      <c r="BA96" s="1083"/>
      <c r="BB96" s="1083"/>
      <c r="BC96" s="1083"/>
      <c r="BD96" s="1083"/>
      <c r="BE96" s="1083"/>
      <c r="BF96" s="1083"/>
      <c r="BG96" s="1083"/>
      <c r="BH96" s="1083"/>
      <c r="BI96" s="1083"/>
      <c r="BJ96" s="1083"/>
      <c r="BK96" s="1083"/>
      <c r="BL96" s="1083"/>
      <c r="BM96" s="1083"/>
      <c r="BN96" s="1083"/>
      <c r="BO96" s="1083"/>
      <c r="BP96" s="1083"/>
      <c r="BQ96" s="1083"/>
      <c r="BR96" s="100"/>
      <c r="BS96" s="100"/>
      <c r="BT96" s="100"/>
      <c r="BU96" s="100"/>
      <c r="BV96" s="100"/>
      <c r="BW96" s="100"/>
      <c r="BX96" s="100"/>
      <c r="BY96" s="100"/>
    </row>
    <row r="97" spans="1:77" ht="15.95" customHeight="1">
      <c r="A97" s="1083"/>
      <c r="B97" s="1083"/>
      <c r="C97" s="1083"/>
      <c r="D97" s="1083"/>
      <c r="E97" s="1083"/>
      <c r="F97" s="1083"/>
      <c r="G97" s="1083"/>
      <c r="H97" s="1083"/>
      <c r="I97" s="1083"/>
      <c r="J97" s="1083"/>
      <c r="K97" s="1083"/>
      <c r="L97" s="1083"/>
      <c r="M97" s="1083"/>
      <c r="N97" s="1083"/>
      <c r="O97" s="1083"/>
      <c r="P97" s="1083"/>
      <c r="Q97" s="1083"/>
      <c r="R97" s="1083"/>
      <c r="S97" s="1083"/>
      <c r="T97" s="1083"/>
      <c r="U97" s="1083"/>
      <c r="V97" s="1083"/>
      <c r="W97" s="1083"/>
      <c r="X97" s="1083"/>
      <c r="Y97" s="1083"/>
      <c r="Z97" s="1083"/>
      <c r="AA97" s="1083"/>
      <c r="AB97" s="1485" t="s">
        <v>710</v>
      </c>
      <c r="AC97" s="1543">
        <f>AN15</f>
        <v>0</v>
      </c>
      <c r="AD97" s="1544" t="s">
        <v>710</v>
      </c>
      <c r="AE97" s="1543">
        <v>0</v>
      </c>
      <c r="AF97" s="2367"/>
      <c r="AG97" s="1083"/>
      <c r="AH97" s="1083"/>
      <c r="AI97" s="1083"/>
      <c r="AJ97" s="1083"/>
      <c r="AK97" s="1083"/>
      <c r="AL97" s="1390"/>
      <c r="AM97" s="1083"/>
      <c r="AN97" s="1083"/>
      <c r="AO97" s="1083"/>
      <c r="AP97" s="1083"/>
      <c r="AQ97" s="1083"/>
      <c r="AR97" s="1083"/>
      <c r="AS97" s="1083"/>
      <c r="AT97" s="1083"/>
      <c r="AU97" s="1083"/>
      <c r="AV97" s="1083"/>
      <c r="AW97" s="1083"/>
      <c r="AX97" s="1083"/>
      <c r="AY97" s="1083"/>
      <c r="AZ97" s="1083"/>
      <c r="BA97" s="1083"/>
      <c r="BB97" s="1083"/>
      <c r="BC97" s="1083"/>
      <c r="BD97" s="1083"/>
      <c r="BE97" s="1083"/>
      <c r="BF97" s="1083"/>
      <c r="BG97" s="1083"/>
      <c r="BH97" s="1083"/>
      <c r="BI97" s="1083"/>
      <c r="BJ97" s="1083"/>
      <c r="BK97" s="1083"/>
      <c r="BL97" s="1083"/>
      <c r="BM97" s="1083"/>
      <c r="BN97" s="1083"/>
      <c r="BO97" s="1083"/>
      <c r="BP97" s="1083"/>
      <c r="BQ97" s="1083"/>
      <c r="BR97" s="100"/>
      <c r="BS97" s="100"/>
      <c r="BT97" s="100"/>
      <c r="BU97" s="100"/>
      <c r="BV97" s="100"/>
      <c r="BW97" s="100"/>
      <c r="BX97" s="100"/>
      <c r="BY97" s="100"/>
    </row>
    <row r="98" spans="1:77" ht="15.95" customHeight="1">
      <c r="A98" s="1083"/>
      <c r="B98" s="1083"/>
      <c r="C98" s="1083"/>
      <c r="D98" s="1083"/>
      <c r="E98" s="1083"/>
      <c r="F98" s="1083"/>
      <c r="G98" s="1083"/>
      <c r="H98" s="1083"/>
      <c r="I98" s="1083"/>
      <c r="J98" s="1083"/>
      <c r="K98" s="1083"/>
      <c r="L98" s="1083"/>
      <c r="M98" s="1083"/>
      <c r="N98" s="1083"/>
      <c r="O98" s="1083"/>
      <c r="P98" s="1083"/>
      <c r="Q98" s="1083"/>
      <c r="R98" s="1083"/>
      <c r="S98" s="1083"/>
      <c r="T98" s="1083"/>
      <c r="U98" s="1083"/>
      <c r="V98" s="1083"/>
      <c r="W98" s="1083"/>
      <c r="X98" s="1083"/>
      <c r="Y98" s="1083"/>
      <c r="Z98" s="1083"/>
      <c r="AA98" s="1083"/>
      <c r="AB98" s="1492" t="s">
        <v>682</v>
      </c>
      <c r="AC98" s="1621">
        <f>SUM(AC96:AC97)</f>
        <v>0</v>
      </c>
      <c r="AD98" s="1493" t="s">
        <v>682</v>
      </c>
      <c r="AE98" s="1621">
        <f>SUM(AE96:AE97)</f>
        <v>0</v>
      </c>
      <c r="AF98" s="2367"/>
      <c r="AG98" s="1083"/>
      <c r="AH98" s="1083"/>
      <c r="AI98" s="1083"/>
      <c r="AJ98" s="1083"/>
      <c r="AK98" s="1083"/>
      <c r="AL98" s="1390"/>
      <c r="AM98" s="1083"/>
      <c r="AN98" s="1083"/>
      <c r="AO98" s="1083"/>
      <c r="AP98" s="1083"/>
      <c r="AQ98" s="1083"/>
      <c r="AR98" s="1083"/>
      <c r="AS98" s="1083"/>
      <c r="AT98" s="1083"/>
      <c r="AU98" s="1083"/>
      <c r="AV98" s="1083"/>
      <c r="AW98" s="1083"/>
      <c r="AX98" s="1083"/>
      <c r="AY98" s="1083"/>
      <c r="AZ98" s="1083"/>
      <c r="BA98" s="1083"/>
      <c r="BB98" s="1083"/>
      <c r="BC98" s="1083"/>
      <c r="BD98" s="1083"/>
      <c r="BE98" s="1083"/>
      <c r="BF98" s="1083"/>
      <c r="BG98" s="1083"/>
      <c r="BH98" s="1083"/>
      <c r="BI98" s="1083"/>
      <c r="BJ98" s="1083"/>
      <c r="BK98" s="1083"/>
      <c r="BL98" s="1083"/>
      <c r="BM98" s="1083"/>
      <c r="BN98" s="1083"/>
      <c r="BO98" s="1083"/>
      <c r="BP98" s="1083"/>
      <c r="BQ98" s="1083"/>
      <c r="BR98" s="100"/>
      <c r="BS98" s="100"/>
      <c r="BT98" s="100"/>
      <c r="BU98" s="100"/>
      <c r="BV98" s="100"/>
      <c r="BW98" s="100"/>
      <c r="BX98" s="100"/>
      <c r="BY98" s="100"/>
    </row>
    <row r="99" spans="1:77" ht="15.95" customHeight="1">
      <c r="A99" s="1083"/>
      <c r="B99" s="1083"/>
      <c r="C99" s="1083"/>
      <c r="D99" s="1083"/>
      <c r="E99" s="1083"/>
      <c r="F99" s="1083"/>
      <c r="G99" s="1083"/>
      <c r="H99" s="1083"/>
      <c r="I99" s="1083"/>
      <c r="J99" s="1083"/>
      <c r="K99" s="1083"/>
      <c r="L99" s="1083"/>
      <c r="M99" s="1083"/>
      <c r="N99" s="1083"/>
      <c r="O99" s="1083"/>
      <c r="P99" s="1083"/>
      <c r="Q99" s="1083"/>
      <c r="R99" s="1083"/>
      <c r="S99" s="1083"/>
      <c r="T99" s="1083"/>
      <c r="U99" s="1083"/>
      <c r="V99" s="1083"/>
      <c r="W99" s="1083"/>
      <c r="X99" s="1083"/>
      <c r="Y99" s="1083"/>
      <c r="Z99" s="1083"/>
      <c r="AA99" s="1083"/>
      <c r="AB99" s="1411" t="s">
        <v>683</v>
      </c>
      <c r="AC99" s="1412">
        <v>0</v>
      </c>
      <c r="AD99" s="1411" t="s">
        <v>683</v>
      </c>
      <c r="AE99" s="1412">
        <v>0</v>
      </c>
      <c r="AF99" s="2367"/>
      <c r="AG99" s="1420">
        <f>AC98-250000</f>
        <v>-250000</v>
      </c>
      <c r="AH99" s="1421">
        <f>IF(AG99&gt;250000,250000,AG99)</f>
        <v>-250000</v>
      </c>
      <c r="AI99" s="1420">
        <f>AE98-250000</f>
        <v>-250000</v>
      </c>
      <c r="AJ99" s="1421">
        <f>IF(AI99&gt;250000,250000,AI99)</f>
        <v>-250000</v>
      </c>
      <c r="AK99" s="1083"/>
      <c r="AL99" s="1390"/>
      <c r="AM99" s="1083"/>
      <c r="AN99" s="1083"/>
      <c r="AO99" s="1083"/>
      <c r="AP99" s="1083"/>
      <c r="AQ99" s="1083"/>
      <c r="AR99" s="1083"/>
      <c r="AS99" s="1083"/>
      <c r="AT99" s="1083"/>
      <c r="AU99" s="1083"/>
      <c r="AV99" s="1083"/>
      <c r="AW99" s="1083"/>
      <c r="AX99" s="1083"/>
      <c r="AY99" s="1083"/>
      <c r="AZ99" s="1083"/>
      <c r="BA99" s="1083"/>
      <c r="BB99" s="1083"/>
      <c r="BC99" s="1083"/>
      <c r="BD99" s="1083"/>
      <c r="BE99" s="1083"/>
      <c r="BF99" s="1083"/>
      <c r="BG99" s="1083"/>
      <c r="BH99" s="1083"/>
      <c r="BI99" s="1083"/>
      <c r="BJ99" s="1083"/>
      <c r="BK99" s="1083"/>
      <c r="BL99" s="1083"/>
      <c r="BM99" s="1083"/>
      <c r="BN99" s="1083"/>
      <c r="BO99" s="1083"/>
      <c r="BP99" s="1083"/>
      <c r="BQ99" s="1083"/>
      <c r="BR99" s="100"/>
      <c r="BS99" s="100"/>
      <c r="BT99" s="100"/>
      <c r="BU99" s="100"/>
      <c r="BV99" s="100"/>
      <c r="BW99" s="100"/>
      <c r="BX99" s="100"/>
      <c r="BY99" s="100"/>
    </row>
    <row r="100" spans="1:77" ht="15.95" customHeight="1">
      <c r="A100" s="1083"/>
      <c r="B100" s="1083"/>
      <c r="C100" s="1083"/>
      <c r="D100" s="1083"/>
      <c r="E100" s="1083"/>
      <c r="F100" s="1083"/>
      <c r="G100" s="1083"/>
      <c r="H100" s="1083"/>
      <c r="I100" s="1083"/>
      <c r="J100" s="1083"/>
      <c r="K100" s="1083"/>
      <c r="L100" s="1083"/>
      <c r="M100" s="1083"/>
      <c r="N100" s="1083"/>
      <c r="O100" s="1083"/>
      <c r="P100" s="1083"/>
      <c r="Q100" s="1083"/>
      <c r="R100" s="1083"/>
      <c r="S100" s="1083"/>
      <c r="T100" s="1083"/>
      <c r="U100" s="1083"/>
      <c r="V100" s="1083"/>
      <c r="W100" s="1083"/>
      <c r="X100" s="1083"/>
      <c r="Y100" s="1083"/>
      <c r="Z100" s="1083"/>
      <c r="AA100" s="1083"/>
      <c r="AB100" s="1417" t="s">
        <v>694</v>
      </c>
      <c r="AC100" s="1418">
        <f>IF(AH99&gt;0,AH99,0)*10%</f>
        <v>0</v>
      </c>
      <c r="AD100" s="1417" t="s">
        <v>694</v>
      </c>
      <c r="AE100" s="1418">
        <f>IF(AJ99&gt;0,AJ99,0)*10%</f>
        <v>0</v>
      </c>
      <c r="AF100" s="2367"/>
      <c r="AG100" s="1420">
        <f>AC98-500000</f>
        <v>-500000</v>
      </c>
      <c r="AH100" s="1421">
        <f>IF(AG100&gt;500000,500000,AG100)</f>
        <v>-500000</v>
      </c>
      <c r="AI100" s="1420">
        <f>AE98-500000</f>
        <v>-500000</v>
      </c>
      <c r="AJ100" s="1421">
        <f>IF(AI100&gt;500000,500000,AI100)</f>
        <v>-500000</v>
      </c>
      <c r="AK100" s="1083"/>
      <c r="AL100" s="1390"/>
      <c r="AM100" s="1083"/>
      <c r="AN100" s="1083"/>
      <c r="AO100" s="1083"/>
      <c r="AP100" s="1083"/>
      <c r="AQ100" s="1083"/>
      <c r="AR100" s="1083"/>
      <c r="AS100" s="1083"/>
      <c r="AT100" s="1083"/>
      <c r="AU100" s="1083"/>
      <c r="AV100" s="1083"/>
      <c r="AW100" s="1083"/>
      <c r="AX100" s="1083"/>
      <c r="AY100" s="1083"/>
      <c r="AZ100" s="1083"/>
      <c r="BA100" s="1083"/>
      <c r="BB100" s="1083"/>
      <c r="BC100" s="1083"/>
      <c r="BD100" s="1083"/>
      <c r="BE100" s="1083"/>
      <c r="BF100" s="1083"/>
      <c r="BG100" s="1083"/>
      <c r="BH100" s="1083"/>
      <c r="BI100" s="1083"/>
      <c r="BJ100" s="1083"/>
      <c r="BK100" s="1083"/>
      <c r="BL100" s="1083"/>
      <c r="BM100" s="1083"/>
      <c r="BN100" s="1083"/>
      <c r="BO100" s="1083"/>
      <c r="BP100" s="1083"/>
      <c r="BQ100" s="1083"/>
      <c r="BR100" s="100"/>
      <c r="BS100" s="100"/>
      <c r="BT100" s="100"/>
      <c r="BU100" s="100"/>
      <c r="BV100" s="100"/>
      <c r="BW100" s="100"/>
      <c r="BX100" s="100"/>
      <c r="BY100" s="100"/>
    </row>
    <row r="101" spans="1:77" ht="15.95" customHeight="1">
      <c r="A101" s="1083"/>
      <c r="B101" s="1083"/>
      <c r="C101" s="1083"/>
      <c r="D101" s="1083"/>
      <c r="E101" s="1083"/>
      <c r="F101" s="1083"/>
      <c r="G101" s="1083"/>
      <c r="H101" s="1083"/>
      <c r="I101" s="1083"/>
      <c r="J101" s="1083"/>
      <c r="K101" s="1083"/>
      <c r="L101" s="1083"/>
      <c r="M101" s="1083"/>
      <c r="N101" s="1083"/>
      <c r="O101" s="1083"/>
      <c r="P101" s="1083"/>
      <c r="Q101" s="1083"/>
      <c r="R101" s="1083"/>
      <c r="S101" s="1083"/>
      <c r="T101" s="1083"/>
      <c r="U101" s="1083"/>
      <c r="V101" s="1083"/>
      <c r="W101" s="1083"/>
      <c r="X101" s="1083"/>
      <c r="Y101" s="1083"/>
      <c r="Z101" s="1083"/>
      <c r="AA101" s="1083"/>
      <c r="AB101" s="1425" t="s">
        <v>693</v>
      </c>
      <c r="AC101" s="1418">
        <f>IF(AH100&gt;0,AH100,0)*20%</f>
        <v>0</v>
      </c>
      <c r="AD101" s="1425" t="s">
        <v>693</v>
      </c>
      <c r="AE101" s="1621">
        <f>IF(AJ100&gt;0,AJ100,0)*20%</f>
        <v>0</v>
      </c>
      <c r="AF101" s="2367"/>
      <c r="AG101" s="1420">
        <f>AC98-1000000</f>
        <v>-1000000</v>
      </c>
      <c r="AH101" s="1421">
        <f>IF(AG101&gt;500000,500000,AG101)</f>
        <v>-1000000</v>
      </c>
      <c r="AI101" s="1420">
        <f>AE98-1000000</f>
        <v>-1000000</v>
      </c>
      <c r="AJ101" s="1421">
        <f>IF(AI101&gt;500000,500000,AI101)</f>
        <v>-1000000</v>
      </c>
      <c r="AK101" s="1083"/>
      <c r="AL101" s="1390"/>
      <c r="AM101" s="1083"/>
      <c r="AN101" s="1083"/>
      <c r="AO101" s="1083"/>
      <c r="AP101" s="1083"/>
      <c r="AQ101" s="1083"/>
      <c r="AR101" s="1083"/>
      <c r="AS101" s="1083"/>
      <c r="AT101" s="1083"/>
      <c r="AU101" s="1083"/>
      <c r="AV101" s="1083"/>
      <c r="AW101" s="1083"/>
      <c r="AX101" s="1083"/>
      <c r="AY101" s="1083"/>
      <c r="AZ101" s="1083"/>
      <c r="BA101" s="1083"/>
      <c r="BB101" s="1083"/>
      <c r="BC101" s="1083"/>
      <c r="BD101" s="1083"/>
      <c r="BE101" s="1083"/>
      <c r="BF101" s="1083"/>
      <c r="BG101" s="1083"/>
      <c r="BH101" s="1083"/>
      <c r="BI101" s="1083"/>
      <c r="BJ101" s="1083"/>
      <c r="BK101" s="1083"/>
      <c r="BL101" s="1083"/>
      <c r="BM101" s="1083"/>
      <c r="BN101" s="1083"/>
      <c r="BO101" s="1083"/>
      <c r="BP101" s="1083"/>
      <c r="BQ101" s="1083"/>
      <c r="BR101" s="100"/>
      <c r="BS101" s="100"/>
      <c r="BT101" s="100"/>
      <c r="BU101" s="100"/>
      <c r="BV101" s="100"/>
      <c r="BW101" s="100"/>
      <c r="BX101" s="100"/>
      <c r="BY101" s="100"/>
    </row>
    <row r="102" spans="1:77" ht="15.95" customHeight="1">
      <c r="A102" s="1083"/>
      <c r="B102" s="1083"/>
      <c r="C102" s="1083"/>
      <c r="D102" s="1083"/>
      <c r="E102" s="1083"/>
      <c r="F102" s="1083"/>
      <c r="G102" s="1083"/>
      <c r="H102" s="1083"/>
      <c r="I102" s="1083"/>
      <c r="J102" s="1083"/>
      <c r="K102" s="1083"/>
      <c r="L102" s="1083"/>
      <c r="M102" s="1083"/>
      <c r="N102" s="1083"/>
      <c r="O102" s="1083"/>
      <c r="P102" s="1083"/>
      <c r="Q102" s="1083"/>
      <c r="R102" s="1083"/>
      <c r="S102" s="1083"/>
      <c r="T102" s="1083"/>
      <c r="U102" s="1083"/>
      <c r="V102" s="1083"/>
      <c r="W102" s="1083"/>
      <c r="X102" s="1083"/>
      <c r="Y102" s="1083"/>
      <c r="Z102" s="1083"/>
      <c r="AA102" s="1083"/>
      <c r="AB102" s="1559" t="s">
        <v>684</v>
      </c>
      <c r="AC102" s="1418">
        <f>IF(AH101&gt;0,AH101,0)*30%</f>
        <v>0</v>
      </c>
      <c r="AD102" s="1559" t="s">
        <v>684</v>
      </c>
      <c r="AE102" s="1621">
        <f>IF(AJ101&gt;0,AJ101,0)*30%</f>
        <v>0</v>
      </c>
      <c r="AF102" s="2367"/>
      <c r="AG102" s="1083"/>
      <c r="AH102" s="1083"/>
      <c r="AI102" s="1083"/>
      <c r="AJ102" s="1083"/>
      <c r="AK102" s="1083"/>
      <c r="AL102" s="1390"/>
      <c r="AM102" s="1083"/>
      <c r="AN102" s="1083"/>
      <c r="AO102" s="1083"/>
      <c r="AP102" s="1083"/>
      <c r="AQ102" s="1083"/>
      <c r="AR102" s="1083"/>
      <c r="AS102" s="1083"/>
      <c r="AT102" s="1083"/>
      <c r="AU102" s="1083"/>
      <c r="AV102" s="1083"/>
      <c r="AW102" s="1083"/>
      <c r="AX102" s="1083"/>
      <c r="AY102" s="1083"/>
      <c r="AZ102" s="1083"/>
      <c r="BA102" s="1083"/>
      <c r="BB102" s="1083"/>
      <c r="BC102" s="1083"/>
      <c r="BD102" s="1083"/>
      <c r="BE102" s="1083"/>
      <c r="BF102" s="1083"/>
      <c r="BG102" s="1083"/>
      <c r="BH102" s="1083"/>
      <c r="BI102" s="1083"/>
      <c r="BJ102" s="1083"/>
      <c r="BK102" s="1083"/>
      <c r="BL102" s="1083"/>
      <c r="BM102" s="1083"/>
      <c r="BN102" s="1083"/>
      <c r="BO102" s="1083"/>
      <c r="BP102" s="1083"/>
      <c r="BQ102" s="1083"/>
      <c r="BR102" s="100"/>
      <c r="BS102" s="100"/>
      <c r="BT102" s="100"/>
      <c r="BU102" s="100"/>
      <c r="BV102" s="100"/>
      <c r="BW102" s="100"/>
      <c r="BX102" s="100"/>
      <c r="BY102" s="100"/>
    </row>
    <row r="103" spans="1:77" ht="15.95" customHeight="1">
      <c r="A103" s="1083"/>
      <c r="B103" s="1083"/>
      <c r="C103" s="1083"/>
      <c r="D103" s="1083"/>
      <c r="E103" s="1083"/>
      <c r="F103" s="1083"/>
      <c r="G103" s="1083"/>
      <c r="H103" s="1083"/>
      <c r="I103" s="1083"/>
      <c r="J103" s="1083"/>
      <c r="K103" s="1083"/>
      <c r="L103" s="1083"/>
      <c r="M103" s="1083"/>
      <c r="N103" s="1083"/>
      <c r="O103" s="1083"/>
      <c r="P103" s="1083"/>
      <c r="Q103" s="1083"/>
      <c r="R103" s="1083"/>
      <c r="S103" s="1083"/>
      <c r="T103" s="1083"/>
      <c r="U103" s="1083"/>
      <c r="V103" s="1083"/>
      <c r="W103" s="1083"/>
      <c r="X103" s="1083"/>
      <c r="Y103" s="1083"/>
      <c r="Z103" s="1083"/>
      <c r="AA103" s="1083"/>
      <c r="AB103" s="1439" t="s">
        <v>685</v>
      </c>
      <c r="AC103" s="1560">
        <f>IF(AC98&gt;500000,0,2000)</f>
        <v>2000</v>
      </c>
      <c r="AD103" s="1439" t="s">
        <v>685</v>
      </c>
      <c r="AE103" s="1560">
        <f>IF(AE98&gt;500000,0,2000)</f>
        <v>2000</v>
      </c>
      <c r="AF103" s="2367"/>
      <c r="AG103" s="1083"/>
      <c r="AH103" s="1083"/>
      <c r="AI103" s="1083"/>
      <c r="AJ103" s="1083"/>
      <c r="AK103" s="1083"/>
      <c r="AL103" s="1390"/>
      <c r="AM103" s="1083"/>
      <c r="AN103" s="1083"/>
      <c r="AO103" s="1083"/>
      <c r="AP103" s="1083"/>
      <c r="AQ103" s="1083"/>
      <c r="AR103" s="1083"/>
      <c r="AS103" s="1083"/>
      <c r="AT103" s="1083"/>
      <c r="AU103" s="1083"/>
      <c r="AV103" s="1083"/>
      <c r="AW103" s="1083"/>
      <c r="AX103" s="1083"/>
      <c r="AY103" s="1083"/>
      <c r="AZ103" s="1083"/>
      <c r="BA103" s="1083"/>
      <c r="BB103" s="1083"/>
      <c r="BC103" s="1083"/>
      <c r="BD103" s="1083"/>
      <c r="BE103" s="1083"/>
      <c r="BF103" s="1083"/>
      <c r="BG103" s="1083"/>
      <c r="BH103" s="1083"/>
      <c r="BI103" s="1083"/>
      <c r="BJ103" s="1083"/>
      <c r="BK103" s="1083"/>
      <c r="BL103" s="1083"/>
      <c r="BM103" s="1083"/>
      <c r="BN103" s="1083"/>
      <c r="BO103" s="1083"/>
      <c r="BP103" s="1083"/>
      <c r="BQ103" s="1083"/>
      <c r="BR103" s="100"/>
      <c r="BS103" s="100"/>
      <c r="BT103" s="100"/>
      <c r="BU103" s="100"/>
      <c r="BV103" s="100"/>
      <c r="BW103" s="100"/>
      <c r="BX103" s="100"/>
      <c r="BY103" s="100"/>
    </row>
    <row r="104" spans="1:77" ht="15.95" customHeight="1">
      <c r="A104" s="1083"/>
      <c r="B104" s="1083"/>
      <c r="C104" s="1083"/>
      <c r="D104" s="1083"/>
      <c r="E104" s="1083"/>
      <c r="F104" s="1083"/>
      <c r="G104" s="1083"/>
      <c r="H104" s="1083"/>
      <c r="I104" s="1083"/>
      <c r="J104" s="1083"/>
      <c r="K104" s="1083"/>
      <c r="L104" s="1083"/>
      <c r="M104" s="1083"/>
      <c r="N104" s="1083"/>
      <c r="O104" s="1083"/>
      <c r="P104" s="1083"/>
      <c r="Q104" s="1083"/>
      <c r="R104" s="1083"/>
      <c r="S104" s="1083"/>
      <c r="T104" s="1083"/>
      <c r="U104" s="1083"/>
      <c r="V104" s="1083"/>
      <c r="W104" s="1083"/>
      <c r="X104" s="1083"/>
      <c r="Y104" s="1083"/>
      <c r="Z104" s="1083"/>
      <c r="AA104" s="1083"/>
      <c r="AB104" s="1453" t="s">
        <v>10</v>
      </c>
      <c r="AC104" s="1454">
        <f>IF((SUM(AC99:AC102)-AC103)&gt;0,(SUM(AC99:AC102)-AC103),0)</f>
        <v>0</v>
      </c>
      <c r="AD104" s="1453" t="s">
        <v>10</v>
      </c>
      <c r="AE104" s="1454">
        <f>IF((SUM(AE99:AE102)-AE103)&gt;0,(SUM(AE99:AE102)-AE103),0)</f>
        <v>0</v>
      </c>
      <c r="AF104" s="2367"/>
      <c r="AG104" s="1083"/>
      <c r="AH104" s="1083"/>
      <c r="AI104" s="1083"/>
      <c r="AJ104" s="1083"/>
      <c r="AK104" s="1083"/>
      <c r="AL104" s="1390"/>
      <c r="AM104" s="1083"/>
      <c r="AN104" s="1083"/>
      <c r="AO104" s="1083"/>
      <c r="AP104" s="1083"/>
      <c r="AQ104" s="1083"/>
      <c r="AR104" s="1083"/>
      <c r="AS104" s="1083"/>
      <c r="AT104" s="1083"/>
      <c r="AU104" s="1083"/>
      <c r="AV104" s="1083"/>
      <c r="AW104" s="1083"/>
      <c r="AX104" s="1083"/>
      <c r="AY104" s="1083"/>
      <c r="AZ104" s="1083"/>
      <c r="BA104" s="1083"/>
      <c r="BB104" s="1083"/>
      <c r="BC104" s="1083"/>
      <c r="BD104" s="1083"/>
      <c r="BE104" s="1083"/>
      <c r="BF104" s="1083"/>
      <c r="BG104" s="1083"/>
      <c r="BH104" s="1083"/>
      <c r="BI104" s="1083"/>
      <c r="BJ104" s="1083"/>
      <c r="BK104" s="1083"/>
      <c r="BL104" s="1083"/>
      <c r="BM104" s="1083"/>
      <c r="BN104" s="1083"/>
      <c r="BO104" s="1083"/>
      <c r="BP104" s="1083"/>
      <c r="BQ104" s="1083"/>
      <c r="BR104" s="100"/>
      <c r="BS104" s="100"/>
      <c r="BT104" s="100"/>
      <c r="BU104" s="100"/>
      <c r="BV104" s="100"/>
      <c r="BW104" s="100"/>
      <c r="BX104" s="100"/>
      <c r="BY104" s="100"/>
    </row>
    <row r="105" spans="1:77" ht="15.95" customHeight="1">
      <c r="A105" s="1083"/>
      <c r="B105" s="1083"/>
      <c r="C105" s="1083"/>
      <c r="D105" s="1083"/>
      <c r="E105" s="1083"/>
      <c r="F105" s="1083"/>
      <c r="G105" s="1083"/>
      <c r="H105" s="1083"/>
      <c r="I105" s="1083"/>
      <c r="J105" s="1083"/>
      <c r="K105" s="1083"/>
      <c r="L105" s="1083"/>
      <c r="M105" s="1083"/>
      <c r="N105" s="1083"/>
      <c r="O105" s="1083"/>
      <c r="P105" s="1083"/>
      <c r="Q105" s="1083"/>
      <c r="R105" s="1083"/>
      <c r="S105" s="1083"/>
      <c r="T105" s="1083"/>
      <c r="U105" s="1083"/>
      <c r="V105" s="1083"/>
      <c r="W105" s="1083"/>
      <c r="X105" s="1083"/>
      <c r="Y105" s="1083"/>
      <c r="Z105" s="1083"/>
      <c r="AA105" s="1083"/>
      <c r="AB105" s="1622" t="s">
        <v>720</v>
      </c>
      <c r="AC105" s="1623">
        <f>ROUND(AC104*1%,0.1)</f>
        <v>0</v>
      </c>
      <c r="AD105" s="1622" t="s">
        <v>720</v>
      </c>
      <c r="AE105" s="1623">
        <f>ROUND(AE104*1%,0.1)</f>
        <v>0</v>
      </c>
      <c r="AF105" s="2367"/>
      <c r="AG105" s="1083"/>
      <c r="AH105" s="1083"/>
      <c r="AI105" s="1083"/>
      <c r="AJ105" s="1083"/>
      <c r="AK105" s="1083"/>
      <c r="AL105" s="1390"/>
      <c r="AM105" s="1083"/>
      <c r="AN105" s="1083"/>
      <c r="AO105" s="1083"/>
      <c r="AP105" s="1083"/>
      <c r="AQ105" s="1083"/>
      <c r="AR105" s="1083"/>
      <c r="AS105" s="1083"/>
      <c r="AT105" s="1083"/>
      <c r="AU105" s="1083"/>
      <c r="AV105" s="1083"/>
      <c r="AW105" s="1083"/>
      <c r="AX105" s="1083"/>
      <c r="AY105" s="1083"/>
      <c r="AZ105" s="1083"/>
      <c r="BA105" s="1083"/>
      <c r="BB105" s="1083"/>
      <c r="BC105" s="1083"/>
      <c r="BD105" s="1083"/>
      <c r="BE105" s="1083"/>
      <c r="BF105" s="1083"/>
      <c r="BG105" s="1083"/>
      <c r="BH105" s="1083"/>
      <c r="BI105" s="1083"/>
      <c r="BJ105" s="1083"/>
      <c r="BK105" s="1083"/>
      <c r="BL105" s="1083"/>
      <c r="BM105" s="1083"/>
      <c r="BN105" s="1083"/>
      <c r="BO105" s="1083"/>
      <c r="BP105" s="1083"/>
      <c r="BQ105" s="1083"/>
      <c r="BR105" s="100"/>
      <c r="BS105" s="100"/>
      <c r="BT105" s="100"/>
      <c r="BU105" s="100"/>
      <c r="BV105" s="100"/>
      <c r="BW105" s="100"/>
      <c r="BX105" s="100"/>
      <c r="BY105" s="100"/>
    </row>
    <row r="106" spans="1:77" ht="15.95" customHeight="1">
      <c r="A106" s="1083"/>
      <c r="B106" s="1083"/>
      <c r="C106" s="1083"/>
      <c r="D106" s="1083"/>
      <c r="E106" s="1083"/>
      <c r="F106" s="1083"/>
      <c r="G106" s="1083"/>
      <c r="H106" s="1083"/>
      <c r="I106" s="1083"/>
      <c r="J106" s="1083"/>
      <c r="K106" s="1083"/>
      <c r="L106" s="1083"/>
      <c r="M106" s="1083"/>
      <c r="N106" s="1083"/>
      <c r="O106" s="1083"/>
      <c r="P106" s="1083"/>
      <c r="Q106" s="1083"/>
      <c r="R106" s="1083"/>
      <c r="S106" s="1083"/>
      <c r="T106" s="1083"/>
      <c r="U106" s="1083"/>
      <c r="V106" s="1083"/>
      <c r="W106" s="1083"/>
      <c r="X106" s="1083"/>
      <c r="Y106" s="1083"/>
      <c r="Z106" s="1083"/>
      <c r="AA106" s="1083"/>
      <c r="AB106" s="1624" t="s">
        <v>723</v>
      </c>
      <c r="AC106" s="1621">
        <f>ROUND(AC104*3%,0.1)</f>
        <v>0</v>
      </c>
      <c r="AD106" s="1624" t="s">
        <v>723</v>
      </c>
      <c r="AE106" s="1621">
        <f>ROUND(AE104*3%,0.1)</f>
        <v>0</v>
      </c>
      <c r="AF106" s="2367"/>
      <c r="AG106" s="1083"/>
      <c r="AH106" s="1083"/>
      <c r="AI106" s="1083"/>
      <c r="AJ106" s="1083"/>
      <c r="AK106" s="1083"/>
      <c r="AL106" s="1390"/>
      <c r="AM106" s="1083"/>
      <c r="AN106" s="1083"/>
      <c r="AO106" s="1083"/>
      <c r="AP106" s="1083"/>
      <c r="AQ106" s="1083"/>
      <c r="AR106" s="1083"/>
      <c r="AS106" s="1083"/>
      <c r="AT106" s="1083"/>
      <c r="AU106" s="1083"/>
      <c r="AV106" s="1083"/>
      <c r="AW106" s="1083"/>
      <c r="AX106" s="1083"/>
      <c r="AY106" s="1083"/>
      <c r="AZ106" s="1083"/>
      <c r="BA106" s="1083"/>
      <c r="BB106" s="1083"/>
      <c r="BC106" s="1083"/>
      <c r="BD106" s="1083"/>
      <c r="BE106" s="1083"/>
      <c r="BF106" s="1083"/>
      <c r="BG106" s="1083"/>
      <c r="BH106" s="1083"/>
      <c r="BI106" s="1083"/>
      <c r="BJ106" s="1083"/>
      <c r="BK106" s="1083"/>
      <c r="BL106" s="1083"/>
      <c r="BM106" s="1083"/>
      <c r="BN106" s="1083"/>
      <c r="BO106" s="1083"/>
      <c r="BP106" s="1083"/>
      <c r="BQ106" s="1083"/>
      <c r="BR106" s="100"/>
      <c r="BS106" s="100"/>
      <c r="BT106" s="100"/>
      <c r="BU106" s="100"/>
      <c r="BV106" s="100"/>
      <c r="BW106" s="100"/>
      <c r="BX106" s="100"/>
      <c r="BY106" s="100"/>
    </row>
    <row r="107" spans="1:77" ht="13.15" customHeight="1">
      <c r="A107" s="1083"/>
      <c r="B107" s="1083"/>
      <c r="C107" s="1083"/>
      <c r="D107" s="1083"/>
      <c r="E107" s="1083"/>
      <c r="F107" s="1083"/>
      <c r="G107" s="1083"/>
      <c r="H107" s="1083"/>
      <c r="I107" s="1083"/>
      <c r="J107" s="1083"/>
      <c r="K107" s="1083"/>
      <c r="L107" s="1083"/>
      <c r="M107" s="1083"/>
      <c r="N107" s="1083"/>
      <c r="O107" s="1083"/>
      <c r="P107" s="1083"/>
      <c r="Q107" s="1083"/>
      <c r="R107" s="1083"/>
      <c r="S107" s="1083"/>
      <c r="T107" s="1083"/>
      <c r="U107" s="1083"/>
      <c r="V107" s="1083"/>
      <c r="W107" s="1083"/>
      <c r="X107" s="1083"/>
      <c r="Y107" s="1083"/>
      <c r="Z107" s="1083"/>
      <c r="AA107" s="1083"/>
      <c r="AB107" s="2348" t="s">
        <v>688</v>
      </c>
      <c r="AC107" s="2346">
        <f>SUM(AC104:AC106)</f>
        <v>0</v>
      </c>
      <c r="AD107" s="2348" t="s">
        <v>688</v>
      </c>
      <c r="AE107" s="2346">
        <f>SUM(AE104:AE106)</f>
        <v>0</v>
      </c>
      <c r="AF107" s="2363">
        <f>AC107-AE107</f>
        <v>0</v>
      </c>
      <c r="AG107" s="1083"/>
      <c r="AH107" s="1083"/>
      <c r="AI107" s="1083"/>
      <c r="AJ107" s="1083"/>
      <c r="AK107" s="1083"/>
      <c r="AL107" s="1390"/>
      <c r="AM107" s="1083"/>
      <c r="AN107" s="1083"/>
      <c r="AO107" s="1083"/>
      <c r="AP107" s="1083"/>
      <c r="AQ107" s="1083"/>
      <c r="AR107" s="1083"/>
      <c r="AS107" s="1083"/>
      <c r="AT107" s="1083"/>
      <c r="AU107" s="1083"/>
      <c r="AV107" s="1083"/>
      <c r="AW107" s="1083"/>
      <c r="AX107" s="1083"/>
      <c r="AY107" s="1083"/>
      <c r="AZ107" s="1083"/>
      <c r="BA107" s="1083"/>
      <c r="BB107" s="1083"/>
      <c r="BC107" s="1083"/>
      <c r="BD107" s="1083"/>
      <c r="BE107" s="1083"/>
      <c r="BF107" s="1083"/>
      <c r="BG107" s="1083"/>
      <c r="BH107" s="1083"/>
      <c r="BI107" s="1083"/>
      <c r="BJ107" s="1083"/>
      <c r="BK107" s="1083"/>
      <c r="BL107" s="1083"/>
      <c r="BM107" s="1083"/>
      <c r="BN107" s="1083"/>
      <c r="BO107" s="1083"/>
      <c r="BP107" s="1083"/>
      <c r="BQ107" s="1083"/>
      <c r="BR107" s="100"/>
      <c r="BS107" s="100"/>
      <c r="BT107" s="100"/>
      <c r="BU107" s="100"/>
      <c r="BV107" s="100"/>
      <c r="BW107" s="100"/>
      <c r="BX107" s="100"/>
      <c r="BY107" s="100"/>
    </row>
    <row r="108" spans="1:77" ht="13.5" customHeight="1">
      <c r="A108" s="1083"/>
      <c r="B108" s="1083"/>
      <c r="C108" s="1083"/>
      <c r="D108" s="1083"/>
      <c r="E108" s="1083"/>
      <c r="F108" s="1083"/>
      <c r="G108" s="1083"/>
      <c r="H108" s="1083"/>
      <c r="I108" s="1083"/>
      <c r="J108" s="1083"/>
      <c r="K108" s="1083"/>
      <c r="L108" s="1083"/>
      <c r="M108" s="1083"/>
      <c r="N108" s="1083"/>
      <c r="O108" s="1083"/>
      <c r="P108" s="1083"/>
      <c r="Q108" s="1083"/>
      <c r="R108" s="1083"/>
      <c r="S108" s="1083"/>
      <c r="T108" s="1083"/>
      <c r="U108" s="1083"/>
      <c r="V108" s="1083"/>
      <c r="W108" s="1083"/>
      <c r="X108" s="1083"/>
      <c r="Y108" s="1083"/>
      <c r="Z108" s="1083"/>
      <c r="AA108" s="1083"/>
      <c r="AB108" s="2349"/>
      <c r="AC108" s="2347"/>
      <c r="AD108" s="2349"/>
      <c r="AE108" s="2347"/>
      <c r="AF108" s="2364"/>
      <c r="AG108" s="1083"/>
      <c r="AH108" s="1083"/>
      <c r="AI108" s="1083"/>
      <c r="AJ108" s="1083"/>
      <c r="AK108" s="1083"/>
      <c r="AL108" s="1390"/>
      <c r="AM108" s="1083"/>
      <c r="AN108" s="1083"/>
      <c r="AO108" s="1083"/>
      <c r="AP108" s="1083"/>
      <c r="AQ108" s="1083"/>
      <c r="AR108" s="1083"/>
      <c r="AS108" s="1083"/>
      <c r="AT108" s="1083"/>
      <c r="AU108" s="1083"/>
      <c r="AV108" s="1083"/>
      <c r="AW108" s="1083"/>
      <c r="AX108" s="1083"/>
      <c r="AY108" s="1083"/>
      <c r="AZ108" s="1083"/>
      <c r="BA108" s="1083"/>
      <c r="BB108" s="1083"/>
      <c r="BC108" s="1083"/>
      <c r="BD108" s="1083"/>
      <c r="BE108" s="1083"/>
      <c r="BF108" s="1083"/>
      <c r="BG108" s="1083"/>
      <c r="BH108" s="1083"/>
      <c r="BI108" s="1083"/>
      <c r="BJ108" s="1083"/>
      <c r="BK108" s="1083"/>
      <c r="BL108" s="1083"/>
      <c r="BM108" s="1083"/>
      <c r="BN108" s="1083"/>
      <c r="BO108" s="1083"/>
      <c r="BP108" s="1083"/>
      <c r="BQ108" s="1083"/>
      <c r="BR108" s="100"/>
      <c r="BS108" s="100"/>
      <c r="BT108" s="100"/>
      <c r="BU108" s="100"/>
      <c r="BV108" s="100"/>
      <c r="BW108" s="100"/>
      <c r="BX108" s="100"/>
      <c r="BY108" s="100"/>
    </row>
    <row r="109" spans="1:77">
      <c r="A109" s="1083"/>
      <c r="B109" s="1083"/>
      <c r="C109" s="1083"/>
      <c r="D109" s="1083"/>
      <c r="E109" s="1083"/>
      <c r="F109" s="1083"/>
      <c r="G109" s="1083"/>
      <c r="H109" s="1083"/>
      <c r="I109" s="1083"/>
      <c r="J109" s="1083"/>
      <c r="K109" s="1083"/>
      <c r="L109" s="1083"/>
      <c r="M109" s="1083"/>
      <c r="N109" s="1083"/>
      <c r="O109" s="1083"/>
      <c r="P109" s="1083"/>
      <c r="Q109" s="1083"/>
      <c r="R109" s="1083"/>
      <c r="S109" s="1083"/>
      <c r="T109" s="1083"/>
      <c r="U109" s="1083"/>
      <c r="V109" s="1083"/>
      <c r="W109" s="1083"/>
      <c r="X109" s="1083"/>
      <c r="Y109" s="1083"/>
      <c r="Z109" s="1083"/>
      <c r="AA109" s="1083"/>
      <c r="AB109" s="1083"/>
      <c r="AC109" s="1389"/>
      <c r="AD109" s="1083"/>
      <c r="AE109" s="1389"/>
      <c r="AF109" s="1083"/>
      <c r="AG109" s="1083"/>
      <c r="AH109" s="1083"/>
      <c r="AI109" s="1083"/>
      <c r="AJ109" s="1083"/>
      <c r="AK109" s="1083"/>
      <c r="AL109" s="1390"/>
      <c r="AM109" s="1083"/>
      <c r="AN109" s="1083"/>
      <c r="AO109" s="1083"/>
      <c r="AP109" s="1083"/>
      <c r="AQ109" s="1083"/>
      <c r="AR109" s="1083"/>
      <c r="AS109" s="1083"/>
      <c r="AT109" s="1083"/>
      <c r="AU109" s="1083"/>
      <c r="AV109" s="1083"/>
      <c r="AW109" s="1083"/>
      <c r="AX109" s="1083"/>
      <c r="AY109" s="1083"/>
      <c r="AZ109" s="1083"/>
      <c r="BA109" s="1083"/>
      <c r="BB109" s="1083"/>
      <c r="BC109" s="1083"/>
      <c r="BD109" s="1083"/>
      <c r="BE109" s="1083"/>
      <c r="BF109" s="1083"/>
      <c r="BG109" s="1083"/>
      <c r="BH109" s="1083"/>
      <c r="BI109" s="1083"/>
      <c r="BJ109" s="1083"/>
      <c r="BK109" s="1083"/>
      <c r="BL109" s="1083"/>
      <c r="BM109" s="1083"/>
      <c r="BN109" s="1083"/>
      <c r="BO109" s="1083"/>
      <c r="BP109" s="1083"/>
      <c r="BQ109" s="1083"/>
      <c r="BR109" s="100"/>
      <c r="BS109" s="100"/>
      <c r="BT109" s="100"/>
      <c r="BU109" s="100"/>
      <c r="BV109" s="100"/>
      <c r="BW109" s="100"/>
      <c r="BX109" s="100"/>
      <c r="BY109" s="100"/>
    </row>
    <row r="110" spans="1:77">
      <c r="A110" s="1083"/>
      <c r="B110" s="1083"/>
      <c r="C110" s="1083"/>
      <c r="D110" s="1083"/>
      <c r="E110" s="1083"/>
      <c r="F110" s="1083"/>
      <c r="G110" s="1083"/>
      <c r="H110" s="1083"/>
      <c r="I110" s="1083"/>
      <c r="J110" s="1083"/>
      <c r="K110" s="1083"/>
      <c r="L110" s="1083"/>
      <c r="M110" s="1083"/>
      <c r="N110" s="1083"/>
      <c r="O110" s="1083"/>
      <c r="P110" s="1083"/>
      <c r="Q110" s="1083"/>
      <c r="R110" s="1083"/>
      <c r="S110" s="1083"/>
      <c r="T110" s="1083"/>
      <c r="U110" s="1083"/>
      <c r="V110" s="1083"/>
      <c r="W110" s="1083"/>
      <c r="X110" s="1083"/>
      <c r="Y110" s="1083"/>
      <c r="Z110" s="1083"/>
      <c r="AA110" s="1083"/>
      <c r="AB110" s="1083"/>
      <c r="AC110" s="1389"/>
      <c r="AD110" s="1083"/>
      <c r="AE110" s="1389"/>
      <c r="AF110" s="1083"/>
      <c r="AG110" s="1083"/>
      <c r="AH110" s="1083"/>
      <c r="AI110" s="1083"/>
      <c r="AJ110" s="1083"/>
      <c r="AK110" s="1083"/>
      <c r="AL110" s="1390"/>
      <c r="AM110" s="1083"/>
      <c r="AN110" s="1083"/>
      <c r="AO110" s="1083"/>
      <c r="AP110" s="1083"/>
      <c r="AQ110" s="1083"/>
      <c r="AR110" s="1083"/>
      <c r="AS110" s="1083"/>
      <c r="AT110" s="1083"/>
      <c r="AU110" s="1083"/>
      <c r="AV110" s="1083"/>
      <c r="AW110" s="1083"/>
      <c r="AX110" s="1083"/>
      <c r="AY110" s="1083"/>
      <c r="AZ110" s="1083"/>
      <c r="BA110" s="1083"/>
      <c r="BB110" s="1083"/>
      <c r="BC110" s="1083"/>
      <c r="BD110" s="1083"/>
      <c r="BE110" s="1083"/>
      <c r="BF110" s="1083"/>
      <c r="BG110" s="1083"/>
      <c r="BH110" s="1083"/>
      <c r="BI110" s="1083"/>
      <c r="BJ110" s="1083"/>
      <c r="BK110" s="1083"/>
      <c r="BL110" s="1083"/>
      <c r="BM110" s="1083"/>
      <c r="BN110" s="1083"/>
      <c r="BO110" s="1083"/>
      <c r="BP110" s="1083"/>
      <c r="BQ110" s="1083"/>
      <c r="BR110" s="100"/>
      <c r="BS110" s="100"/>
      <c r="BT110" s="100"/>
      <c r="BU110" s="100"/>
      <c r="BV110" s="100"/>
      <c r="BW110" s="100"/>
      <c r="BX110" s="100"/>
      <c r="BY110" s="100"/>
    </row>
    <row r="111" spans="1:77">
      <c r="A111" s="1083"/>
      <c r="B111" s="1083"/>
      <c r="C111" s="1083"/>
      <c r="D111" s="1083"/>
      <c r="E111" s="1083"/>
      <c r="F111" s="1083"/>
      <c r="G111" s="1083"/>
      <c r="H111" s="1083"/>
      <c r="I111" s="1083"/>
      <c r="J111" s="1083"/>
      <c r="K111" s="1083"/>
      <c r="L111" s="1083"/>
      <c r="M111" s="1083"/>
      <c r="N111" s="1083"/>
      <c r="O111" s="1083"/>
      <c r="P111" s="1083"/>
      <c r="Q111" s="1083"/>
      <c r="R111" s="1083"/>
      <c r="S111" s="1083"/>
      <c r="T111" s="1083"/>
      <c r="U111" s="1083"/>
      <c r="V111" s="1083"/>
      <c r="W111" s="1083"/>
      <c r="X111" s="1083"/>
      <c r="Y111" s="1083"/>
      <c r="Z111" s="1083"/>
      <c r="AA111" s="1083"/>
      <c r="AB111" s="1083"/>
      <c r="AC111" s="1389"/>
      <c r="AD111" s="1083"/>
      <c r="AE111" s="1389"/>
      <c r="AF111" s="1083"/>
      <c r="AG111" s="1083"/>
      <c r="AH111" s="1083"/>
      <c r="AI111" s="1083"/>
      <c r="AJ111" s="1083"/>
      <c r="AK111" s="1083"/>
      <c r="AL111" s="1390"/>
      <c r="AM111" s="1083"/>
      <c r="AN111" s="1083"/>
      <c r="AO111" s="1083"/>
      <c r="AP111" s="1083"/>
      <c r="AQ111" s="1083"/>
      <c r="AR111" s="1083"/>
      <c r="AS111" s="1083"/>
      <c r="AT111" s="1083"/>
      <c r="AU111" s="1083"/>
      <c r="AV111" s="1083"/>
      <c r="AW111" s="1083"/>
      <c r="AX111" s="1083"/>
      <c r="AY111" s="1083"/>
      <c r="AZ111" s="1083"/>
      <c r="BA111" s="1083"/>
      <c r="BB111" s="1083"/>
      <c r="BC111" s="1083"/>
      <c r="BD111" s="1083"/>
      <c r="BE111" s="1083"/>
      <c r="BF111" s="1083"/>
      <c r="BG111" s="1083"/>
      <c r="BH111" s="1083"/>
      <c r="BI111" s="1083"/>
      <c r="BJ111" s="1083"/>
      <c r="BK111" s="1083"/>
      <c r="BL111" s="1083"/>
      <c r="BM111" s="1083"/>
      <c r="BN111" s="1083"/>
      <c r="BO111" s="1083"/>
      <c r="BP111" s="1083"/>
      <c r="BQ111" s="1083"/>
      <c r="BR111" s="100"/>
      <c r="BS111" s="100"/>
      <c r="BT111" s="100"/>
      <c r="BU111" s="100"/>
      <c r="BV111" s="100"/>
      <c r="BW111" s="100"/>
      <c r="BX111" s="100"/>
      <c r="BY111" s="100"/>
    </row>
    <row r="112" spans="1:77">
      <c r="A112" s="1083"/>
      <c r="B112" s="1083"/>
      <c r="C112" s="1083"/>
      <c r="D112" s="1083"/>
      <c r="E112" s="1083"/>
      <c r="F112" s="1083"/>
      <c r="G112" s="1083"/>
      <c r="H112" s="1083"/>
      <c r="I112" s="1083"/>
      <c r="J112" s="1083"/>
      <c r="K112" s="1083"/>
      <c r="L112" s="1083"/>
      <c r="M112" s="1083"/>
      <c r="N112" s="1083"/>
      <c r="O112" s="1083"/>
      <c r="P112" s="1083"/>
      <c r="Q112" s="1083"/>
      <c r="R112" s="1083"/>
      <c r="S112" s="1083"/>
      <c r="T112" s="1083"/>
      <c r="U112" s="1083"/>
      <c r="V112" s="1083"/>
      <c r="W112" s="1083"/>
      <c r="X112" s="1083"/>
      <c r="Y112" s="1083"/>
      <c r="Z112" s="1083"/>
      <c r="AA112" s="1083"/>
      <c r="AB112" s="1083"/>
      <c r="AC112" s="1389"/>
      <c r="AD112" s="1083"/>
      <c r="AE112" s="1389"/>
      <c r="AF112" s="1083"/>
      <c r="AG112" s="1083"/>
      <c r="AH112" s="1083"/>
      <c r="AI112" s="1083"/>
      <c r="AJ112" s="1083"/>
      <c r="AK112" s="1083"/>
      <c r="AL112" s="1390"/>
      <c r="AM112" s="1083"/>
      <c r="AN112" s="1083"/>
      <c r="AO112" s="1083"/>
      <c r="AP112" s="1083"/>
      <c r="AQ112" s="1083"/>
      <c r="AR112" s="1083"/>
      <c r="AS112" s="1083"/>
      <c r="AT112" s="1083"/>
      <c r="AU112" s="1083"/>
      <c r="AV112" s="1083"/>
      <c r="AW112" s="1083"/>
      <c r="AX112" s="1083"/>
      <c r="AY112" s="1083"/>
      <c r="AZ112" s="1083"/>
      <c r="BA112" s="1083"/>
      <c r="BB112" s="1083"/>
      <c r="BC112" s="1083"/>
      <c r="BD112" s="1083"/>
      <c r="BE112" s="1083"/>
      <c r="BF112" s="1083"/>
      <c r="BG112" s="1083"/>
      <c r="BH112" s="1083"/>
      <c r="BI112" s="1083"/>
      <c r="BJ112" s="1083"/>
      <c r="BK112" s="1083"/>
      <c r="BL112" s="1083"/>
      <c r="BM112" s="1083"/>
      <c r="BN112" s="1083"/>
      <c r="BO112" s="1083"/>
      <c r="BP112" s="1083"/>
      <c r="BQ112" s="1083"/>
      <c r="BR112" s="100"/>
      <c r="BS112" s="100"/>
      <c r="BT112" s="100"/>
      <c r="BU112" s="100"/>
      <c r="BV112" s="100"/>
      <c r="BW112" s="100"/>
      <c r="BX112" s="100"/>
      <c r="BY112" s="100"/>
    </row>
    <row r="113" spans="1:77" ht="13.15" customHeight="1">
      <c r="A113" s="1083"/>
      <c r="B113" s="1083"/>
      <c r="C113" s="1083"/>
      <c r="D113" s="1083"/>
      <c r="E113" s="1083"/>
      <c r="F113" s="1083"/>
      <c r="G113" s="1083"/>
      <c r="H113" s="1083"/>
      <c r="I113" s="1083"/>
      <c r="J113" s="1083"/>
      <c r="K113" s="1083"/>
      <c r="L113" s="1083"/>
      <c r="M113" s="1083"/>
      <c r="N113" s="1083"/>
      <c r="O113" s="1083"/>
      <c r="P113" s="1083"/>
      <c r="Q113" s="1083"/>
      <c r="R113" s="1083"/>
      <c r="S113" s="1083"/>
      <c r="T113" s="1083"/>
      <c r="U113" s="1083"/>
      <c r="V113" s="1083"/>
      <c r="W113" s="1083"/>
      <c r="X113" s="1083"/>
      <c r="Y113" s="1083"/>
      <c r="Z113" s="1083"/>
      <c r="AA113" s="1083"/>
      <c r="AB113" s="2299" t="s">
        <v>680</v>
      </c>
      <c r="AC113" s="2299" t="s">
        <v>830</v>
      </c>
      <c r="AD113" s="2299" t="s">
        <v>680</v>
      </c>
      <c r="AE113" s="2299" t="s">
        <v>830</v>
      </c>
      <c r="AF113" s="2361"/>
      <c r="AG113" s="1083"/>
      <c r="AH113" s="1083"/>
      <c r="AI113" s="1083"/>
      <c r="AJ113" s="1083"/>
      <c r="AK113" s="1083"/>
      <c r="AL113" s="1390"/>
      <c r="AM113" s="1083"/>
      <c r="AN113" s="1083"/>
      <c r="AO113" s="1083"/>
      <c r="AP113" s="1083"/>
      <c r="AQ113" s="1083"/>
      <c r="AR113" s="1083"/>
      <c r="AS113" s="1083"/>
      <c r="AT113" s="1083"/>
      <c r="AU113" s="1083"/>
      <c r="AV113" s="1083"/>
      <c r="AW113" s="1083"/>
      <c r="AX113" s="1083"/>
      <c r="AY113" s="1083"/>
      <c r="AZ113" s="1083"/>
      <c r="BA113" s="1083"/>
      <c r="BB113" s="1083"/>
      <c r="BC113" s="1083"/>
      <c r="BD113" s="1083"/>
      <c r="BE113" s="1083"/>
      <c r="BF113" s="1083"/>
      <c r="BG113" s="1083"/>
      <c r="BH113" s="1083"/>
      <c r="BI113" s="1083"/>
      <c r="BJ113" s="1083"/>
      <c r="BK113" s="1083"/>
      <c r="BL113" s="1083"/>
      <c r="BM113" s="1083"/>
      <c r="BN113" s="1083"/>
      <c r="BO113" s="1083"/>
      <c r="BP113" s="1083"/>
      <c r="BQ113" s="1083"/>
      <c r="BR113" s="100"/>
      <c r="BS113" s="100"/>
      <c r="BT113" s="100"/>
      <c r="BU113" s="100"/>
      <c r="BV113" s="100"/>
      <c r="BW113" s="100"/>
      <c r="BX113" s="100"/>
      <c r="BY113" s="100"/>
    </row>
    <row r="114" spans="1:77" ht="13.5" customHeight="1">
      <c r="A114" s="1083"/>
      <c r="B114" s="1083"/>
      <c r="C114" s="1083"/>
      <c r="D114" s="1083"/>
      <c r="E114" s="1083"/>
      <c r="F114" s="1083"/>
      <c r="G114" s="1083"/>
      <c r="H114" s="1083"/>
      <c r="I114" s="1083"/>
      <c r="J114" s="1083"/>
      <c r="K114" s="1083"/>
      <c r="L114" s="1083"/>
      <c r="M114" s="1083"/>
      <c r="N114" s="1083"/>
      <c r="O114" s="1083"/>
      <c r="P114" s="1083"/>
      <c r="Q114" s="1083"/>
      <c r="R114" s="1083"/>
      <c r="S114" s="1083"/>
      <c r="T114" s="1083"/>
      <c r="U114" s="1083"/>
      <c r="V114" s="1083"/>
      <c r="W114" s="1083"/>
      <c r="X114" s="1083"/>
      <c r="Y114" s="1083"/>
      <c r="Z114" s="1083"/>
      <c r="AA114" s="1083"/>
      <c r="AB114" s="2300"/>
      <c r="AC114" s="2300"/>
      <c r="AD114" s="2300"/>
      <c r="AE114" s="2300"/>
      <c r="AF114" s="2362"/>
      <c r="AG114" s="1083"/>
      <c r="AH114" s="1083"/>
      <c r="AI114" s="1083"/>
      <c r="AJ114" s="1083"/>
      <c r="AK114" s="1083"/>
      <c r="AL114" s="1390"/>
      <c r="AM114" s="1083"/>
      <c r="AN114" s="1083"/>
      <c r="AO114" s="1083"/>
      <c r="AP114" s="1083"/>
      <c r="AQ114" s="1083"/>
      <c r="AR114" s="1083"/>
      <c r="AS114" s="1083"/>
      <c r="AT114" s="1083"/>
      <c r="AU114" s="1083"/>
      <c r="AV114" s="1083"/>
      <c r="AW114" s="1083"/>
      <c r="AX114" s="1083"/>
      <c r="AY114" s="1083"/>
      <c r="AZ114" s="1083"/>
      <c r="BA114" s="1083"/>
      <c r="BB114" s="1083"/>
      <c r="BC114" s="1083"/>
      <c r="BD114" s="1083"/>
      <c r="BE114" s="1083"/>
      <c r="BF114" s="1083"/>
      <c r="BG114" s="1083"/>
      <c r="BH114" s="1083"/>
      <c r="BI114" s="1083"/>
      <c r="BJ114" s="1083"/>
      <c r="BK114" s="1083"/>
      <c r="BL114" s="1083"/>
      <c r="BM114" s="1083"/>
      <c r="BN114" s="1083"/>
      <c r="BO114" s="1083"/>
      <c r="BP114" s="1083"/>
      <c r="BQ114" s="1083"/>
      <c r="BR114" s="100"/>
      <c r="BS114" s="100"/>
      <c r="BT114" s="100"/>
      <c r="BU114" s="100"/>
      <c r="BV114" s="100"/>
      <c r="BW114" s="100"/>
      <c r="BX114" s="100"/>
      <c r="BY114" s="100"/>
    </row>
    <row r="115" spans="1:77" ht="13.15" customHeight="1">
      <c r="A115" s="1083"/>
      <c r="B115" s="1083"/>
      <c r="C115" s="1083"/>
      <c r="D115" s="1083"/>
      <c r="E115" s="1083"/>
      <c r="F115" s="1083"/>
      <c r="G115" s="1083"/>
      <c r="H115" s="1083"/>
      <c r="I115" s="1083"/>
      <c r="J115" s="1083"/>
      <c r="K115" s="1083"/>
      <c r="L115" s="1083"/>
      <c r="M115" s="1083"/>
      <c r="N115" s="1083"/>
      <c r="O115" s="1083"/>
      <c r="P115" s="1083"/>
      <c r="Q115" s="1083"/>
      <c r="R115" s="1083"/>
      <c r="S115" s="1083"/>
      <c r="T115" s="1083"/>
      <c r="U115" s="1083"/>
      <c r="V115" s="1083"/>
      <c r="W115" s="1083"/>
      <c r="X115" s="1083"/>
      <c r="Y115" s="1083"/>
      <c r="Z115" s="1083"/>
      <c r="AA115" s="1083"/>
      <c r="AB115" s="2385" t="s">
        <v>653</v>
      </c>
      <c r="AC115" s="2322">
        <f>IF(AM12="","",AM12)</f>
        <v>0</v>
      </c>
      <c r="AD115" s="2339" t="s">
        <v>681</v>
      </c>
      <c r="AE115" s="2322">
        <f>AC115</f>
        <v>0</v>
      </c>
      <c r="AF115" s="1397"/>
      <c r="AG115" s="1083"/>
      <c r="AH115" s="1083"/>
      <c r="AI115" s="1083"/>
      <c r="AJ115" s="1083"/>
      <c r="AK115" s="1083"/>
      <c r="AL115" s="1390"/>
      <c r="AM115" s="1083"/>
      <c r="AN115" s="1083"/>
      <c r="AO115" s="1083"/>
      <c r="AP115" s="1083"/>
      <c r="AQ115" s="1083"/>
      <c r="AR115" s="1083"/>
      <c r="AS115" s="1083"/>
      <c r="AT115" s="1083"/>
      <c r="AU115" s="1083"/>
      <c r="AV115" s="1083"/>
      <c r="AW115" s="1083"/>
      <c r="AX115" s="1083"/>
      <c r="AY115" s="1083"/>
      <c r="AZ115" s="1083"/>
      <c r="BA115" s="1083"/>
      <c r="BB115" s="1083"/>
      <c r="BC115" s="1083"/>
      <c r="BD115" s="1083"/>
      <c r="BE115" s="1083"/>
      <c r="BF115" s="1083"/>
      <c r="BG115" s="1083"/>
      <c r="BH115" s="1083"/>
      <c r="BI115" s="1083"/>
      <c r="BJ115" s="1083"/>
      <c r="BK115" s="1083"/>
      <c r="BL115" s="1083"/>
      <c r="BM115" s="1083"/>
      <c r="BN115" s="1083"/>
      <c r="BO115" s="1083"/>
      <c r="BP115" s="1083"/>
      <c r="BQ115" s="1083"/>
      <c r="BR115" s="100"/>
      <c r="BS115" s="100"/>
      <c r="BT115" s="100"/>
      <c r="BU115" s="100"/>
      <c r="BV115" s="100"/>
      <c r="BW115" s="100"/>
      <c r="BX115" s="100"/>
      <c r="BY115" s="100"/>
    </row>
    <row r="116" spans="1:77" ht="20.25" customHeight="1">
      <c r="A116" s="1083"/>
      <c r="B116" s="1083"/>
      <c r="C116" s="1083"/>
      <c r="D116" s="1083"/>
      <c r="E116" s="1083"/>
      <c r="F116" s="1083"/>
      <c r="G116" s="1083"/>
      <c r="H116" s="1083"/>
      <c r="I116" s="1083"/>
      <c r="J116" s="1083"/>
      <c r="K116" s="1083"/>
      <c r="L116" s="1083"/>
      <c r="M116" s="1083"/>
      <c r="N116" s="1083"/>
      <c r="O116" s="1083"/>
      <c r="P116" s="1083"/>
      <c r="Q116" s="1083"/>
      <c r="R116" s="1083"/>
      <c r="S116" s="1083"/>
      <c r="T116" s="1083"/>
      <c r="U116" s="1083"/>
      <c r="V116" s="1083"/>
      <c r="W116" s="1083"/>
      <c r="X116" s="1083"/>
      <c r="Y116" s="1083"/>
      <c r="Z116" s="1083"/>
      <c r="AA116" s="1083"/>
      <c r="AB116" s="2386"/>
      <c r="AC116" s="2323"/>
      <c r="AD116" s="2340"/>
      <c r="AE116" s="2323"/>
      <c r="AF116" s="1397"/>
      <c r="AG116" s="1083"/>
      <c r="AH116" s="1083"/>
      <c r="AI116" s="1083"/>
      <c r="AJ116" s="1083"/>
      <c r="AK116" s="1083"/>
      <c r="AL116" s="1390"/>
      <c r="AM116" s="1083"/>
      <c r="AN116" s="1083"/>
      <c r="AO116" s="1083"/>
      <c r="AP116" s="1083"/>
      <c r="AQ116" s="1083"/>
      <c r="AR116" s="1083"/>
      <c r="AS116" s="1083"/>
      <c r="AT116" s="1083"/>
      <c r="AU116" s="1083"/>
      <c r="AV116" s="1083"/>
      <c r="AW116" s="1083"/>
      <c r="AX116" s="1083"/>
      <c r="AY116" s="1083"/>
      <c r="AZ116" s="1083"/>
      <c r="BA116" s="1083"/>
      <c r="BB116" s="1083"/>
      <c r="BC116" s="1083"/>
      <c r="BD116" s="1083"/>
      <c r="BE116" s="1083"/>
      <c r="BF116" s="1083"/>
      <c r="BG116" s="1083"/>
      <c r="BH116" s="1083"/>
      <c r="BI116" s="1083"/>
      <c r="BJ116" s="1083"/>
      <c r="BK116" s="1083"/>
      <c r="BL116" s="1083"/>
      <c r="BM116" s="1083"/>
      <c r="BN116" s="1083"/>
      <c r="BO116" s="1083"/>
      <c r="BP116" s="1083"/>
      <c r="BQ116" s="1083"/>
      <c r="BR116" s="100"/>
      <c r="BS116" s="100"/>
      <c r="BT116" s="100"/>
      <c r="BU116" s="100"/>
      <c r="BV116" s="100"/>
      <c r="BW116" s="100"/>
      <c r="BX116" s="100"/>
      <c r="BY116" s="100"/>
    </row>
    <row r="117" spans="1:77" ht="14.25">
      <c r="A117" s="1083"/>
      <c r="B117" s="1083"/>
      <c r="C117" s="1083"/>
      <c r="D117" s="1083"/>
      <c r="E117" s="1083"/>
      <c r="F117" s="1083"/>
      <c r="G117" s="1083"/>
      <c r="H117" s="1083"/>
      <c r="I117" s="1083"/>
      <c r="J117" s="1083"/>
      <c r="K117" s="1083"/>
      <c r="L117" s="1083"/>
      <c r="M117" s="1083"/>
      <c r="N117" s="1083"/>
      <c r="O117" s="1083"/>
      <c r="P117" s="1083"/>
      <c r="Q117" s="1083"/>
      <c r="R117" s="1083"/>
      <c r="S117" s="1083"/>
      <c r="T117" s="1083"/>
      <c r="U117" s="1083"/>
      <c r="V117" s="1083"/>
      <c r="W117" s="1083"/>
      <c r="X117" s="1083"/>
      <c r="Y117" s="1083"/>
      <c r="Z117" s="1083"/>
      <c r="AA117" s="1083"/>
      <c r="AB117" s="1404" t="s">
        <v>709</v>
      </c>
      <c r="AC117" s="1625">
        <f>IF(AN12="","",AN12)</f>
        <v>0</v>
      </c>
      <c r="AD117" s="1626" t="s">
        <v>710</v>
      </c>
      <c r="AE117" s="1625">
        <v>0</v>
      </c>
      <c r="AF117" s="1397"/>
      <c r="AG117" s="1083"/>
      <c r="AH117" s="1083"/>
      <c r="AI117" s="1083"/>
      <c r="AJ117" s="1083"/>
      <c r="AK117" s="1083"/>
      <c r="AL117" s="1390"/>
      <c r="AM117" s="1083"/>
      <c r="AN117" s="1083"/>
      <c r="AO117" s="1083"/>
      <c r="AP117" s="1083"/>
      <c r="AQ117" s="1083"/>
      <c r="AR117" s="1083"/>
      <c r="AS117" s="1083"/>
      <c r="AT117" s="1083"/>
      <c r="AU117" s="1083"/>
      <c r="AV117" s="1083"/>
      <c r="AW117" s="1083"/>
      <c r="AX117" s="1083"/>
      <c r="AY117" s="1083"/>
      <c r="AZ117" s="1083"/>
      <c r="BA117" s="1083"/>
      <c r="BB117" s="1083"/>
      <c r="BC117" s="1083"/>
      <c r="BD117" s="1083"/>
      <c r="BE117" s="1083"/>
      <c r="BF117" s="1083"/>
      <c r="BG117" s="1083"/>
      <c r="BH117" s="1083"/>
      <c r="BI117" s="1083"/>
      <c r="BJ117" s="1083"/>
      <c r="BK117" s="1083"/>
      <c r="BL117" s="1083"/>
      <c r="BM117" s="1083"/>
      <c r="BN117" s="1083"/>
      <c r="BO117" s="1083"/>
      <c r="BP117" s="1083"/>
      <c r="BQ117" s="1083"/>
      <c r="BR117" s="100"/>
      <c r="BS117" s="100"/>
      <c r="BT117" s="100"/>
      <c r="BU117" s="100"/>
      <c r="BV117" s="100"/>
      <c r="BW117" s="100"/>
      <c r="BX117" s="100"/>
      <c r="BY117" s="100"/>
    </row>
    <row r="118" spans="1:77" ht="14.25">
      <c r="A118" s="1083"/>
      <c r="B118" s="1083"/>
      <c r="C118" s="1083"/>
      <c r="D118" s="1083"/>
      <c r="E118" s="1083"/>
      <c r="F118" s="1083"/>
      <c r="G118" s="1083"/>
      <c r="H118" s="1083"/>
      <c r="I118" s="1083"/>
      <c r="J118" s="1083"/>
      <c r="K118" s="1083"/>
      <c r="L118" s="1083"/>
      <c r="M118" s="1083"/>
      <c r="N118" s="1083"/>
      <c r="O118" s="1083"/>
      <c r="P118" s="1083"/>
      <c r="Q118" s="1083"/>
      <c r="R118" s="1083"/>
      <c r="S118" s="1083"/>
      <c r="T118" s="1083"/>
      <c r="U118" s="1083"/>
      <c r="V118" s="1083"/>
      <c r="W118" s="1083"/>
      <c r="X118" s="1083"/>
      <c r="Y118" s="1083"/>
      <c r="Z118" s="1083"/>
      <c r="AA118" s="1083"/>
      <c r="AB118" s="1407" t="s">
        <v>682</v>
      </c>
      <c r="AC118" s="1408">
        <f>SUM(AC115:AC117)</f>
        <v>0</v>
      </c>
      <c r="AD118" s="1409" t="s">
        <v>682</v>
      </c>
      <c r="AE118" s="1408">
        <f>SUM(AE115:AE117)</f>
        <v>0</v>
      </c>
      <c r="AF118" s="1397"/>
      <c r="AG118" s="1083"/>
      <c r="AH118" s="1083"/>
      <c r="AI118" s="1083"/>
      <c r="AJ118" s="1083"/>
      <c r="AK118" s="1083"/>
      <c r="AL118" s="1390"/>
      <c r="AM118" s="1083"/>
      <c r="AN118" s="1083"/>
      <c r="AO118" s="1083"/>
      <c r="AP118" s="1083"/>
      <c r="AQ118" s="1083"/>
      <c r="AR118" s="1083"/>
      <c r="AS118" s="1083"/>
      <c r="AT118" s="1083"/>
      <c r="AU118" s="1083"/>
      <c r="AV118" s="1083"/>
      <c r="AW118" s="1083"/>
      <c r="AX118" s="1083"/>
      <c r="AY118" s="1083"/>
      <c r="AZ118" s="1083"/>
      <c r="BA118" s="1083"/>
      <c r="BB118" s="1083"/>
      <c r="BC118" s="1083"/>
      <c r="BD118" s="1083"/>
      <c r="BE118" s="1083"/>
      <c r="BF118" s="1083"/>
      <c r="BG118" s="1083"/>
      <c r="BH118" s="1083"/>
      <c r="BI118" s="1083"/>
      <c r="BJ118" s="1083"/>
      <c r="BK118" s="1083"/>
      <c r="BL118" s="1083"/>
      <c r="BM118" s="1083"/>
      <c r="BN118" s="1083"/>
      <c r="BO118" s="1083"/>
      <c r="BP118" s="1083"/>
      <c r="BQ118" s="1083"/>
      <c r="BR118" s="100"/>
      <c r="BS118" s="100"/>
      <c r="BT118" s="100"/>
      <c r="BU118" s="100"/>
      <c r="BV118" s="100"/>
      <c r="BW118" s="100"/>
      <c r="BX118" s="100"/>
      <c r="BY118" s="100"/>
    </row>
    <row r="119" spans="1:77" ht="14.25">
      <c r="A119" s="1083"/>
      <c r="B119" s="1083"/>
      <c r="C119" s="1083"/>
      <c r="D119" s="1083"/>
      <c r="E119" s="1083"/>
      <c r="F119" s="1083"/>
      <c r="G119" s="1083"/>
      <c r="H119" s="1083"/>
      <c r="I119" s="1083"/>
      <c r="J119" s="1083"/>
      <c r="K119" s="1083"/>
      <c r="L119" s="1083"/>
      <c r="M119" s="1083"/>
      <c r="N119" s="1083"/>
      <c r="O119" s="1083"/>
      <c r="P119" s="1083"/>
      <c r="Q119" s="1083"/>
      <c r="R119" s="1083"/>
      <c r="S119" s="1083"/>
      <c r="T119" s="1083"/>
      <c r="U119" s="1083"/>
      <c r="V119" s="1083"/>
      <c r="W119" s="1083"/>
      <c r="X119" s="1083"/>
      <c r="Y119" s="1083"/>
      <c r="Z119" s="1083"/>
      <c r="AA119" s="1083"/>
      <c r="AB119" s="1411" t="s">
        <v>829</v>
      </c>
      <c r="AC119" s="1412">
        <v>0</v>
      </c>
      <c r="AD119" s="1413" t="s">
        <v>683</v>
      </c>
      <c r="AE119" s="1412">
        <v>0</v>
      </c>
      <c r="AF119" s="1414"/>
      <c r="AG119" s="1083"/>
      <c r="AH119" s="1083"/>
      <c r="AI119" s="1083"/>
      <c r="AJ119" s="1083"/>
      <c r="AK119" s="1083"/>
      <c r="AL119" s="1390"/>
      <c r="AM119" s="1083"/>
      <c r="AN119" s="1083"/>
      <c r="AO119" s="1083"/>
      <c r="AP119" s="1083"/>
      <c r="AQ119" s="1083"/>
      <c r="AR119" s="1083"/>
      <c r="AS119" s="1083"/>
      <c r="AT119" s="1083"/>
      <c r="AU119" s="1083"/>
      <c r="AV119" s="1083"/>
      <c r="AW119" s="1083"/>
      <c r="AX119" s="1083"/>
      <c r="AY119" s="1083"/>
      <c r="AZ119" s="1083"/>
      <c r="BA119" s="1083"/>
      <c r="BB119" s="1083"/>
      <c r="BC119" s="1083"/>
      <c r="BD119" s="1083"/>
      <c r="BE119" s="1083"/>
      <c r="BF119" s="1083"/>
      <c r="BG119" s="1083"/>
      <c r="BH119" s="1083"/>
      <c r="BI119" s="1083"/>
      <c r="BJ119" s="1083"/>
      <c r="BK119" s="1083"/>
      <c r="BL119" s="1083"/>
      <c r="BM119" s="1083"/>
      <c r="BN119" s="1083"/>
      <c r="BO119" s="1083"/>
      <c r="BP119" s="1083"/>
      <c r="BQ119" s="1083"/>
      <c r="BR119" s="100"/>
      <c r="BS119" s="100"/>
      <c r="BT119" s="100"/>
      <c r="BU119" s="100"/>
      <c r="BV119" s="100"/>
      <c r="BW119" s="100"/>
      <c r="BX119" s="100"/>
      <c r="BY119" s="100"/>
    </row>
    <row r="120" spans="1:77" ht="14.25">
      <c r="A120" s="1083"/>
      <c r="B120" s="1083"/>
      <c r="C120" s="1083"/>
      <c r="D120" s="1083"/>
      <c r="E120" s="1083"/>
      <c r="F120" s="1083"/>
      <c r="G120" s="1083"/>
      <c r="H120" s="1083"/>
      <c r="I120" s="1083"/>
      <c r="J120" s="1083"/>
      <c r="K120" s="1083"/>
      <c r="L120" s="1083"/>
      <c r="M120" s="1083"/>
      <c r="N120" s="1083"/>
      <c r="O120" s="1083"/>
      <c r="P120" s="1083"/>
      <c r="Q120" s="1083"/>
      <c r="R120" s="1083"/>
      <c r="S120" s="1083"/>
      <c r="T120" s="1083"/>
      <c r="U120" s="1083"/>
      <c r="V120" s="1083"/>
      <c r="W120" s="1083"/>
      <c r="X120" s="1083"/>
      <c r="Y120" s="1083"/>
      <c r="Z120" s="1083"/>
      <c r="AA120" s="1083"/>
      <c r="AB120" s="1417" t="s">
        <v>694</v>
      </c>
      <c r="AC120" s="1418">
        <f>IF(DATA!K50&gt;AG124,AG125,0)</f>
        <v>0</v>
      </c>
      <c r="AD120" s="1419" t="s">
        <v>694</v>
      </c>
      <c r="AE120" s="1418">
        <f>IF(DATA!K50&gt;AG124,AG126,0)</f>
        <v>0</v>
      </c>
      <c r="AF120" s="1414"/>
      <c r="AG120" s="1420">
        <f>AC118-250000</f>
        <v>-250000</v>
      </c>
      <c r="AH120" s="1421">
        <f>IF(AG120&gt;250000,250000,AG120)</f>
        <v>-250000</v>
      </c>
      <c r="AI120" s="1420">
        <f>AE118-250000</f>
        <v>-250000</v>
      </c>
      <c r="AJ120" s="1421">
        <f>IF(AI120&gt;250000,250000,AI120)</f>
        <v>-250000</v>
      </c>
      <c r="AK120" s="1421"/>
      <c r="AL120" s="1390"/>
      <c r="AM120" s="1083"/>
      <c r="AN120" s="1083"/>
      <c r="AO120" s="1083"/>
      <c r="AP120" s="1083"/>
      <c r="AQ120" s="1083"/>
      <c r="AR120" s="1083"/>
      <c r="AS120" s="1083"/>
      <c r="AT120" s="1083"/>
      <c r="AU120" s="1083"/>
      <c r="AV120" s="1083"/>
      <c r="AW120" s="1083"/>
      <c r="AX120" s="1083"/>
      <c r="AY120" s="1083"/>
      <c r="AZ120" s="1083"/>
      <c r="BA120" s="1083"/>
      <c r="BB120" s="1083"/>
      <c r="BC120" s="1083"/>
      <c r="BD120" s="1083"/>
      <c r="BE120" s="1083"/>
      <c r="BF120" s="1083"/>
      <c r="BG120" s="1083"/>
      <c r="BH120" s="1083"/>
      <c r="BI120" s="1083"/>
      <c r="BJ120" s="1083"/>
      <c r="BK120" s="1083"/>
      <c r="BL120" s="1083"/>
      <c r="BM120" s="1083"/>
      <c r="BN120" s="1083"/>
      <c r="BO120" s="1083"/>
      <c r="BP120" s="1083"/>
      <c r="BQ120" s="1083"/>
      <c r="BR120" s="100"/>
      <c r="BS120" s="100"/>
      <c r="BT120" s="100"/>
      <c r="BU120" s="100"/>
      <c r="BV120" s="100"/>
      <c r="BW120" s="100"/>
      <c r="BX120" s="100"/>
      <c r="BY120" s="100"/>
    </row>
    <row r="121" spans="1:77" ht="14.25">
      <c r="A121" s="1083"/>
      <c r="B121" s="1083"/>
      <c r="C121" s="1083"/>
      <c r="D121" s="1083"/>
      <c r="E121" s="1083"/>
      <c r="F121" s="1083"/>
      <c r="G121" s="1083"/>
      <c r="H121" s="1083"/>
      <c r="I121" s="1083"/>
      <c r="J121" s="1083"/>
      <c r="K121" s="1083"/>
      <c r="L121" s="1083"/>
      <c r="M121" s="1083"/>
      <c r="N121" s="1083"/>
      <c r="O121" s="1083"/>
      <c r="P121" s="1083"/>
      <c r="Q121" s="1083"/>
      <c r="R121" s="1083"/>
      <c r="S121" s="1083"/>
      <c r="T121" s="1083"/>
      <c r="U121" s="1083"/>
      <c r="V121" s="1083"/>
      <c r="W121" s="1083"/>
      <c r="X121" s="1083"/>
      <c r="Y121" s="1083"/>
      <c r="Z121" s="1083"/>
      <c r="AA121" s="1083"/>
      <c r="AB121" s="1425" t="s">
        <v>693</v>
      </c>
      <c r="AC121" s="1418">
        <f>IF(AH121&gt;0,AH121,0)*20%</f>
        <v>0</v>
      </c>
      <c r="AD121" s="1426" t="s">
        <v>693</v>
      </c>
      <c r="AE121" s="1627">
        <f>IF(AJ121&gt;0,AJ121,0)*20%</f>
        <v>0</v>
      </c>
      <c r="AF121" s="1414"/>
      <c r="AG121" s="1420">
        <f>AC118-500000</f>
        <v>-500000</v>
      </c>
      <c r="AH121" s="1421">
        <f>IF(AG121&gt;500000,500000,AG121)</f>
        <v>-500000</v>
      </c>
      <c r="AI121" s="1420">
        <f>AE118-500000</f>
        <v>-500000</v>
      </c>
      <c r="AJ121" s="1421">
        <f>IF(AI121&gt;500000,500000,AI121)</f>
        <v>-500000</v>
      </c>
      <c r="AK121" s="1421"/>
      <c r="AL121" s="1390"/>
      <c r="AM121" s="1083"/>
      <c r="AN121" s="1083"/>
      <c r="AO121" s="1083"/>
      <c r="AP121" s="1083"/>
      <c r="AQ121" s="1083"/>
      <c r="AR121" s="1083"/>
      <c r="AS121" s="1083"/>
      <c r="AT121" s="1083"/>
      <c r="AU121" s="1083"/>
      <c r="AV121" s="1083"/>
      <c r="AW121" s="1083"/>
      <c r="AX121" s="1083"/>
      <c r="AY121" s="1083"/>
      <c r="AZ121" s="1083"/>
      <c r="BA121" s="1083"/>
      <c r="BB121" s="1083"/>
      <c r="BC121" s="1083"/>
      <c r="BD121" s="1083"/>
      <c r="BE121" s="1083"/>
      <c r="BF121" s="1083"/>
      <c r="BG121" s="1083"/>
      <c r="BH121" s="1083"/>
      <c r="BI121" s="1083"/>
      <c r="BJ121" s="1083"/>
      <c r="BK121" s="1083"/>
      <c r="BL121" s="1083"/>
      <c r="BM121" s="1083"/>
      <c r="BN121" s="1083"/>
      <c r="BO121" s="1083"/>
      <c r="BP121" s="1083"/>
      <c r="BQ121" s="1083"/>
      <c r="BR121" s="100"/>
      <c r="BS121" s="100"/>
      <c r="BT121" s="100"/>
      <c r="BU121" s="100"/>
      <c r="BV121" s="100"/>
      <c r="BW121" s="100"/>
      <c r="BX121" s="100"/>
      <c r="BY121" s="100"/>
    </row>
    <row r="122" spans="1:77" ht="14.25">
      <c r="A122" s="1083"/>
      <c r="B122" s="1083"/>
      <c r="C122" s="1083"/>
      <c r="D122" s="1083"/>
      <c r="E122" s="1083"/>
      <c r="F122" s="1083"/>
      <c r="G122" s="1083"/>
      <c r="H122" s="1083"/>
      <c r="I122" s="1083"/>
      <c r="J122" s="1083"/>
      <c r="K122" s="1083"/>
      <c r="L122" s="1083"/>
      <c r="M122" s="1083"/>
      <c r="N122" s="1083"/>
      <c r="O122" s="1083"/>
      <c r="P122" s="1083"/>
      <c r="Q122" s="1083"/>
      <c r="R122" s="1083"/>
      <c r="S122" s="1083"/>
      <c r="T122" s="1083"/>
      <c r="U122" s="1083"/>
      <c r="V122" s="1083"/>
      <c r="W122" s="1083"/>
      <c r="X122" s="1083"/>
      <c r="Y122" s="1083"/>
      <c r="Z122" s="1083"/>
      <c r="AA122" s="1083"/>
      <c r="AB122" s="1559" t="s">
        <v>684</v>
      </c>
      <c r="AC122" s="1560">
        <f>IF(AH122&gt;0,AH122,0)*30%</f>
        <v>0</v>
      </c>
      <c r="AD122" s="1434" t="s">
        <v>684</v>
      </c>
      <c r="AE122" s="1627">
        <f>IF(AJ122&gt;0,AJ122,0)*30%</f>
        <v>0</v>
      </c>
      <c r="AF122" s="1414"/>
      <c r="AG122" s="1420">
        <f>AC118-1000000</f>
        <v>-1000000</v>
      </c>
      <c r="AH122" s="1421">
        <f>IF(AG122&gt;500000,500000,AG122)</f>
        <v>-1000000</v>
      </c>
      <c r="AI122" s="1420">
        <f>AE118-1000000</f>
        <v>-1000000</v>
      </c>
      <c r="AJ122" s="1421">
        <f>IF(AI122&gt;500000,500000,AI122)</f>
        <v>-1000000</v>
      </c>
      <c r="AK122" s="1421"/>
      <c r="AL122" s="1390"/>
      <c r="AM122" s="1083"/>
      <c r="AN122" s="1083"/>
      <c r="AO122" s="1083"/>
      <c r="AP122" s="1083"/>
      <c r="AQ122" s="1083"/>
      <c r="AR122" s="1083"/>
      <c r="AS122" s="1083"/>
      <c r="AT122" s="1083"/>
      <c r="AU122" s="1083"/>
      <c r="AV122" s="1083"/>
      <c r="AW122" s="1083"/>
      <c r="AX122" s="1083"/>
      <c r="AY122" s="1083"/>
      <c r="AZ122" s="1083"/>
      <c r="BA122" s="1083"/>
      <c r="BB122" s="1083"/>
      <c r="BC122" s="1083"/>
      <c r="BD122" s="1083"/>
      <c r="BE122" s="1083"/>
      <c r="BF122" s="1083"/>
      <c r="BG122" s="1083"/>
      <c r="BH122" s="1083"/>
      <c r="BI122" s="1083"/>
      <c r="BJ122" s="1083"/>
      <c r="BK122" s="1083"/>
      <c r="BL122" s="1083"/>
      <c r="BM122" s="1083"/>
      <c r="BN122" s="1083"/>
      <c r="BO122" s="1083"/>
      <c r="BP122" s="1083"/>
      <c r="BQ122" s="1083"/>
      <c r="BR122" s="100"/>
      <c r="BS122" s="100"/>
      <c r="BT122" s="100"/>
      <c r="BU122" s="100"/>
      <c r="BV122" s="100"/>
      <c r="BW122" s="100"/>
      <c r="BX122" s="100"/>
      <c r="BY122" s="100"/>
    </row>
    <row r="123" spans="1:77" ht="14.25">
      <c r="A123" s="1083"/>
      <c r="B123" s="1083"/>
      <c r="C123" s="1083"/>
      <c r="D123" s="1083"/>
      <c r="E123" s="1083"/>
      <c r="F123" s="1083"/>
      <c r="G123" s="1083"/>
      <c r="H123" s="1083"/>
      <c r="I123" s="1083"/>
      <c r="J123" s="1083"/>
      <c r="K123" s="1083"/>
      <c r="L123" s="1083"/>
      <c r="M123" s="1083"/>
      <c r="N123" s="1083"/>
      <c r="O123" s="1083"/>
      <c r="P123" s="1083"/>
      <c r="Q123" s="1083"/>
      <c r="R123" s="1083"/>
      <c r="S123" s="1083"/>
      <c r="T123" s="1083"/>
      <c r="U123" s="1083"/>
      <c r="V123" s="1083"/>
      <c r="W123" s="1083"/>
      <c r="X123" s="1083"/>
      <c r="Y123" s="1083"/>
      <c r="Z123" s="1083"/>
      <c r="AA123" s="1083"/>
      <c r="AB123" s="1439" t="s">
        <v>685</v>
      </c>
      <c r="AC123" s="1560">
        <f>IF(AC118&gt;500000,0,2500)</f>
        <v>2500</v>
      </c>
      <c r="AD123" s="1561" t="s">
        <v>685</v>
      </c>
      <c r="AE123" s="1560">
        <f>IF(AE118&gt;500000,0,2500)</f>
        <v>2500</v>
      </c>
      <c r="AF123" s="1414"/>
      <c r="AG123" s="1083"/>
      <c r="AH123" s="1083"/>
      <c r="AI123" s="1083"/>
      <c r="AJ123" s="1083"/>
      <c r="AK123" s="1083"/>
      <c r="AL123" s="1390"/>
      <c r="AM123" s="1083"/>
      <c r="AN123" s="1083"/>
      <c r="AO123" s="1083"/>
      <c r="AP123" s="1083"/>
      <c r="AQ123" s="1083"/>
      <c r="AR123" s="1083"/>
      <c r="AS123" s="1083"/>
      <c r="AT123" s="1083"/>
      <c r="AU123" s="1083"/>
      <c r="AV123" s="1083"/>
      <c r="AW123" s="1083"/>
      <c r="AX123" s="1083"/>
      <c r="AY123" s="1083"/>
      <c r="AZ123" s="1083"/>
      <c r="BA123" s="1083"/>
      <c r="BB123" s="1083"/>
      <c r="BC123" s="1083"/>
      <c r="BD123" s="1083"/>
      <c r="BE123" s="1083"/>
      <c r="BF123" s="1083"/>
      <c r="BG123" s="1083"/>
      <c r="BH123" s="1083"/>
      <c r="BI123" s="1083"/>
      <c r="BJ123" s="1083"/>
      <c r="BK123" s="1083"/>
      <c r="BL123" s="1083"/>
      <c r="BM123" s="1083"/>
      <c r="BN123" s="1083"/>
      <c r="BO123" s="1083"/>
      <c r="BP123" s="1083"/>
      <c r="BQ123" s="1083"/>
      <c r="BR123" s="100"/>
      <c r="BS123" s="100"/>
      <c r="BT123" s="100"/>
      <c r="BU123" s="100"/>
      <c r="BV123" s="100"/>
      <c r="BW123" s="100"/>
      <c r="BX123" s="100"/>
      <c r="BY123" s="100"/>
    </row>
    <row r="124" spans="1:77" ht="14.25">
      <c r="A124" s="1083"/>
      <c r="B124" s="1083"/>
      <c r="C124" s="1083"/>
      <c r="D124" s="1083"/>
      <c r="E124" s="1083"/>
      <c r="F124" s="1083"/>
      <c r="G124" s="1083"/>
      <c r="H124" s="1083"/>
      <c r="I124" s="1083"/>
      <c r="J124" s="1083"/>
      <c r="K124" s="1083"/>
      <c r="L124" s="1083"/>
      <c r="M124" s="1083"/>
      <c r="N124" s="1083"/>
      <c r="O124" s="1083"/>
      <c r="P124" s="1083"/>
      <c r="Q124" s="1083"/>
      <c r="R124" s="1083"/>
      <c r="S124" s="1083"/>
      <c r="T124" s="1083"/>
      <c r="U124" s="1083"/>
      <c r="V124" s="1083"/>
      <c r="W124" s="1083"/>
      <c r="X124" s="1083"/>
      <c r="Y124" s="1083"/>
      <c r="Z124" s="1083"/>
      <c r="AA124" s="1083"/>
      <c r="AB124" s="1453" t="s">
        <v>10</v>
      </c>
      <c r="AC124" s="1454">
        <f>IF((SUM(AC120:AC122)-AC123)&gt;0,(SUM(AC120:AC122)-AC123),0)</f>
        <v>0</v>
      </c>
      <c r="AD124" s="1455" t="s">
        <v>10</v>
      </c>
      <c r="AE124" s="1454">
        <f>IF((SUM(AE120:AE122)-AE123)&gt;0,(SUM(AE120:AE122)-AE123),0)</f>
        <v>0</v>
      </c>
      <c r="AF124" s="1456"/>
      <c r="AG124" s="1083">
        <v>500000</v>
      </c>
      <c r="AH124" s="1083">
        <f>IF(DATA!K50&gt;AG124,AG125,0)</f>
        <v>0</v>
      </c>
      <c r="AI124" s="1083"/>
      <c r="AJ124" s="1083"/>
      <c r="AK124" s="1083"/>
      <c r="AL124" s="1390"/>
      <c r="AM124" s="1083"/>
      <c r="AN124" s="1083"/>
      <c r="AO124" s="1083"/>
      <c r="AP124" s="1083"/>
      <c r="AQ124" s="1083"/>
      <c r="AR124" s="1083"/>
      <c r="AS124" s="1083"/>
      <c r="AT124" s="1083"/>
      <c r="AU124" s="1083"/>
      <c r="AV124" s="1083"/>
      <c r="AW124" s="1083"/>
      <c r="AX124" s="1083"/>
      <c r="AY124" s="1083"/>
      <c r="AZ124" s="1083"/>
      <c r="BA124" s="1083"/>
      <c r="BB124" s="1083"/>
      <c r="BC124" s="1083"/>
      <c r="BD124" s="1083"/>
      <c r="BE124" s="1083"/>
      <c r="BF124" s="1083"/>
      <c r="BG124" s="1083"/>
      <c r="BH124" s="1083"/>
      <c r="BI124" s="1083"/>
      <c r="BJ124" s="1083"/>
      <c r="BK124" s="1083"/>
      <c r="BL124" s="1083"/>
      <c r="BM124" s="1083"/>
      <c r="BN124" s="1083"/>
      <c r="BO124" s="1083"/>
      <c r="BP124" s="1083"/>
      <c r="BQ124" s="1083"/>
      <c r="BR124" s="100"/>
      <c r="BS124" s="100"/>
      <c r="BT124" s="100"/>
      <c r="BU124" s="100"/>
      <c r="BV124" s="100"/>
      <c r="BW124" s="100"/>
      <c r="BX124" s="100"/>
      <c r="BY124" s="100"/>
    </row>
    <row r="125" spans="1:77" ht="14.25">
      <c r="A125" s="1083"/>
      <c r="B125" s="1083"/>
      <c r="C125" s="1083"/>
      <c r="D125" s="1083"/>
      <c r="E125" s="1083"/>
      <c r="F125" s="1083"/>
      <c r="G125" s="1083"/>
      <c r="H125" s="1083"/>
      <c r="I125" s="1083"/>
      <c r="J125" s="1083"/>
      <c r="K125" s="1083"/>
      <c r="L125" s="1083"/>
      <c r="M125" s="1083"/>
      <c r="N125" s="1083"/>
      <c r="O125" s="1083"/>
      <c r="P125" s="1083"/>
      <c r="Q125" s="1083"/>
      <c r="R125" s="1083"/>
      <c r="S125" s="1083"/>
      <c r="T125" s="1083"/>
      <c r="U125" s="1083"/>
      <c r="V125" s="1083"/>
      <c r="W125" s="1083"/>
      <c r="X125" s="1083"/>
      <c r="Y125" s="1083"/>
      <c r="Z125" s="1083"/>
      <c r="AA125" s="1083"/>
      <c r="AB125" s="1628" t="s">
        <v>720</v>
      </c>
      <c r="AC125" s="1629">
        <f>ROUND(AC124*1%,0.1)</f>
        <v>0</v>
      </c>
      <c r="AD125" s="1630" t="s">
        <v>720</v>
      </c>
      <c r="AE125" s="1629">
        <f>ROUND(AE124*1%,0.1)</f>
        <v>0</v>
      </c>
      <c r="AF125" s="1456"/>
      <c r="AG125" s="1631">
        <f>IF(AH120&gt;0,AH120,0)*5%</f>
        <v>0</v>
      </c>
      <c r="AH125" s="1083">
        <f>IF(DATA!K50&gt;AG124,AG126,0)</f>
        <v>0</v>
      </c>
      <c r="AI125" s="1083"/>
      <c r="AJ125" s="1083"/>
      <c r="AK125" s="1083"/>
      <c r="AL125" s="1390"/>
      <c r="AM125" s="1083"/>
      <c r="AN125" s="1083"/>
      <c r="AO125" s="1083"/>
      <c r="AP125" s="1083"/>
      <c r="AQ125" s="1083"/>
      <c r="AR125" s="1083"/>
      <c r="AS125" s="1083"/>
      <c r="AT125" s="1083"/>
      <c r="AU125" s="1083"/>
      <c r="AV125" s="1083"/>
      <c r="AW125" s="1083"/>
      <c r="AX125" s="1083"/>
      <c r="AY125" s="1083"/>
      <c r="AZ125" s="1083"/>
      <c r="BA125" s="1083"/>
      <c r="BB125" s="1083"/>
      <c r="BC125" s="1083"/>
      <c r="BD125" s="1083"/>
      <c r="BE125" s="1083"/>
      <c r="BF125" s="1083"/>
      <c r="BG125" s="1083"/>
      <c r="BH125" s="1083"/>
      <c r="BI125" s="1083"/>
      <c r="BJ125" s="1083"/>
      <c r="BK125" s="1083"/>
      <c r="BL125" s="1083"/>
      <c r="BM125" s="1083"/>
      <c r="BN125" s="1083"/>
      <c r="BO125" s="1083"/>
      <c r="BP125" s="1083"/>
      <c r="BQ125" s="1083"/>
      <c r="BR125" s="100"/>
      <c r="BS125" s="100"/>
      <c r="BT125" s="100"/>
      <c r="BU125" s="100"/>
      <c r="BV125" s="100"/>
      <c r="BW125" s="100"/>
      <c r="BX125" s="100"/>
      <c r="BY125" s="100"/>
    </row>
    <row r="126" spans="1:77" ht="14.25">
      <c r="A126" s="1083"/>
      <c r="B126" s="1083"/>
      <c r="C126" s="1083"/>
      <c r="D126" s="1083"/>
      <c r="E126" s="1083"/>
      <c r="F126" s="1083"/>
      <c r="G126" s="1083"/>
      <c r="H126" s="1083"/>
      <c r="I126" s="1083"/>
      <c r="J126" s="1083"/>
      <c r="K126" s="1083"/>
      <c r="L126" s="1083"/>
      <c r="M126" s="1083"/>
      <c r="N126" s="1083"/>
      <c r="O126" s="1083"/>
      <c r="P126" s="1083"/>
      <c r="Q126" s="1083"/>
      <c r="R126" s="1083"/>
      <c r="S126" s="1083"/>
      <c r="T126" s="1083"/>
      <c r="U126" s="1083"/>
      <c r="V126" s="1083"/>
      <c r="W126" s="1083"/>
      <c r="X126" s="1083"/>
      <c r="Y126" s="1083"/>
      <c r="Z126" s="1083"/>
      <c r="AA126" s="1083"/>
      <c r="AB126" s="1632" t="s">
        <v>723</v>
      </c>
      <c r="AC126" s="1627">
        <f>ROUND(AC124*3%,0.1)</f>
        <v>0</v>
      </c>
      <c r="AD126" s="1633" t="s">
        <v>721</v>
      </c>
      <c r="AE126" s="1627">
        <f>ROUND(AE124*3%,0.1)</f>
        <v>0</v>
      </c>
      <c r="AF126" s="1456"/>
      <c r="AG126" s="1083">
        <f>IF(AJ120&gt;0,AJ120,0)*5%</f>
        <v>0</v>
      </c>
      <c r="AH126" s="1083"/>
      <c r="AI126" s="1083"/>
      <c r="AJ126" s="1083"/>
      <c r="AK126" s="1083"/>
      <c r="AL126" s="1390"/>
      <c r="AM126" s="1083"/>
      <c r="AN126" s="1083"/>
      <c r="AO126" s="1083"/>
      <c r="AP126" s="1083"/>
      <c r="AQ126" s="1083"/>
      <c r="AR126" s="1083"/>
      <c r="AS126" s="1083"/>
      <c r="AT126" s="1083"/>
      <c r="AU126" s="1083"/>
      <c r="AV126" s="1083"/>
      <c r="AW126" s="1083"/>
      <c r="AX126" s="1083"/>
      <c r="AY126" s="1083"/>
      <c r="AZ126" s="1083"/>
      <c r="BA126" s="1083"/>
      <c r="BB126" s="1083"/>
      <c r="BC126" s="1083"/>
      <c r="BD126" s="1083"/>
      <c r="BE126" s="1083"/>
      <c r="BF126" s="1083"/>
      <c r="BG126" s="1083"/>
      <c r="BH126" s="1083"/>
      <c r="BI126" s="1083"/>
      <c r="BJ126" s="1083"/>
      <c r="BK126" s="1083"/>
      <c r="BL126" s="1083"/>
      <c r="BM126" s="1083"/>
      <c r="BN126" s="1083"/>
      <c r="BO126" s="1083"/>
      <c r="BP126" s="1083"/>
      <c r="BQ126" s="1083"/>
      <c r="BR126" s="100"/>
      <c r="BS126" s="100"/>
      <c r="BT126" s="100"/>
      <c r="BU126" s="100"/>
      <c r="BV126" s="100"/>
      <c r="BW126" s="100"/>
      <c r="BX126" s="100"/>
      <c r="BY126" s="100"/>
    </row>
    <row r="127" spans="1:77" ht="18">
      <c r="A127" s="1083"/>
      <c r="B127" s="1083"/>
      <c r="C127" s="1083"/>
      <c r="D127" s="1083"/>
      <c r="E127" s="1083"/>
      <c r="F127" s="1083"/>
      <c r="G127" s="1083"/>
      <c r="H127" s="1083"/>
      <c r="I127" s="1083"/>
      <c r="J127" s="1083"/>
      <c r="K127" s="1083"/>
      <c r="L127" s="1083"/>
      <c r="M127" s="1083"/>
      <c r="N127" s="1083"/>
      <c r="O127" s="1083"/>
      <c r="P127" s="1083"/>
      <c r="Q127" s="1083"/>
      <c r="R127" s="1083"/>
      <c r="S127" s="1083"/>
      <c r="T127" s="1083"/>
      <c r="U127" s="1083"/>
      <c r="V127" s="1083"/>
      <c r="W127" s="1083"/>
      <c r="X127" s="1083"/>
      <c r="Y127" s="1083"/>
      <c r="Z127" s="1083"/>
      <c r="AA127" s="1083"/>
      <c r="AB127" s="1478" t="s">
        <v>688</v>
      </c>
      <c r="AC127" s="1479">
        <f>SUM(AC124:AC126)</f>
        <v>0</v>
      </c>
      <c r="AD127" s="1480" t="s">
        <v>688</v>
      </c>
      <c r="AE127" s="1479">
        <f>SUM(AE124:AE126)</f>
        <v>0</v>
      </c>
      <c r="AF127" s="1481">
        <f>AC127-AE127</f>
        <v>0</v>
      </c>
      <c r="AG127" s="1083"/>
      <c r="AH127" s="1083"/>
      <c r="AI127" s="1083"/>
      <c r="AJ127" s="1083"/>
      <c r="AK127" s="1083"/>
      <c r="AL127" s="1390"/>
      <c r="AM127" s="1083"/>
      <c r="AN127" s="1083"/>
      <c r="AO127" s="1083"/>
      <c r="AP127" s="1083"/>
      <c r="AQ127" s="1083"/>
      <c r="AR127" s="1083"/>
      <c r="AS127" s="1083"/>
      <c r="AT127" s="1083"/>
      <c r="AU127" s="1083"/>
      <c r="AV127" s="1083"/>
      <c r="AW127" s="1083"/>
      <c r="AX127" s="1083"/>
      <c r="AY127" s="1083"/>
      <c r="AZ127" s="1083"/>
      <c r="BA127" s="1083"/>
      <c r="BB127" s="1083"/>
      <c r="BC127" s="1083"/>
      <c r="BD127" s="1083"/>
      <c r="BE127" s="1083"/>
      <c r="BF127" s="1083"/>
      <c r="BG127" s="1083"/>
      <c r="BH127" s="1083"/>
      <c r="BI127" s="1083"/>
      <c r="BJ127" s="1083"/>
      <c r="BK127" s="1083"/>
      <c r="BL127" s="1083"/>
      <c r="BM127" s="1083"/>
      <c r="BN127" s="1083"/>
      <c r="BO127" s="1083"/>
      <c r="BP127" s="1083"/>
      <c r="BQ127" s="1083"/>
      <c r="BR127" s="100"/>
      <c r="BS127" s="100"/>
      <c r="BT127" s="100"/>
      <c r="BU127" s="100"/>
      <c r="BV127" s="100"/>
      <c r="BW127" s="100"/>
      <c r="BX127" s="100"/>
      <c r="BY127" s="100"/>
    </row>
    <row r="128" spans="1:77">
      <c r="A128" s="1083"/>
      <c r="B128" s="1083"/>
      <c r="C128" s="1083"/>
      <c r="D128" s="1083"/>
      <c r="E128" s="1083"/>
      <c r="F128" s="1083"/>
      <c r="G128" s="1083"/>
      <c r="H128" s="1083"/>
      <c r="I128" s="1083"/>
      <c r="J128" s="1083"/>
      <c r="K128" s="1083"/>
      <c r="L128" s="1083"/>
      <c r="M128" s="1083"/>
      <c r="N128" s="1083"/>
      <c r="O128" s="1083"/>
      <c r="P128" s="1083"/>
      <c r="Q128" s="1083"/>
      <c r="R128" s="1083"/>
      <c r="S128" s="1083"/>
      <c r="T128" s="1083"/>
      <c r="U128" s="1083"/>
      <c r="V128" s="1083"/>
      <c r="W128" s="1083"/>
      <c r="X128" s="1083"/>
      <c r="Y128" s="1083"/>
      <c r="Z128" s="1083"/>
      <c r="AA128" s="1083"/>
      <c r="AB128" s="1083"/>
      <c r="AC128" s="1389"/>
      <c r="AD128" s="1083"/>
      <c r="AE128" s="1389"/>
      <c r="AF128" s="1083"/>
      <c r="AG128" s="1083"/>
      <c r="AH128" s="1083"/>
      <c r="AI128" s="1083"/>
      <c r="AJ128" s="1083"/>
      <c r="AK128" s="1083"/>
      <c r="AL128" s="1390"/>
      <c r="AM128" s="1083"/>
      <c r="AN128" s="1083"/>
      <c r="AO128" s="1083"/>
      <c r="AP128" s="1083"/>
      <c r="AQ128" s="1083"/>
      <c r="AR128" s="1083"/>
      <c r="AS128" s="1083"/>
      <c r="AT128" s="1083"/>
      <c r="AU128" s="1083"/>
      <c r="AV128" s="1083"/>
      <c r="AW128" s="1083"/>
      <c r="AX128" s="1083"/>
      <c r="AY128" s="1083"/>
      <c r="AZ128" s="1083"/>
      <c r="BA128" s="1083"/>
      <c r="BB128" s="1083"/>
      <c r="BC128" s="1083"/>
      <c r="BD128" s="1083"/>
      <c r="BE128" s="1083"/>
      <c r="BF128" s="1083"/>
      <c r="BG128" s="1083"/>
      <c r="BH128" s="1083"/>
      <c r="BI128" s="1083"/>
      <c r="BJ128" s="1083"/>
      <c r="BK128" s="1083"/>
      <c r="BL128" s="1083"/>
      <c r="BM128" s="1083"/>
      <c r="BN128" s="1083"/>
      <c r="BO128" s="1083"/>
      <c r="BP128" s="1083"/>
      <c r="BQ128" s="1083"/>
      <c r="BR128" s="100"/>
      <c r="BS128" s="100"/>
      <c r="BT128" s="100"/>
      <c r="BU128" s="100"/>
      <c r="BV128" s="100"/>
      <c r="BW128" s="100"/>
      <c r="BX128" s="100"/>
      <c r="BY128" s="100"/>
    </row>
    <row r="129" spans="1:77">
      <c r="A129" s="1083"/>
      <c r="B129" s="1083"/>
      <c r="C129" s="1083"/>
      <c r="D129" s="1083"/>
      <c r="E129" s="1083"/>
      <c r="F129" s="1083"/>
      <c r="G129" s="1083"/>
      <c r="H129" s="1083"/>
      <c r="I129" s="1083"/>
      <c r="J129" s="1083"/>
      <c r="K129" s="1083"/>
      <c r="L129" s="1083"/>
      <c r="M129" s="1083"/>
      <c r="N129" s="1083"/>
      <c r="O129" s="1083"/>
      <c r="P129" s="1083"/>
      <c r="Q129" s="1083"/>
      <c r="R129" s="1083"/>
      <c r="S129" s="1083"/>
      <c r="T129" s="1083"/>
      <c r="U129" s="1083"/>
      <c r="V129" s="1083"/>
      <c r="W129" s="1083"/>
      <c r="X129" s="1083"/>
      <c r="Y129" s="1083"/>
      <c r="Z129" s="1083"/>
      <c r="AA129" s="1083"/>
      <c r="AB129" s="1083"/>
      <c r="AC129" s="1389"/>
      <c r="AD129" s="1083"/>
      <c r="AE129" s="1389"/>
      <c r="AF129" s="1083"/>
      <c r="AG129" s="1083"/>
      <c r="AH129" s="1083"/>
      <c r="AI129" s="1083"/>
      <c r="AJ129" s="1083"/>
      <c r="AK129" s="1083"/>
      <c r="AL129" s="1390"/>
      <c r="AM129" s="1083"/>
      <c r="AN129" s="1083"/>
      <c r="AO129" s="1083"/>
      <c r="AP129" s="1083"/>
      <c r="AQ129" s="1083"/>
      <c r="AR129" s="1083"/>
      <c r="AS129" s="1083"/>
      <c r="AT129" s="1083"/>
      <c r="AU129" s="1083"/>
      <c r="AV129" s="1083"/>
      <c r="AW129" s="1083"/>
      <c r="AX129" s="1083"/>
      <c r="AY129" s="1083"/>
      <c r="AZ129" s="1083"/>
      <c r="BA129" s="1083"/>
      <c r="BB129" s="1083"/>
      <c r="BC129" s="1083"/>
      <c r="BD129" s="1083"/>
      <c r="BE129" s="1083"/>
      <c r="BF129" s="1083"/>
      <c r="BG129" s="1083"/>
      <c r="BH129" s="1083"/>
      <c r="BI129" s="1083"/>
      <c r="BJ129" s="1083"/>
      <c r="BK129" s="1083"/>
      <c r="BL129" s="1083"/>
      <c r="BM129" s="1083"/>
      <c r="BN129" s="1083"/>
      <c r="BO129" s="1083"/>
      <c r="BP129" s="1083"/>
      <c r="BQ129" s="1083"/>
      <c r="BR129" s="100"/>
      <c r="BS129" s="100"/>
      <c r="BT129" s="100"/>
      <c r="BU129" s="100"/>
      <c r="BV129" s="100"/>
      <c r="BW129" s="100"/>
      <c r="BX129" s="100"/>
      <c r="BY129" s="100"/>
    </row>
    <row r="130" spans="1:77">
      <c r="A130" s="1083"/>
      <c r="B130" s="1083"/>
      <c r="C130" s="1083"/>
      <c r="D130" s="1083"/>
      <c r="E130" s="1083"/>
      <c r="F130" s="1083"/>
      <c r="G130" s="1083"/>
      <c r="H130" s="1083"/>
      <c r="I130" s="1083"/>
      <c r="J130" s="1083"/>
      <c r="K130" s="1083"/>
      <c r="L130" s="1083"/>
      <c r="M130" s="1083"/>
      <c r="N130" s="1083"/>
      <c r="O130" s="1083"/>
      <c r="P130" s="1083"/>
      <c r="Q130" s="1083"/>
      <c r="R130" s="1083"/>
      <c r="S130" s="1083"/>
      <c r="T130" s="1083"/>
      <c r="U130" s="1083"/>
      <c r="V130" s="1083"/>
      <c r="W130" s="1083"/>
      <c r="X130" s="1083"/>
      <c r="Y130" s="1083"/>
      <c r="Z130" s="1083"/>
      <c r="AA130" s="1083"/>
      <c r="AB130" s="1083"/>
      <c r="AC130" s="1389"/>
      <c r="AD130" s="1083"/>
      <c r="AE130" s="1389"/>
      <c r="AF130" s="1083"/>
      <c r="AG130" s="1083"/>
      <c r="AH130" s="1083"/>
      <c r="AI130" s="1083"/>
      <c r="AJ130" s="1083"/>
      <c r="AK130" s="1083"/>
      <c r="AL130" s="1390"/>
      <c r="AM130" s="1083"/>
      <c r="AN130" s="1083"/>
      <c r="AO130" s="1083"/>
      <c r="AP130" s="1083"/>
      <c r="AQ130" s="1083"/>
      <c r="AR130" s="1083"/>
      <c r="AS130" s="1083"/>
      <c r="AT130" s="1083"/>
      <c r="AU130" s="1083"/>
      <c r="AV130" s="1083"/>
      <c r="AW130" s="1083"/>
      <c r="AX130" s="1083"/>
      <c r="AY130" s="1083"/>
      <c r="AZ130" s="1083"/>
      <c r="BA130" s="1083"/>
      <c r="BB130" s="1083"/>
      <c r="BC130" s="1083"/>
      <c r="BD130" s="1083"/>
      <c r="BE130" s="1083"/>
      <c r="BF130" s="1083"/>
      <c r="BG130" s="1083"/>
      <c r="BH130" s="1083"/>
      <c r="BI130" s="1083"/>
      <c r="BJ130" s="1083"/>
      <c r="BK130" s="1083"/>
      <c r="BL130" s="1083"/>
      <c r="BM130" s="1083"/>
      <c r="BN130" s="1083"/>
      <c r="BO130" s="1083"/>
      <c r="BP130" s="1083"/>
      <c r="BQ130" s="1083"/>
      <c r="BR130" s="100"/>
      <c r="BS130" s="100"/>
      <c r="BT130" s="100"/>
      <c r="BU130" s="100"/>
      <c r="BV130" s="100"/>
      <c r="BW130" s="100"/>
      <c r="BX130" s="100"/>
      <c r="BY130" s="100"/>
    </row>
    <row r="131" spans="1:77">
      <c r="A131" s="1083"/>
      <c r="B131" s="1083"/>
      <c r="C131" s="1083"/>
      <c r="D131" s="1083"/>
      <c r="E131" s="1083"/>
      <c r="F131" s="1083"/>
      <c r="G131" s="1083"/>
      <c r="H131" s="1083"/>
      <c r="I131" s="1083"/>
      <c r="J131" s="1083"/>
      <c r="K131" s="1083"/>
      <c r="L131" s="1083"/>
      <c r="M131" s="1083"/>
      <c r="N131" s="1083"/>
      <c r="O131" s="1083"/>
      <c r="P131" s="1083"/>
      <c r="Q131" s="1083"/>
      <c r="R131" s="1083"/>
      <c r="S131" s="1083"/>
      <c r="T131" s="1083"/>
      <c r="U131" s="1083"/>
      <c r="V131" s="1083"/>
      <c r="W131" s="1083"/>
      <c r="X131" s="1083"/>
      <c r="Y131" s="1083"/>
      <c r="Z131" s="1083"/>
      <c r="AA131" s="1083"/>
      <c r="AB131" s="1083"/>
      <c r="AC131" s="1389"/>
      <c r="AD131" s="1083"/>
      <c r="AE131" s="1389"/>
      <c r="AF131" s="1083"/>
      <c r="AG131" s="1083"/>
      <c r="AH131" s="1083"/>
      <c r="AI131" s="1083"/>
      <c r="AJ131" s="1083"/>
      <c r="AK131" s="1083"/>
      <c r="AL131" s="1390"/>
      <c r="AM131" s="1083"/>
      <c r="AN131" s="1083"/>
      <c r="AO131" s="1083"/>
      <c r="AP131" s="1083"/>
      <c r="AQ131" s="1083"/>
      <c r="AR131" s="1083"/>
      <c r="AS131" s="1083"/>
      <c r="AT131" s="1083"/>
      <c r="AU131" s="1083"/>
      <c r="AV131" s="1083"/>
      <c r="AW131" s="1083"/>
      <c r="AX131" s="1083"/>
      <c r="AY131" s="1083"/>
      <c r="AZ131" s="1083"/>
      <c r="BA131" s="1083"/>
      <c r="BB131" s="1083"/>
      <c r="BC131" s="1083"/>
      <c r="BD131" s="1083"/>
      <c r="BE131" s="1083"/>
      <c r="BF131" s="1083"/>
      <c r="BG131" s="1083"/>
      <c r="BH131" s="1083"/>
      <c r="BI131" s="1083"/>
      <c r="BJ131" s="1083"/>
      <c r="BK131" s="1083"/>
      <c r="BL131" s="1083"/>
      <c r="BM131" s="1083"/>
      <c r="BN131" s="1083"/>
      <c r="BO131" s="1083"/>
      <c r="BP131" s="1083"/>
      <c r="BQ131" s="1083"/>
      <c r="BR131" s="100"/>
      <c r="BS131" s="100"/>
      <c r="BT131" s="100"/>
      <c r="BU131" s="100"/>
      <c r="BV131" s="100"/>
      <c r="BW131" s="100"/>
      <c r="BX131" s="100"/>
      <c r="BY131" s="100"/>
    </row>
    <row r="132" spans="1:77">
      <c r="A132" s="1083"/>
      <c r="B132" s="1083"/>
      <c r="C132" s="1083"/>
      <c r="D132" s="1083"/>
      <c r="E132" s="1083"/>
      <c r="F132" s="1083"/>
      <c r="G132" s="1083"/>
      <c r="H132" s="1083"/>
      <c r="I132" s="1083"/>
      <c r="J132" s="1083"/>
      <c r="K132" s="1083"/>
      <c r="L132" s="1083"/>
      <c r="M132" s="1083"/>
      <c r="N132" s="1083"/>
      <c r="O132" s="1083"/>
      <c r="P132" s="1083"/>
      <c r="Q132" s="1083"/>
      <c r="R132" s="1083"/>
      <c r="S132" s="1083"/>
      <c r="T132" s="1083"/>
      <c r="U132" s="1083"/>
      <c r="V132" s="1083"/>
      <c r="W132" s="1083"/>
      <c r="X132" s="1083"/>
      <c r="Y132" s="1083"/>
      <c r="Z132" s="1083"/>
      <c r="AA132" s="1083"/>
      <c r="AB132" s="1083"/>
      <c r="AC132" s="1389"/>
      <c r="AD132" s="1083"/>
      <c r="AE132" s="1389"/>
      <c r="AF132" s="1083"/>
      <c r="AG132" s="1083"/>
      <c r="AH132" s="1083"/>
      <c r="AI132" s="1083"/>
      <c r="AJ132" s="1083"/>
      <c r="AK132" s="1083"/>
      <c r="AL132" s="1390"/>
      <c r="AM132" s="1083"/>
      <c r="AN132" s="1083"/>
      <c r="AO132" s="1083"/>
      <c r="AP132" s="1083"/>
      <c r="AQ132" s="1083"/>
      <c r="AR132" s="1083"/>
      <c r="AS132" s="1083"/>
      <c r="AT132" s="1083"/>
      <c r="AU132" s="1083"/>
      <c r="AV132" s="1083"/>
      <c r="AW132" s="1083"/>
      <c r="AX132" s="1083"/>
      <c r="AY132" s="1083"/>
      <c r="AZ132" s="1083"/>
      <c r="BA132" s="1083"/>
      <c r="BB132" s="1083"/>
      <c r="BC132" s="1083"/>
      <c r="BD132" s="1083"/>
      <c r="BE132" s="1083"/>
      <c r="BF132" s="1083"/>
      <c r="BG132" s="1083"/>
      <c r="BH132" s="1083"/>
      <c r="BI132" s="1083"/>
      <c r="BJ132" s="1083"/>
      <c r="BK132" s="1083"/>
      <c r="BL132" s="1083"/>
      <c r="BM132" s="1083"/>
      <c r="BN132" s="1083"/>
      <c r="BO132" s="1083"/>
      <c r="BP132" s="1083"/>
      <c r="BQ132" s="1083"/>
      <c r="BR132" s="100"/>
      <c r="BS132" s="100"/>
      <c r="BT132" s="100"/>
      <c r="BU132" s="100"/>
      <c r="BV132" s="100"/>
      <c r="BW132" s="100"/>
      <c r="BX132" s="100"/>
      <c r="BY132" s="100"/>
    </row>
    <row r="133" spans="1:77">
      <c r="A133" s="1083"/>
      <c r="B133" s="1083"/>
      <c r="C133" s="1083"/>
      <c r="D133" s="1083"/>
      <c r="E133" s="1083"/>
      <c r="F133" s="1083"/>
      <c r="G133" s="1083"/>
      <c r="H133" s="1083"/>
      <c r="I133" s="1083"/>
      <c r="J133" s="1083"/>
      <c r="K133" s="1083"/>
      <c r="L133" s="1083"/>
      <c r="M133" s="1083"/>
      <c r="N133" s="1083"/>
      <c r="O133" s="1083"/>
      <c r="P133" s="1083"/>
      <c r="Q133" s="1083"/>
      <c r="R133" s="1083"/>
      <c r="S133" s="1083"/>
      <c r="T133" s="1083"/>
      <c r="U133" s="1083"/>
      <c r="V133" s="1083"/>
      <c r="W133" s="1083"/>
      <c r="X133" s="1083"/>
      <c r="Y133" s="1083"/>
      <c r="Z133" s="1083"/>
      <c r="AA133" s="1083"/>
      <c r="AB133" s="1083"/>
      <c r="AC133" s="1389"/>
      <c r="AD133" s="1083"/>
      <c r="AE133" s="1389"/>
      <c r="AF133" s="1083"/>
      <c r="AG133" s="1083"/>
      <c r="AH133" s="1083"/>
      <c r="AI133" s="1083"/>
      <c r="AJ133" s="1083"/>
      <c r="AK133" s="1083"/>
      <c r="AL133" s="1390"/>
      <c r="AM133" s="1083"/>
      <c r="AN133" s="1083"/>
      <c r="AO133" s="1083"/>
      <c r="AP133" s="1083"/>
      <c r="AQ133" s="1083"/>
      <c r="AR133" s="1083"/>
      <c r="AS133" s="1083"/>
      <c r="AT133" s="1083"/>
      <c r="AU133" s="1083"/>
      <c r="AV133" s="1083"/>
      <c r="AW133" s="1083"/>
      <c r="AX133" s="1083"/>
      <c r="AY133" s="1083"/>
      <c r="AZ133" s="1083"/>
      <c r="BA133" s="1083"/>
      <c r="BB133" s="1083"/>
      <c r="BC133" s="1083"/>
      <c r="BD133" s="1083"/>
      <c r="BE133" s="1083"/>
      <c r="BF133" s="1083"/>
      <c r="BG133" s="1083"/>
      <c r="BH133" s="1083"/>
      <c r="BI133" s="1083"/>
      <c r="BJ133" s="1083"/>
      <c r="BK133" s="1083"/>
      <c r="BL133" s="1083"/>
      <c r="BM133" s="1083"/>
      <c r="BN133" s="1083"/>
      <c r="BO133" s="1083"/>
      <c r="BP133" s="1083"/>
      <c r="BQ133" s="1083"/>
      <c r="BR133" s="100"/>
      <c r="BS133" s="100"/>
      <c r="BT133" s="100"/>
      <c r="BU133" s="100"/>
      <c r="BV133" s="100"/>
      <c r="BW133" s="100"/>
      <c r="BX133" s="100"/>
      <c r="BY133" s="100"/>
    </row>
    <row r="134" spans="1:77">
      <c r="A134" s="1083"/>
      <c r="B134" s="1083"/>
      <c r="C134" s="1083"/>
      <c r="D134" s="1083"/>
      <c r="E134" s="1083"/>
      <c r="F134" s="1083"/>
      <c r="G134" s="1083"/>
      <c r="H134" s="1083"/>
      <c r="I134" s="1083"/>
      <c r="J134" s="1083"/>
      <c r="K134" s="1083"/>
      <c r="L134" s="1083"/>
      <c r="M134" s="1083"/>
      <c r="N134" s="1083"/>
      <c r="O134" s="1083"/>
      <c r="P134" s="1083"/>
      <c r="Q134" s="1083"/>
      <c r="R134" s="1083"/>
      <c r="S134" s="1083"/>
      <c r="T134" s="1083"/>
      <c r="U134" s="1083"/>
      <c r="V134" s="1083"/>
      <c r="W134" s="1083"/>
      <c r="X134" s="1083"/>
      <c r="Y134" s="1083"/>
      <c r="Z134" s="1083"/>
      <c r="AA134" s="1083"/>
      <c r="AB134" s="1083"/>
      <c r="AC134" s="1389"/>
      <c r="AD134" s="1083"/>
      <c r="AE134" s="1389"/>
      <c r="AF134" s="1083"/>
      <c r="AG134" s="1083"/>
      <c r="AH134" s="1083"/>
      <c r="AI134" s="1083"/>
      <c r="AJ134" s="1083"/>
      <c r="AK134" s="1083"/>
      <c r="AL134" s="1390"/>
      <c r="AM134" s="1083"/>
      <c r="AN134" s="1083"/>
      <c r="AO134" s="1083"/>
      <c r="AP134" s="1083"/>
      <c r="AQ134" s="1083"/>
      <c r="AR134" s="1083"/>
      <c r="AS134" s="1083"/>
      <c r="AT134" s="1083"/>
      <c r="AU134" s="1083"/>
      <c r="AV134" s="1083"/>
      <c r="AW134" s="1083"/>
      <c r="AX134" s="1083"/>
      <c r="AY134" s="1083"/>
      <c r="AZ134" s="1083"/>
      <c r="BA134" s="1083"/>
      <c r="BB134" s="1083"/>
      <c r="BC134" s="1083"/>
      <c r="BD134" s="1083"/>
      <c r="BE134" s="1083"/>
      <c r="BF134" s="1083"/>
      <c r="BG134" s="1083"/>
      <c r="BH134" s="1083"/>
      <c r="BI134" s="1083"/>
      <c r="BJ134" s="1083"/>
      <c r="BK134" s="1083"/>
      <c r="BL134" s="1083"/>
      <c r="BM134" s="1083"/>
      <c r="BN134" s="1083"/>
      <c r="BO134" s="1083"/>
      <c r="BP134" s="1083"/>
      <c r="BQ134" s="1083"/>
      <c r="BR134" s="100"/>
      <c r="BS134" s="100"/>
      <c r="BT134" s="100"/>
      <c r="BU134" s="100"/>
      <c r="BV134" s="100"/>
      <c r="BW134" s="100"/>
      <c r="BX134" s="100"/>
      <c r="BY134" s="100"/>
    </row>
    <row r="135" spans="1:77">
      <c r="A135" s="1083"/>
      <c r="B135" s="1083"/>
      <c r="C135" s="1083"/>
      <c r="D135" s="1083"/>
      <c r="E135" s="1083"/>
      <c r="F135" s="1083"/>
      <c r="G135" s="1083"/>
      <c r="H135" s="1083"/>
      <c r="I135" s="1083"/>
      <c r="J135" s="1083"/>
      <c r="K135" s="1083"/>
      <c r="L135" s="1083"/>
      <c r="M135" s="1083"/>
      <c r="N135" s="1083"/>
      <c r="O135" s="1083"/>
      <c r="P135" s="1083"/>
      <c r="Q135" s="1083"/>
      <c r="R135" s="1083"/>
      <c r="S135" s="1083"/>
      <c r="T135" s="1083"/>
      <c r="U135" s="1083"/>
      <c r="V135" s="1083"/>
      <c r="W135" s="1083"/>
      <c r="X135" s="1083"/>
      <c r="Y135" s="1083"/>
      <c r="Z135" s="1083"/>
      <c r="AA135" s="1083"/>
      <c r="AB135" s="1083"/>
      <c r="AC135" s="1389"/>
      <c r="AD135" s="1083"/>
      <c r="AE135" s="1389"/>
      <c r="AF135" s="1083"/>
      <c r="AG135" s="1083"/>
      <c r="AH135" s="1083"/>
      <c r="AI135" s="1083"/>
      <c r="AJ135" s="1083"/>
      <c r="AK135" s="1083"/>
      <c r="AL135" s="1390"/>
      <c r="AM135" s="1083"/>
      <c r="AN135" s="1083"/>
      <c r="AO135" s="1083"/>
      <c r="AP135" s="1083"/>
      <c r="AQ135" s="1083"/>
      <c r="AR135" s="1083"/>
      <c r="AS135" s="1083"/>
      <c r="AT135" s="1083"/>
      <c r="AU135" s="1083"/>
      <c r="AV135" s="1083"/>
      <c r="AW135" s="1083"/>
      <c r="AX135" s="1083"/>
      <c r="AY135" s="1083"/>
      <c r="AZ135" s="1083"/>
      <c r="BA135" s="1083"/>
      <c r="BB135" s="1083"/>
      <c r="BC135" s="1083"/>
      <c r="BD135" s="1083"/>
      <c r="BE135" s="1083"/>
      <c r="BF135" s="1083"/>
      <c r="BG135" s="1083"/>
      <c r="BH135" s="1083"/>
      <c r="BI135" s="1083"/>
      <c r="BJ135" s="1083"/>
      <c r="BK135" s="1083"/>
      <c r="BL135" s="1083"/>
      <c r="BM135" s="1083"/>
      <c r="BN135" s="1083"/>
      <c r="BO135" s="1083"/>
      <c r="BP135" s="1083"/>
      <c r="BQ135" s="1083"/>
      <c r="BR135" s="100"/>
      <c r="BS135" s="100"/>
      <c r="BT135" s="100"/>
      <c r="BU135" s="100"/>
      <c r="BV135" s="100"/>
      <c r="BW135" s="100"/>
      <c r="BX135" s="100"/>
      <c r="BY135" s="100"/>
    </row>
    <row r="136" spans="1:77">
      <c r="A136" s="1083"/>
      <c r="B136" s="1083"/>
      <c r="C136" s="1083"/>
      <c r="D136" s="1083"/>
      <c r="E136" s="1083"/>
      <c r="F136" s="1083"/>
      <c r="G136" s="1083"/>
      <c r="H136" s="1083"/>
      <c r="I136" s="1083"/>
      <c r="J136" s="1083"/>
      <c r="K136" s="1083"/>
      <c r="L136" s="1083"/>
      <c r="M136" s="1083"/>
      <c r="N136" s="1083"/>
      <c r="O136" s="1083"/>
      <c r="P136" s="1083"/>
      <c r="Q136" s="1083"/>
      <c r="R136" s="1083"/>
      <c r="S136" s="1083"/>
      <c r="T136" s="1083"/>
      <c r="U136" s="1083"/>
      <c r="V136" s="1083"/>
      <c r="W136" s="1083"/>
      <c r="X136" s="1083"/>
      <c r="Y136" s="1083"/>
      <c r="Z136" s="1083"/>
      <c r="AA136" s="1083"/>
      <c r="AB136" s="1083"/>
      <c r="AC136" s="1389"/>
      <c r="AD136" s="1083"/>
      <c r="AE136" s="1389"/>
      <c r="AF136" s="1083"/>
      <c r="AG136" s="1083"/>
      <c r="AH136" s="1083"/>
      <c r="AI136" s="1083"/>
      <c r="AJ136" s="1083"/>
      <c r="AK136" s="1083"/>
      <c r="AL136" s="1390"/>
      <c r="AM136" s="1083"/>
      <c r="AN136" s="1083"/>
      <c r="AO136" s="1083"/>
      <c r="AP136" s="1083"/>
      <c r="AQ136" s="1083"/>
      <c r="AR136" s="1083"/>
      <c r="AS136" s="1083"/>
      <c r="AT136" s="1083"/>
      <c r="AU136" s="1083"/>
      <c r="AV136" s="1083"/>
      <c r="AW136" s="1083"/>
      <c r="AX136" s="1083"/>
      <c r="AY136" s="1083"/>
      <c r="AZ136" s="1083"/>
      <c r="BA136" s="1083"/>
      <c r="BB136" s="1083"/>
      <c r="BC136" s="1083"/>
      <c r="BD136" s="1083"/>
      <c r="BE136" s="1083"/>
      <c r="BF136" s="1083"/>
      <c r="BG136" s="1083"/>
      <c r="BH136" s="1083"/>
      <c r="BI136" s="1083"/>
      <c r="BJ136" s="1083"/>
      <c r="BK136" s="1083"/>
      <c r="BL136" s="1083"/>
      <c r="BM136" s="1083"/>
      <c r="BN136" s="1083"/>
      <c r="BO136" s="1083"/>
      <c r="BP136" s="1083"/>
      <c r="BQ136" s="1083"/>
      <c r="BR136" s="100"/>
      <c r="BS136" s="100"/>
      <c r="BT136" s="100"/>
      <c r="BU136" s="100"/>
      <c r="BV136" s="100"/>
      <c r="BW136" s="100"/>
      <c r="BX136" s="100"/>
      <c r="BY136" s="100"/>
    </row>
    <row r="137" spans="1:77">
      <c r="A137" s="1083"/>
      <c r="B137" s="1083"/>
      <c r="C137" s="1083"/>
      <c r="D137" s="1083"/>
      <c r="E137" s="1083"/>
      <c r="F137" s="1083"/>
      <c r="G137" s="1083"/>
      <c r="H137" s="1083"/>
      <c r="I137" s="1083"/>
      <c r="J137" s="1083"/>
      <c r="K137" s="1083"/>
      <c r="L137" s="1083"/>
      <c r="M137" s="1083"/>
      <c r="N137" s="1083"/>
      <c r="O137" s="1083"/>
      <c r="P137" s="1083"/>
      <c r="Q137" s="1083"/>
      <c r="R137" s="1083"/>
      <c r="S137" s="1083"/>
      <c r="T137" s="1083"/>
      <c r="U137" s="1083"/>
      <c r="V137" s="1083"/>
      <c r="W137" s="1083"/>
      <c r="X137" s="1083"/>
      <c r="Y137" s="1083"/>
      <c r="Z137" s="1083"/>
      <c r="AA137" s="1083"/>
      <c r="AB137" s="1083"/>
      <c r="AC137" s="1389"/>
      <c r="AD137" s="1083"/>
      <c r="AE137" s="1389"/>
      <c r="AF137" s="1083"/>
      <c r="AG137" s="1083"/>
      <c r="AH137" s="1083"/>
      <c r="AI137" s="1083"/>
      <c r="AJ137" s="1083"/>
      <c r="AK137" s="1083"/>
      <c r="AL137" s="1390"/>
      <c r="AM137" s="1083"/>
      <c r="AN137" s="1083"/>
      <c r="AO137" s="1083"/>
      <c r="AP137" s="1083"/>
      <c r="AQ137" s="1083"/>
      <c r="AR137" s="1083"/>
      <c r="AS137" s="1083"/>
      <c r="AT137" s="1083"/>
      <c r="AU137" s="1083"/>
      <c r="AV137" s="1083"/>
      <c r="AW137" s="1083"/>
      <c r="AX137" s="1083"/>
      <c r="AY137" s="1083"/>
      <c r="AZ137" s="1083"/>
      <c r="BA137" s="1083"/>
      <c r="BB137" s="1083"/>
      <c r="BC137" s="1083"/>
      <c r="BD137" s="1083"/>
      <c r="BE137" s="1083"/>
      <c r="BF137" s="1083"/>
      <c r="BG137" s="1083"/>
      <c r="BH137" s="1083"/>
      <c r="BI137" s="1083"/>
      <c r="BJ137" s="1083"/>
      <c r="BK137" s="1083"/>
      <c r="BL137" s="1083"/>
      <c r="BM137" s="1083"/>
      <c r="BN137" s="1083"/>
      <c r="BO137" s="1083"/>
      <c r="BP137" s="1083"/>
      <c r="BQ137" s="1083"/>
      <c r="BR137" s="100"/>
      <c r="BS137" s="100"/>
      <c r="BT137" s="100"/>
      <c r="BU137" s="100"/>
      <c r="BV137" s="100"/>
      <c r="BW137" s="100"/>
      <c r="BX137" s="100"/>
      <c r="BY137" s="100"/>
    </row>
    <row r="138" spans="1:77">
      <c r="A138" s="1083"/>
      <c r="B138" s="1083"/>
      <c r="C138" s="1083"/>
      <c r="D138" s="1083"/>
      <c r="E138" s="1083"/>
      <c r="F138" s="1083"/>
      <c r="G138" s="1083"/>
      <c r="H138" s="1083"/>
      <c r="I138" s="1083"/>
      <c r="J138" s="1083"/>
      <c r="K138" s="1083"/>
      <c r="L138" s="1083"/>
      <c r="M138" s="1083"/>
      <c r="N138" s="1083"/>
      <c r="O138" s="1083"/>
      <c r="P138" s="1083"/>
      <c r="Q138" s="1083"/>
      <c r="R138" s="1083"/>
      <c r="S138" s="1083"/>
      <c r="T138" s="1083"/>
      <c r="U138" s="1083"/>
      <c r="V138" s="1083"/>
      <c r="W138" s="1083"/>
      <c r="X138" s="1083"/>
      <c r="Y138" s="1083"/>
      <c r="Z138" s="1083"/>
      <c r="AA138" s="1083"/>
      <c r="AB138" s="1083"/>
      <c r="AC138" s="1389"/>
      <c r="AD138" s="1083"/>
      <c r="AE138" s="1389"/>
      <c r="AF138" s="1083"/>
      <c r="AG138" s="1083"/>
      <c r="AH138" s="1083"/>
      <c r="AI138" s="1083"/>
      <c r="AJ138" s="1083"/>
      <c r="AK138" s="1083"/>
      <c r="AL138" s="1390"/>
      <c r="AM138" s="1083"/>
      <c r="AN138" s="1083"/>
      <c r="AO138" s="1083"/>
      <c r="AP138" s="1083"/>
      <c r="AQ138" s="1083"/>
      <c r="AR138" s="1083"/>
      <c r="AS138" s="1083"/>
      <c r="AT138" s="1083"/>
      <c r="AU138" s="1083"/>
      <c r="AV138" s="1083"/>
      <c r="AW138" s="1083"/>
      <c r="AX138" s="1083"/>
      <c r="AY138" s="1083"/>
      <c r="AZ138" s="1083"/>
      <c r="BA138" s="1083"/>
      <c r="BB138" s="1083"/>
      <c r="BC138" s="1083"/>
      <c r="BD138" s="1083"/>
      <c r="BE138" s="1083"/>
      <c r="BF138" s="1083"/>
      <c r="BG138" s="1083"/>
      <c r="BH138" s="1083"/>
      <c r="BI138" s="1083"/>
      <c r="BJ138" s="1083"/>
      <c r="BK138" s="1083"/>
      <c r="BL138" s="1083"/>
      <c r="BM138" s="1083"/>
      <c r="BN138" s="1083"/>
      <c r="BO138" s="1083"/>
      <c r="BP138" s="1083"/>
      <c r="BQ138" s="1083"/>
      <c r="BR138" s="100"/>
      <c r="BS138" s="100"/>
      <c r="BT138" s="100"/>
      <c r="BU138" s="100"/>
      <c r="BV138" s="100"/>
      <c r="BW138" s="100"/>
      <c r="BX138" s="100"/>
      <c r="BY138" s="100"/>
    </row>
    <row r="139" spans="1:77">
      <c r="A139" s="1083"/>
      <c r="B139" s="1083"/>
      <c r="C139" s="1083"/>
      <c r="D139" s="1083"/>
      <c r="E139" s="1083"/>
      <c r="F139" s="1083"/>
      <c r="G139" s="1083"/>
      <c r="H139" s="1083"/>
      <c r="I139" s="1083"/>
      <c r="J139" s="1083"/>
      <c r="K139" s="1083"/>
      <c r="L139" s="1083"/>
      <c r="M139" s="1083"/>
      <c r="N139" s="1083"/>
      <c r="O139" s="1083"/>
      <c r="P139" s="1083"/>
      <c r="Q139" s="1083"/>
      <c r="R139" s="1083"/>
      <c r="S139" s="1083"/>
      <c r="T139" s="1083"/>
      <c r="U139" s="1083"/>
      <c r="V139" s="1083"/>
      <c r="W139" s="1083"/>
      <c r="X139" s="1083"/>
      <c r="Y139" s="1083"/>
      <c r="Z139" s="1083"/>
      <c r="AA139" s="1083"/>
      <c r="AB139" s="1083"/>
      <c r="AC139" s="1389"/>
      <c r="AD139" s="1083"/>
      <c r="AE139" s="1389"/>
      <c r="AF139" s="1083"/>
      <c r="AG139" s="1083"/>
      <c r="AH139" s="1083"/>
      <c r="AI139" s="1083"/>
      <c r="AJ139" s="1083"/>
      <c r="AK139" s="1083"/>
      <c r="AL139" s="1390"/>
      <c r="AM139" s="1083"/>
      <c r="AN139" s="1083"/>
      <c r="AO139" s="1083"/>
      <c r="AP139" s="1083"/>
      <c r="AQ139" s="1083"/>
      <c r="AR139" s="1083"/>
      <c r="AS139" s="1083"/>
      <c r="AT139" s="1083"/>
      <c r="AU139" s="1083"/>
      <c r="AV139" s="1083"/>
      <c r="AW139" s="1083"/>
      <c r="AX139" s="1083"/>
      <c r="AY139" s="1083"/>
      <c r="AZ139" s="1083"/>
      <c r="BA139" s="1083"/>
      <c r="BB139" s="1083"/>
      <c r="BC139" s="1083"/>
      <c r="BD139" s="1083"/>
      <c r="BE139" s="1083"/>
      <c r="BF139" s="1083"/>
      <c r="BG139" s="1083"/>
      <c r="BH139" s="1083"/>
      <c r="BI139" s="1083"/>
      <c r="BJ139" s="1083"/>
      <c r="BK139" s="1083"/>
      <c r="BL139" s="1083"/>
      <c r="BM139" s="1083"/>
      <c r="BN139" s="1083"/>
      <c r="BO139" s="1083"/>
      <c r="BP139" s="1083"/>
      <c r="BQ139" s="1083"/>
      <c r="BR139" s="100"/>
      <c r="BS139" s="100"/>
      <c r="BT139" s="100"/>
      <c r="BU139" s="100"/>
      <c r="BV139" s="100"/>
      <c r="BW139" s="100"/>
      <c r="BX139" s="100"/>
      <c r="BY139" s="100"/>
    </row>
    <row r="140" spans="1:77">
      <c r="A140" s="1083"/>
      <c r="B140" s="1083"/>
      <c r="C140" s="1083"/>
      <c r="D140" s="1083"/>
      <c r="E140" s="1083"/>
      <c r="F140" s="1083"/>
      <c r="G140" s="1083"/>
      <c r="H140" s="1083"/>
      <c r="I140" s="1083"/>
      <c r="J140" s="1083"/>
      <c r="K140" s="1083"/>
      <c r="L140" s="1083"/>
      <c r="M140" s="1083"/>
      <c r="N140" s="1083"/>
      <c r="O140" s="1083"/>
      <c r="P140" s="1083"/>
      <c r="Q140" s="1083"/>
      <c r="R140" s="1083"/>
      <c r="S140" s="1083"/>
      <c r="T140" s="1083"/>
      <c r="U140" s="1083"/>
      <c r="V140" s="1083"/>
      <c r="W140" s="1083"/>
      <c r="X140" s="1083"/>
      <c r="Y140" s="1083"/>
      <c r="Z140" s="1083"/>
      <c r="AA140" s="1083"/>
      <c r="AB140" s="1083"/>
      <c r="AC140" s="1389"/>
      <c r="AD140" s="1083"/>
      <c r="AE140" s="1389"/>
      <c r="AF140" s="1083"/>
      <c r="AG140" s="1083"/>
      <c r="AH140" s="1083"/>
      <c r="AI140" s="1083"/>
      <c r="AJ140" s="1083"/>
      <c r="AK140" s="1083"/>
      <c r="AL140" s="1390"/>
      <c r="AM140" s="1083"/>
      <c r="AN140" s="1083"/>
      <c r="AO140" s="1083"/>
      <c r="AP140" s="1083"/>
      <c r="AQ140" s="1083"/>
      <c r="AR140" s="1083"/>
      <c r="AS140" s="1083"/>
      <c r="AT140" s="1083"/>
      <c r="AU140" s="1083"/>
      <c r="AV140" s="1083"/>
      <c r="AW140" s="1083"/>
      <c r="AX140" s="1083"/>
      <c r="AY140" s="1083"/>
      <c r="AZ140" s="1083"/>
      <c r="BA140" s="1083"/>
      <c r="BB140" s="1083"/>
      <c r="BC140" s="1083"/>
      <c r="BD140" s="1083"/>
      <c r="BE140" s="1083"/>
      <c r="BF140" s="1083"/>
      <c r="BG140" s="1083"/>
      <c r="BH140" s="1083"/>
      <c r="BI140" s="1083"/>
      <c r="BJ140" s="1083"/>
      <c r="BK140" s="1083"/>
      <c r="BL140" s="1083"/>
      <c r="BM140" s="1083"/>
      <c r="BN140" s="1083"/>
      <c r="BO140" s="1083"/>
      <c r="BP140" s="1083"/>
      <c r="BQ140" s="1083"/>
      <c r="BR140" s="100"/>
      <c r="BS140" s="100"/>
      <c r="BT140" s="100"/>
      <c r="BU140" s="100"/>
      <c r="BV140" s="100"/>
      <c r="BW140" s="100"/>
      <c r="BX140" s="100"/>
      <c r="BY140" s="100"/>
    </row>
    <row r="141" spans="1:77">
      <c r="A141" s="1083"/>
      <c r="B141" s="1083"/>
      <c r="C141" s="1083"/>
      <c r="D141" s="1083"/>
      <c r="E141" s="1083"/>
      <c r="F141" s="1083"/>
      <c r="G141" s="1083"/>
      <c r="H141" s="1083"/>
      <c r="I141" s="1083"/>
      <c r="J141" s="1083"/>
      <c r="K141" s="1083"/>
      <c r="L141" s="1083"/>
      <c r="M141" s="1083"/>
      <c r="N141" s="1083"/>
      <c r="O141" s="1083"/>
      <c r="P141" s="1083"/>
      <c r="Q141" s="1083"/>
      <c r="R141" s="1083"/>
      <c r="S141" s="1083"/>
      <c r="T141" s="1083"/>
      <c r="U141" s="1083"/>
      <c r="V141" s="1083"/>
      <c r="W141" s="1083"/>
      <c r="X141" s="1083"/>
      <c r="Y141" s="1083"/>
      <c r="Z141" s="1083"/>
      <c r="AA141" s="1083"/>
      <c r="AB141" s="1083"/>
      <c r="AC141" s="1389"/>
      <c r="AD141" s="1083"/>
      <c r="AE141" s="1389"/>
      <c r="AF141" s="1083"/>
      <c r="AG141" s="1083"/>
      <c r="AH141" s="1083"/>
      <c r="AI141" s="1083"/>
      <c r="AJ141" s="1083"/>
      <c r="AK141" s="1083"/>
      <c r="AL141" s="1390"/>
      <c r="AM141" s="1083"/>
      <c r="AN141" s="1083"/>
      <c r="AO141" s="1083"/>
      <c r="AP141" s="1083"/>
      <c r="AQ141" s="1083"/>
      <c r="AR141" s="1083"/>
      <c r="AS141" s="1083"/>
      <c r="AT141" s="1083"/>
      <c r="AU141" s="1083"/>
      <c r="AV141" s="1083"/>
      <c r="AW141" s="1083"/>
      <c r="AX141" s="1083"/>
      <c r="AY141" s="1083"/>
      <c r="AZ141" s="1083"/>
      <c r="BA141" s="1083"/>
      <c r="BB141" s="1083"/>
      <c r="BC141" s="1083"/>
      <c r="BD141" s="1083"/>
      <c r="BE141" s="1083"/>
      <c r="BF141" s="1083"/>
      <c r="BG141" s="1083"/>
      <c r="BH141" s="1083"/>
      <c r="BI141" s="1083"/>
      <c r="BJ141" s="1083"/>
      <c r="BK141" s="1083"/>
      <c r="BL141" s="1083"/>
      <c r="BM141" s="1083"/>
      <c r="BN141" s="1083"/>
      <c r="BO141" s="1083"/>
      <c r="BP141" s="1083"/>
      <c r="BQ141" s="1083"/>
      <c r="BR141" s="100"/>
      <c r="BS141" s="100"/>
      <c r="BT141" s="100"/>
      <c r="BU141" s="100"/>
      <c r="BV141" s="100"/>
      <c r="BW141" s="100"/>
      <c r="BX141" s="100"/>
      <c r="BY141" s="100"/>
    </row>
    <row r="142" spans="1:77">
      <c r="A142" s="1083"/>
      <c r="B142" s="1083"/>
      <c r="C142" s="1083"/>
      <c r="D142" s="1083"/>
      <c r="E142" s="1083"/>
      <c r="F142" s="1083"/>
      <c r="G142" s="1083"/>
      <c r="H142" s="1083"/>
      <c r="I142" s="1083"/>
      <c r="J142" s="1083"/>
      <c r="K142" s="1083"/>
      <c r="L142" s="1083"/>
      <c r="M142" s="1083"/>
      <c r="N142" s="1083"/>
      <c r="O142" s="1083"/>
      <c r="P142" s="1083"/>
      <c r="Q142" s="1083"/>
      <c r="R142" s="1083"/>
      <c r="S142" s="1083"/>
      <c r="T142" s="1083"/>
      <c r="U142" s="1083"/>
      <c r="V142" s="1083"/>
      <c r="W142" s="1083"/>
      <c r="X142" s="1083"/>
      <c r="Y142" s="1083"/>
      <c r="Z142" s="1083"/>
      <c r="AA142" s="1083"/>
      <c r="AB142" s="1083"/>
      <c r="AC142" s="1389"/>
      <c r="AD142" s="1083"/>
      <c r="AE142" s="1389"/>
      <c r="AF142" s="1083"/>
      <c r="AG142" s="1083"/>
      <c r="AH142" s="1083"/>
      <c r="AI142" s="1083"/>
      <c r="AJ142" s="1083"/>
      <c r="AK142" s="1083"/>
      <c r="AL142" s="1390"/>
      <c r="AM142" s="1083"/>
      <c r="AN142" s="1083"/>
      <c r="AO142" s="1083"/>
      <c r="AP142" s="1083"/>
      <c r="AQ142" s="1083"/>
      <c r="AR142" s="1083"/>
      <c r="AS142" s="1083"/>
      <c r="AT142" s="1083"/>
      <c r="AU142" s="1083"/>
      <c r="AV142" s="1083"/>
      <c r="AW142" s="1083"/>
      <c r="AX142" s="1083"/>
      <c r="AY142" s="1083"/>
      <c r="AZ142" s="1083"/>
      <c r="BA142" s="1083"/>
      <c r="BB142" s="1083"/>
      <c r="BC142" s="1083"/>
      <c r="BD142" s="1083"/>
      <c r="BE142" s="1083"/>
      <c r="BF142" s="1083"/>
      <c r="BG142" s="1083"/>
      <c r="BH142" s="1083"/>
      <c r="BI142" s="1083"/>
      <c r="BJ142" s="1083"/>
      <c r="BK142" s="1083"/>
      <c r="BL142" s="1083"/>
      <c r="BM142" s="1083"/>
      <c r="BN142" s="1083"/>
      <c r="BO142" s="1083"/>
      <c r="BP142" s="1083"/>
      <c r="BQ142" s="1083"/>
      <c r="BR142" s="100"/>
      <c r="BS142" s="100"/>
      <c r="BT142" s="100"/>
      <c r="BU142" s="100"/>
      <c r="BV142" s="100"/>
      <c r="BW142" s="100"/>
      <c r="BX142" s="100"/>
      <c r="BY142" s="100"/>
    </row>
    <row r="143" spans="1:77">
      <c r="A143" s="1083"/>
      <c r="B143" s="1083"/>
      <c r="C143" s="1083"/>
      <c r="D143" s="1083"/>
      <c r="E143" s="1083"/>
      <c r="F143" s="1083"/>
      <c r="G143" s="1083"/>
      <c r="H143" s="1083"/>
      <c r="I143" s="1083"/>
      <c r="J143" s="1083"/>
      <c r="K143" s="1083"/>
      <c r="L143" s="1083"/>
      <c r="M143" s="1083"/>
      <c r="N143" s="1083"/>
      <c r="O143" s="1083"/>
      <c r="P143" s="1083"/>
      <c r="Q143" s="1083"/>
      <c r="R143" s="1083"/>
      <c r="S143" s="1083"/>
      <c r="T143" s="1083"/>
      <c r="U143" s="1083"/>
      <c r="V143" s="1083"/>
      <c r="W143" s="1083"/>
      <c r="X143" s="1083"/>
      <c r="Y143" s="1083"/>
      <c r="Z143" s="1083"/>
      <c r="AA143" s="1083"/>
      <c r="AB143" s="1083"/>
      <c r="AC143" s="1389"/>
      <c r="AD143" s="1083"/>
      <c r="AE143" s="1389"/>
      <c r="AF143" s="1083"/>
      <c r="AG143" s="1083"/>
      <c r="AH143" s="1083"/>
      <c r="AI143" s="1083"/>
      <c r="AJ143" s="1083"/>
      <c r="AK143" s="1083"/>
      <c r="AL143" s="1390"/>
      <c r="AM143" s="1083"/>
      <c r="AN143" s="1083"/>
      <c r="AO143" s="1083"/>
      <c r="AP143" s="1083"/>
      <c r="AQ143" s="1083"/>
      <c r="AR143" s="1083"/>
      <c r="AS143" s="1083"/>
      <c r="AT143" s="1083"/>
      <c r="AU143" s="1083"/>
      <c r="AV143" s="1083"/>
      <c r="AW143" s="1083"/>
      <c r="AX143" s="1083"/>
      <c r="AY143" s="1083"/>
      <c r="AZ143" s="1083"/>
      <c r="BA143" s="1083"/>
      <c r="BB143" s="1083"/>
      <c r="BC143" s="1083"/>
      <c r="BD143" s="1083"/>
      <c r="BE143" s="1083"/>
      <c r="BF143" s="1083"/>
      <c r="BG143" s="1083"/>
      <c r="BH143" s="1083"/>
      <c r="BI143" s="1083"/>
      <c r="BJ143" s="1083"/>
      <c r="BK143" s="1083"/>
      <c r="BL143" s="1083"/>
      <c r="BM143" s="1083"/>
      <c r="BN143" s="1083"/>
      <c r="BO143" s="1083"/>
      <c r="BP143" s="1083"/>
      <c r="BQ143" s="1083"/>
      <c r="BR143" s="100"/>
      <c r="BS143" s="100"/>
      <c r="BT143" s="100"/>
      <c r="BU143" s="100"/>
      <c r="BV143" s="100"/>
      <c r="BW143" s="100"/>
      <c r="BX143" s="100"/>
      <c r="BY143" s="100"/>
    </row>
    <row r="144" spans="1:77">
      <c r="A144" s="1083"/>
      <c r="B144" s="1083"/>
      <c r="C144" s="1083"/>
      <c r="D144" s="1083"/>
      <c r="E144" s="1083"/>
      <c r="F144" s="1083"/>
      <c r="G144" s="1083"/>
      <c r="H144" s="1083"/>
      <c r="I144" s="1083"/>
      <c r="J144" s="1083"/>
      <c r="K144" s="1083"/>
      <c r="L144" s="1083"/>
      <c r="M144" s="1083"/>
      <c r="N144" s="1083"/>
      <c r="O144" s="1083"/>
      <c r="P144" s="1083"/>
      <c r="Q144" s="1083"/>
      <c r="R144" s="1083"/>
      <c r="S144" s="1083"/>
      <c r="T144" s="1083"/>
      <c r="U144" s="1083"/>
      <c r="V144" s="1083"/>
      <c r="W144" s="1083"/>
      <c r="X144" s="1083"/>
      <c r="Y144" s="1083"/>
      <c r="Z144" s="1083"/>
      <c r="AA144" s="1083"/>
      <c r="AB144" s="1083"/>
      <c r="AC144" s="1389"/>
      <c r="AD144" s="1083"/>
      <c r="AE144" s="1389"/>
      <c r="AF144" s="1083"/>
      <c r="AG144" s="1083"/>
      <c r="AH144" s="1083"/>
      <c r="AI144" s="1083"/>
      <c r="AJ144" s="1083"/>
      <c r="AK144" s="1083"/>
      <c r="AL144" s="1390"/>
      <c r="AM144" s="1083"/>
      <c r="AN144" s="1083"/>
      <c r="AO144" s="1083"/>
      <c r="AP144" s="1083"/>
      <c r="AQ144" s="1083"/>
      <c r="AR144" s="1083"/>
      <c r="AS144" s="1083"/>
      <c r="AT144" s="1083"/>
      <c r="AU144" s="1083"/>
      <c r="AV144" s="1083"/>
      <c r="AW144" s="1083"/>
      <c r="AX144" s="1083"/>
      <c r="AY144" s="1083"/>
      <c r="AZ144" s="1083"/>
      <c r="BA144" s="1083"/>
      <c r="BB144" s="1083"/>
      <c r="BC144" s="1083"/>
      <c r="BD144" s="1083"/>
      <c r="BE144" s="1083"/>
      <c r="BF144" s="1083"/>
      <c r="BG144" s="1083"/>
      <c r="BH144" s="1083"/>
      <c r="BI144" s="1083"/>
      <c r="BJ144" s="1083"/>
      <c r="BK144" s="1083"/>
      <c r="BL144" s="1083"/>
      <c r="BM144" s="1083"/>
      <c r="BN144" s="1083"/>
      <c r="BO144" s="1083"/>
      <c r="BP144" s="1083"/>
      <c r="BQ144" s="1083"/>
      <c r="BR144" s="100"/>
      <c r="BS144" s="100"/>
      <c r="BT144" s="100"/>
      <c r="BU144" s="100"/>
      <c r="BV144" s="100"/>
      <c r="BW144" s="100"/>
      <c r="BX144" s="100"/>
      <c r="BY144" s="100"/>
    </row>
    <row r="145" spans="1:77">
      <c r="A145" s="1083"/>
      <c r="B145" s="1083"/>
      <c r="C145" s="1083"/>
      <c r="D145" s="1083"/>
      <c r="E145" s="1083"/>
      <c r="F145" s="1083"/>
      <c r="G145" s="1083"/>
      <c r="H145" s="1083"/>
      <c r="I145" s="1083"/>
      <c r="J145" s="1083"/>
      <c r="K145" s="1083"/>
      <c r="L145" s="1083"/>
      <c r="M145" s="1083"/>
      <c r="N145" s="1083"/>
      <c r="O145" s="1083"/>
      <c r="P145" s="1083"/>
      <c r="Q145" s="1083"/>
      <c r="R145" s="1083"/>
      <c r="S145" s="1083"/>
      <c r="T145" s="1083"/>
      <c r="U145" s="1083"/>
      <c r="V145" s="1083"/>
      <c r="W145" s="1083"/>
      <c r="X145" s="1083"/>
      <c r="Y145" s="1083"/>
      <c r="Z145" s="1083"/>
      <c r="AA145" s="1083"/>
      <c r="AB145" s="1083"/>
      <c r="AC145" s="1389"/>
      <c r="AD145" s="1083"/>
      <c r="AE145" s="1389"/>
      <c r="AF145" s="1083"/>
      <c r="AG145" s="1083"/>
      <c r="AH145" s="1083"/>
      <c r="AI145" s="1083"/>
      <c r="AJ145" s="1083"/>
      <c r="AK145" s="1083"/>
      <c r="AL145" s="1390"/>
      <c r="AM145" s="1083"/>
      <c r="AN145" s="1083"/>
      <c r="AO145" s="1083"/>
      <c r="AP145" s="1083"/>
      <c r="AQ145" s="1083"/>
      <c r="AR145" s="1083"/>
      <c r="AS145" s="1083"/>
      <c r="AT145" s="1083"/>
      <c r="AU145" s="1083"/>
      <c r="AV145" s="1083"/>
      <c r="AW145" s="1083"/>
      <c r="AX145" s="1083"/>
      <c r="AY145" s="1083"/>
      <c r="AZ145" s="1083"/>
      <c r="BA145" s="1083"/>
      <c r="BB145" s="1083"/>
      <c r="BC145" s="1083"/>
      <c r="BD145" s="1083"/>
      <c r="BE145" s="1083"/>
      <c r="BF145" s="1083"/>
      <c r="BG145" s="1083"/>
      <c r="BH145" s="1083"/>
      <c r="BI145" s="1083"/>
      <c r="BJ145" s="1083"/>
      <c r="BK145" s="1083"/>
      <c r="BL145" s="1083"/>
      <c r="BM145" s="1083"/>
      <c r="BN145" s="1083"/>
      <c r="BO145" s="1083"/>
      <c r="BP145" s="1083"/>
      <c r="BQ145" s="1083"/>
      <c r="BR145" s="100"/>
      <c r="BS145" s="100"/>
      <c r="BT145" s="100"/>
      <c r="BU145" s="100"/>
      <c r="BV145" s="100"/>
      <c r="BW145" s="100"/>
      <c r="BX145" s="100"/>
      <c r="BY145" s="100"/>
    </row>
    <row r="146" spans="1:77">
      <c r="A146" s="1083"/>
      <c r="B146" s="1083"/>
      <c r="C146" s="1083"/>
      <c r="D146" s="1083"/>
      <c r="E146" s="1083"/>
      <c r="F146" s="1083"/>
      <c r="G146" s="1083"/>
      <c r="H146" s="1083"/>
      <c r="I146" s="1083"/>
      <c r="J146" s="1083"/>
      <c r="K146" s="1083"/>
      <c r="L146" s="1083"/>
      <c r="M146" s="1083"/>
      <c r="N146" s="1083"/>
      <c r="O146" s="1083"/>
      <c r="P146" s="1083"/>
      <c r="Q146" s="1083"/>
      <c r="R146" s="1083"/>
      <c r="S146" s="1083"/>
      <c r="T146" s="1083"/>
      <c r="U146" s="1083"/>
      <c r="V146" s="1083"/>
      <c r="W146" s="1083"/>
      <c r="X146" s="1083"/>
      <c r="Y146" s="1083"/>
      <c r="Z146" s="1083"/>
      <c r="AA146" s="1083"/>
      <c r="AB146" s="1083"/>
      <c r="AC146" s="1389"/>
      <c r="AD146" s="1083"/>
      <c r="AE146" s="1389"/>
      <c r="AF146" s="1083"/>
      <c r="AG146" s="1083"/>
      <c r="AH146" s="1083"/>
      <c r="AI146" s="1083"/>
      <c r="AJ146" s="1083"/>
      <c r="AK146" s="1083"/>
      <c r="AL146" s="1390"/>
      <c r="AM146" s="1083"/>
      <c r="AN146" s="1083"/>
      <c r="AO146" s="1083"/>
      <c r="AP146" s="1083"/>
      <c r="AQ146" s="1083"/>
      <c r="AR146" s="1083"/>
      <c r="AS146" s="1083"/>
      <c r="AT146" s="1083"/>
      <c r="AU146" s="1083"/>
      <c r="AV146" s="1083"/>
      <c r="AW146" s="1083"/>
      <c r="AX146" s="1083"/>
      <c r="AY146" s="1083"/>
      <c r="AZ146" s="1083"/>
      <c r="BA146" s="1083"/>
      <c r="BB146" s="1083"/>
      <c r="BC146" s="1083"/>
      <c r="BD146" s="1083"/>
      <c r="BE146" s="1083"/>
      <c r="BF146" s="1083"/>
      <c r="BG146" s="1083"/>
      <c r="BH146" s="1083"/>
      <c r="BI146" s="1083"/>
      <c r="BJ146" s="1083"/>
      <c r="BK146" s="1083"/>
      <c r="BL146" s="1083"/>
      <c r="BM146" s="1083"/>
      <c r="BN146" s="1083"/>
      <c r="BO146" s="1083"/>
      <c r="BP146" s="1083"/>
      <c r="BQ146" s="1083"/>
      <c r="BR146" s="100"/>
      <c r="BS146" s="100"/>
      <c r="BT146" s="100"/>
      <c r="BU146" s="100"/>
      <c r="BV146" s="100"/>
      <c r="BW146" s="100"/>
      <c r="BX146" s="100"/>
      <c r="BY146" s="100"/>
    </row>
    <row r="147" spans="1:77">
      <c r="A147" s="1083"/>
      <c r="B147" s="1083"/>
      <c r="C147" s="1083"/>
      <c r="D147" s="1083"/>
      <c r="E147" s="1083"/>
      <c r="F147" s="1083"/>
      <c r="G147" s="1083"/>
      <c r="H147" s="1083"/>
      <c r="I147" s="1083"/>
      <c r="J147" s="1083"/>
      <c r="K147" s="1083"/>
      <c r="L147" s="1083"/>
      <c r="M147" s="1083"/>
      <c r="N147" s="1083"/>
      <c r="O147" s="1083"/>
      <c r="P147" s="1083"/>
      <c r="Q147" s="1083"/>
      <c r="R147" s="1083"/>
      <c r="S147" s="1083"/>
      <c r="T147" s="1083"/>
      <c r="U147" s="1083"/>
      <c r="V147" s="1083"/>
      <c r="W147" s="1083"/>
      <c r="X147" s="1083"/>
      <c r="Y147" s="1083"/>
      <c r="Z147" s="1083"/>
      <c r="AA147" s="1083"/>
      <c r="AB147" s="1083"/>
      <c r="AC147" s="1389"/>
      <c r="AD147" s="1083"/>
      <c r="AE147" s="1389"/>
      <c r="AF147" s="1083"/>
      <c r="AG147" s="1083"/>
      <c r="AH147" s="1083"/>
      <c r="AI147" s="1083"/>
      <c r="AJ147" s="1083"/>
      <c r="AK147" s="1083"/>
      <c r="AL147" s="1390"/>
      <c r="AM147" s="1083"/>
      <c r="AN147" s="1083"/>
      <c r="AO147" s="1083"/>
      <c r="AP147" s="1083"/>
      <c r="AQ147" s="1083"/>
      <c r="AR147" s="1083"/>
      <c r="AS147" s="1083"/>
      <c r="AT147" s="1083"/>
      <c r="AU147" s="1083"/>
      <c r="AV147" s="1083"/>
      <c r="AW147" s="1083"/>
      <c r="AX147" s="1083"/>
      <c r="AY147" s="1083"/>
      <c r="AZ147" s="1083"/>
      <c r="BA147" s="1083"/>
      <c r="BB147" s="1083"/>
      <c r="BC147" s="1083"/>
      <c r="BD147" s="1083"/>
      <c r="BE147" s="1083"/>
      <c r="BF147" s="1083"/>
      <c r="BG147" s="1083"/>
      <c r="BH147" s="1083"/>
      <c r="BI147" s="1083"/>
      <c r="BJ147" s="1083"/>
      <c r="BK147" s="1083"/>
      <c r="BL147" s="1083"/>
      <c r="BM147" s="1083"/>
      <c r="BN147" s="1083"/>
      <c r="BO147" s="1083"/>
      <c r="BP147" s="1083"/>
      <c r="BQ147" s="1083"/>
      <c r="BR147" s="100"/>
      <c r="BS147" s="100"/>
      <c r="BT147" s="100"/>
      <c r="BU147" s="100"/>
      <c r="BV147" s="100"/>
      <c r="BW147" s="100"/>
      <c r="BX147" s="100"/>
      <c r="BY147" s="100"/>
    </row>
    <row r="148" spans="1:77">
      <c r="A148" s="1083"/>
      <c r="B148" s="1083"/>
      <c r="C148" s="1083"/>
      <c r="D148" s="1083"/>
      <c r="E148" s="1083"/>
      <c r="F148" s="1083"/>
      <c r="G148" s="1083"/>
      <c r="H148" s="1083"/>
      <c r="I148" s="1083"/>
      <c r="J148" s="1083"/>
      <c r="K148" s="1083"/>
      <c r="L148" s="1083"/>
      <c r="M148" s="1083"/>
      <c r="N148" s="1083"/>
      <c r="O148" s="1083"/>
      <c r="P148" s="1083"/>
      <c r="Q148" s="1083"/>
      <c r="R148" s="1083"/>
      <c r="S148" s="1083"/>
      <c r="T148" s="1083"/>
      <c r="U148" s="1083"/>
      <c r="V148" s="1083"/>
      <c r="W148" s="1083"/>
      <c r="X148" s="1083"/>
      <c r="Y148" s="1083"/>
      <c r="Z148" s="1083"/>
      <c r="AA148" s="1083"/>
      <c r="AB148" s="1083"/>
      <c r="AC148" s="1389"/>
      <c r="AD148" s="1083"/>
      <c r="AE148" s="1389"/>
      <c r="AF148" s="1083"/>
      <c r="AG148" s="1083"/>
      <c r="AH148" s="1083"/>
      <c r="AI148" s="1083"/>
      <c r="AJ148" s="1083"/>
      <c r="AK148" s="1083"/>
      <c r="AL148" s="1390"/>
      <c r="AM148" s="1083"/>
      <c r="AN148" s="1083"/>
      <c r="AO148" s="1083"/>
      <c r="AP148" s="1083"/>
      <c r="AQ148" s="1083"/>
      <c r="AR148" s="1083"/>
      <c r="AS148" s="1083"/>
      <c r="AT148" s="1083"/>
      <c r="AU148" s="1083"/>
      <c r="AV148" s="1083"/>
      <c r="AW148" s="1083"/>
      <c r="AX148" s="1083"/>
      <c r="AY148" s="1083"/>
      <c r="AZ148" s="1083"/>
      <c r="BA148" s="1083"/>
      <c r="BB148" s="1083"/>
      <c r="BC148" s="1083"/>
      <c r="BD148" s="1083"/>
      <c r="BE148" s="1083"/>
      <c r="BF148" s="1083"/>
      <c r="BG148" s="1083"/>
      <c r="BH148" s="1083"/>
      <c r="BI148" s="1083"/>
      <c r="BJ148" s="1083"/>
      <c r="BK148" s="1083"/>
      <c r="BL148" s="1083"/>
      <c r="BM148" s="1083"/>
      <c r="BN148" s="1083"/>
      <c r="BO148" s="1083"/>
      <c r="BP148" s="1083"/>
      <c r="BQ148" s="1083"/>
      <c r="BR148" s="100"/>
      <c r="BS148" s="100"/>
      <c r="BT148" s="100"/>
      <c r="BU148" s="100"/>
      <c r="BV148" s="100"/>
      <c r="BW148" s="100"/>
      <c r="BX148" s="100"/>
      <c r="BY148" s="100"/>
    </row>
    <row r="149" spans="1:77">
      <c r="A149" s="1083"/>
      <c r="B149" s="1083"/>
      <c r="C149" s="1083"/>
      <c r="D149" s="1083"/>
      <c r="E149" s="1083"/>
      <c r="F149" s="1083"/>
      <c r="G149" s="1083"/>
      <c r="H149" s="1083"/>
      <c r="I149" s="1083"/>
      <c r="J149" s="1083"/>
      <c r="K149" s="1083"/>
      <c r="L149" s="1083"/>
      <c r="M149" s="1083"/>
      <c r="N149" s="1083"/>
      <c r="O149" s="1083"/>
      <c r="P149" s="1083"/>
      <c r="Q149" s="1083"/>
      <c r="R149" s="1083"/>
      <c r="S149" s="1083"/>
      <c r="T149" s="1083"/>
      <c r="U149" s="1083"/>
      <c r="V149" s="1083"/>
      <c r="W149" s="1083"/>
      <c r="X149" s="1083"/>
      <c r="Y149" s="1083"/>
      <c r="Z149" s="1083"/>
      <c r="AA149" s="1083"/>
      <c r="AB149" s="1083"/>
      <c r="AC149" s="1389"/>
      <c r="AD149" s="1083"/>
      <c r="AE149" s="1389"/>
      <c r="AF149" s="1083"/>
      <c r="AG149" s="1083"/>
      <c r="AH149" s="1083"/>
      <c r="AI149" s="1083"/>
      <c r="AJ149" s="1083"/>
      <c r="AK149" s="1083"/>
      <c r="AL149" s="1390"/>
      <c r="AM149" s="1083"/>
      <c r="AN149" s="1083"/>
      <c r="AO149" s="1083"/>
      <c r="AP149" s="1083"/>
      <c r="AQ149" s="1083"/>
      <c r="AR149" s="1083"/>
      <c r="AS149" s="1083"/>
      <c r="AT149" s="1083"/>
      <c r="AU149" s="1083"/>
      <c r="AV149" s="1083"/>
      <c r="AW149" s="1083"/>
      <c r="AX149" s="1083"/>
      <c r="AY149" s="1083"/>
      <c r="AZ149" s="1083"/>
      <c r="BA149" s="1083"/>
      <c r="BB149" s="1083"/>
      <c r="BC149" s="1083"/>
      <c r="BD149" s="1083"/>
      <c r="BE149" s="1083"/>
      <c r="BF149" s="1083"/>
      <c r="BG149" s="1083"/>
      <c r="BH149" s="1083"/>
      <c r="BI149" s="1083"/>
      <c r="BJ149" s="1083"/>
      <c r="BK149" s="1083"/>
      <c r="BL149" s="1083"/>
      <c r="BM149" s="1083"/>
      <c r="BN149" s="1083"/>
      <c r="BO149" s="1083"/>
      <c r="BP149" s="1083"/>
      <c r="BQ149" s="1083"/>
      <c r="BR149" s="100"/>
      <c r="BS149" s="100"/>
      <c r="BT149" s="100"/>
      <c r="BU149" s="100"/>
      <c r="BV149" s="100"/>
      <c r="BW149" s="100"/>
      <c r="BX149" s="100"/>
      <c r="BY149" s="100"/>
    </row>
    <row r="150" spans="1:77">
      <c r="A150" s="1083"/>
      <c r="B150" s="1083"/>
      <c r="C150" s="1083"/>
      <c r="D150" s="1083"/>
      <c r="E150" s="1083"/>
      <c r="F150" s="1083"/>
      <c r="G150" s="1083"/>
      <c r="H150" s="1083"/>
      <c r="I150" s="1083"/>
      <c r="J150" s="1083"/>
      <c r="K150" s="1083"/>
      <c r="L150" s="1083"/>
      <c r="M150" s="1083"/>
      <c r="N150" s="1083"/>
      <c r="O150" s="1083"/>
      <c r="P150" s="1083"/>
      <c r="Q150" s="1083"/>
      <c r="R150" s="1083"/>
      <c r="S150" s="1083"/>
      <c r="T150" s="1083"/>
      <c r="U150" s="1083"/>
      <c r="V150" s="1083"/>
      <c r="W150" s="1083"/>
      <c r="X150" s="1083"/>
      <c r="Y150" s="1083"/>
      <c r="Z150" s="1083"/>
      <c r="AA150" s="1083"/>
      <c r="AB150" s="1083"/>
      <c r="AC150" s="1389"/>
      <c r="AD150" s="1083"/>
      <c r="AE150" s="1389"/>
      <c r="AF150" s="1083"/>
      <c r="AG150" s="1083"/>
      <c r="AH150" s="1083"/>
      <c r="AI150" s="1083"/>
      <c r="AJ150" s="1083"/>
      <c r="AK150" s="1083"/>
      <c r="AL150" s="1390"/>
      <c r="AM150" s="1083"/>
      <c r="AN150" s="1083"/>
      <c r="AO150" s="1083"/>
      <c r="AP150" s="1083"/>
      <c r="AQ150" s="1083"/>
      <c r="AR150" s="1083"/>
      <c r="AS150" s="1083"/>
      <c r="AT150" s="1083"/>
      <c r="AU150" s="1083"/>
      <c r="AV150" s="1083"/>
      <c r="AW150" s="1083"/>
      <c r="AX150" s="1083"/>
      <c r="AY150" s="1083"/>
      <c r="AZ150" s="1083"/>
      <c r="BA150" s="1083"/>
      <c r="BB150" s="1083"/>
      <c r="BC150" s="1083"/>
      <c r="BD150" s="1083"/>
      <c r="BE150" s="1083"/>
      <c r="BF150" s="1083"/>
      <c r="BG150" s="1083"/>
      <c r="BH150" s="1083"/>
      <c r="BI150" s="1083"/>
      <c r="BJ150" s="1083"/>
      <c r="BK150" s="1083"/>
      <c r="BL150" s="1083"/>
      <c r="BM150" s="1083"/>
      <c r="BN150" s="1083"/>
      <c r="BO150" s="1083"/>
      <c r="BP150" s="1083"/>
      <c r="BQ150" s="1083"/>
      <c r="BR150" s="100"/>
      <c r="BS150" s="100"/>
      <c r="BT150" s="100"/>
      <c r="BU150" s="100"/>
      <c r="BV150" s="100"/>
      <c r="BW150" s="100"/>
      <c r="BX150" s="100"/>
      <c r="BY150" s="100"/>
    </row>
    <row r="151" spans="1:77">
      <c r="A151" s="1083"/>
      <c r="B151" s="1083"/>
      <c r="C151" s="1083"/>
      <c r="D151" s="1083"/>
      <c r="E151" s="1083"/>
      <c r="F151" s="1083"/>
      <c r="G151" s="1083"/>
      <c r="H151" s="1083"/>
      <c r="I151" s="1083"/>
      <c r="J151" s="1083"/>
      <c r="K151" s="1083"/>
      <c r="L151" s="1083"/>
      <c r="M151" s="1083"/>
      <c r="N151" s="1083"/>
      <c r="O151" s="1083"/>
      <c r="P151" s="1083"/>
      <c r="Q151" s="1083"/>
      <c r="R151" s="1083"/>
      <c r="S151" s="1083"/>
      <c r="T151" s="1083"/>
      <c r="U151" s="1083"/>
      <c r="V151" s="1083"/>
      <c r="W151" s="1083"/>
      <c r="X151" s="1083"/>
      <c r="Y151" s="1083"/>
      <c r="Z151" s="1083"/>
      <c r="AA151" s="1083"/>
      <c r="AB151" s="1083"/>
      <c r="AC151" s="1389"/>
      <c r="AD151" s="1083"/>
      <c r="AE151" s="1389"/>
      <c r="AF151" s="1083"/>
      <c r="AG151" s="1083"/>
      <c r="AH151" s="1083"/>
      <c r="AI151" s="1083"/>
      <c r="AJ151" s="1083"/>
      <c r="AK151" s="1083"/>
      <c r="AL151" s="1390"/>
      <c r="AM151" s="1083"/>
      <c r="AN151" s="1083"/>
      <c r="AO151" s="1083"/>
      <c r="AP151" s="1083"/>
      <c r="AQ151" s="1083"/>
      <c r="AR151" s="1083"/>
      <c r="AS151" s="1083"/>
      <c r="AT151" s="1083"/>
      <c r="AU151" s="1083"/>
      <c r="AV151" s="1083"/>
      <c r="AW151" s="1083"/>
      <c r="AX151" s="1083"/>
      <c r="AY151" s="1083"/>
      <c r="AZ151" s="1083"/>
      <c r="BA151" s="1083"/>
      <c r="BB151" s="1083"/>
      <c r="BC151" s="1083"/>
      <c r="BD151" s="1083"/>
      <c r="BE151" s="1083"/>
      <c r="BF151" s="1083"/>
      <c r="BG151" s="1083"/>
      <c r="BH151" s="1083"/>
      <c r="BI151" s="1083"/>
      <c r="BJ151" s="1083"/>
      <c r="BK151" s="1083"/>
      <c r="BL151" s="1083"/>
      <c r="BM151" s="1083"/>
      <c r="BN151" s="1083"/>
      <c r="BO151" s="1083"/>
      <c r="BP151" s="1083"/>
      <c r="BQ151" s="1083"/>
      <c r="BR151" s="100"/>
      <c r="BS151" s="100"/>
      <c r="BT151" s="100"/>
      <c r="BU151" s="100"/>
      <c r="BV151" s="100"/>
      <c r="BW151" s="100"/>
      <c r="BX151" s="100"/>
      <c r="BY151" s="100"/>
    </row>
    <row r="152" spans="1:77">
      <c r="A152" s="1083"/>
      <c r="B152" s="1083"/>
      <c r="C152" s="1083"/>
      <c r="D152" s="1083"/>
      <c r="E152" s="1083"/>
      <c r="F152" s="1083"/>
      <c r="G152" s="1083"/>
      <c r="H152" s="1083"/>
      <c r="I152" s="1083"/>
      <c r="J152" s="1083"/>
      <c r="K152" s="1083"/>
      <c r="L152" s="1083"/>
      <c r="M152" s="1083"/>
      <c r="N152" s="1083"/>
      <c r="O152" s="1083"/>
      <c r="P152" s="1083"/>
      <c r="Q152" s="1083"/>
      <c r="R152" s="1083"/>
      <c r="S152" s="1083"/>
      <c r="T152" s="1083"/>
      <c r="U152" s="1083"/>
      <c r="V152" s="1083"/>
      <c r="W152" s="1083"/>
      <c r="X152" s="1083"/>
      <c r="Y152" s="1083"/>
      <c r="Z152" s="1083"/>
      <c r="AA152" s="1083"/>
      <c r="AB152" s="1083"/>
      <c r="AC152" s="1389"/>
      <c r="AD152" s="1083"/>
      <c r="AE152" s="1389"/>
      <c r="AF152" s="1083"/>
      <c r="AG152" s="1083"/>
      <c r="AH152" s="1083"/>
      <c r="AI152" s="1083"/>
      <c r="AJ152" s="1083"/>
      <c r="AK152" s="1083"/>
      <c r="AL152" s="1390"/>
      <c r="AM152" s="1083"/>
      <c r="AN152" s="1083"/>
      <c r="AO152" s="1083"/>
      <c r="AP152" s="1083"/>
      <c r="AQ152" s="1083"/>
      <c r="AR152" s="1083"/>
      <c r="AS152" s="1083"/>
      <c r="AT152" s="1083"/>
      <c r="AU152" s="1083"/>
      <c r="AV152" s="1083"/>
      <c r="AW152" s="1083"/>
      <c r="AX152" s="1083"/>
      <c r="AY152" s="1083"/>
      <c r="AZ152" s="1083"/>
      <c r="BA152" s="1083"/>
      <c r="BB152" s="1083"/>
      <c r="BC152" s="1083"/>
      <c r="BD152" s="1083"/>
      <c r="BE152" s="1083"/>
      <c r="BF152" s="1083"/>
      <c r="BG152" s="1083"/>
      <c r="BH152" s="1083"/>
      <c r="BI152" s="1083"/>
      <c r="BJ152" s="1083"/>
      <c r="BK152" s="1083"/>
      <c r="BL152" s="1083"/>
      <c r="BM152" s="1083"/>
      <c r="BN152" s="1083"/>
      <c r="BO152" s="1083"/>
      <c r="BP152" s="1083"/>
      <c r="BQ152" s="1083"/>
      <c r="BR152" s="100"/>
      <c r="BS152" s="100"/>
      <c r="BT152" s="100"/>
      <c r="BU152" s="100"/>
      <c r="BV152" s="100"/>
      <c r="BW152" s="100"/>
      <c r="BX152" s="100"/>
      <c r="BY152" s="100"/>
    </row>
    <row r="153" spans="1:77">
      <c r="A153" s="1083"/>
      <c r="B153" s="1083"/>
      <c r="C153" s="1083"/>
      <c r="D153" s="1083"/>
      <c r="E153" s="1083"/>
      <c r="F153" s="1083"/>
      <c r="G153" s="1083"/>
      <c r="H153" s="1083"/>
      <c r="I153" s="1083"/>
      <c r="J153" s="1083"/>
      <c r="K153" s="1083"/>
      <c r="L153" s="1083"/>
      <c r="M153" s="1083"/>
      <c r="N153" s="1083"/>
      <c r="O153" s="1083"/>
      <c r="P153" s="1083"/>
      <c r="Q153" s="1083"/>
      <c r="R153" s="1083"/>
      <c r="S153" s="1083"/>
      <c r="T153" s="1083"/>
      <c r="U153" s="1083"/>
      <c r="V153" s="1083"/>
      <c r="W153" s="1083"/>
      <c r="X153" s="1083"/>
      <c r="Y153" s="1083"/>
      <c r="Z153" s="1083"/>
      <c r="AA153" s="1083"/>
      <c r="AB153" s="1083"/>
      <c r="AC153" s="1389"/>
      <c r="AD153" s="1083"/>
      <c r="AE153" s="1389"/>
      <c r="AF153" s="1083"/>
      <c r="AG153" s="1083"/>
      <c r="AH153" s="1083"/>
      <c r="AI153" s="1083"/>
      <c r="AJ153" s="1083"/>
      <c r="AK153" s="1083"/>
      <c r="AL153" s="1390"/>
      <c r="AM153" s="1083"/>
      <c r="AN153" s="1083"/>
      <c r="AO153" s="1083"/>
      <c r="AP153" s="1083"/>
      <c r="AQ153" s="1083"/>
      <c r="AR153" s="1083"/>
      <c r="AS153" s="1083"/>
      <c r="AT153" s="1083"/>
      <c r="AU153" s="1083"/>
      <c r="AV153" s="1083"/>
      <c r="AW153" s="1083"/>
      <c r="AX153" s="1083"/>
      <c r="AY153" s="1083"/>
      <c r="AZ153" s="1083"/>
      <c r="BA153" s="1083"/>
      <c r="BB153" s="1083"/>
      <c r="BC153" s="1083"/>
      <c r="BD153" s="1083"/>
      <c r="BE153" s="1083"/>
      <c r="BF153" s="1083"/>
      <c r="BG153" s="1083"/>
      <c r="BH153" s="1083"/>
      <c r="BI153" s="1083"/>
      <c r="BJ153" s="1083"/>
      <c r="BK153" s="1083"/>
      <c r="BL153" s="1083"/>
      <c r="BM153" s="1083"/>
      <c r="BN153" s="1083"/>
      <c r="BO153" s="1083"/>
      <c r="BP153" s="1083"/>
      <c r="BQ153" s="1083"/>
      <c r="BR153" s="100"/>
      <c r="BS153" s="100"/>
      <c r="BT153" s="100"/>
      <c r="BU153" s="100"/>
      <c r="BV153" s="100"/>
      <c r="BW153" s="100"/>
      <c r="BX153" s="100"/>
      <c r="BY153" s="100"/>
    </row>
    <row r="154" spans="1:77">
      <c r="A154" s="1083"/>
      <c r="B154" s="1083"/>
      <c r="C154" s="1083"/>
      <c r="D154" s="1083"/>
      <c r="E154" s="1083"/>
      <c r="F154" s="1083"/>
      <c r="G154" s="1083"/>
      <c r="H154" s="1083"/>
      <c r="I154" s="1083"/>
      <c r="J154" s="1083"/>
      <c r="K154" s="1083"/>
      <c r="L154" s="1083"/>
      <c r="M154" s="1083"/>
      <c r="N154" s="1083"/>
      <c r="O154" s="1083"/>
      <c r="P154" s="1083"/>
      <c r="Q154" s="1083"/>
      <c r="R154" s="1083"/>
      <c r="S154" s="1083"/>
      <c r="T154" s="1083"/>
      <c r="U154" s="1083"/>
      <c r="V154" s="1083"/>
      <c r="W154" s="1083"/>
      <c r="X154" s="1083"/>
      <c r="Y154" s="1083"/>
      <c r="Z154" s="1083"/>
      <c r="AA154" s="1083"/>
      <c r="AB154" s="1083"/>
      <c r="AC154" s="1389"/>
      <c r="AD154" s="1083"/>
      <c r="AE154" s="1389"/>
      <c r="AF154" s="1083"/>
      <c r="AG154" s="1083"/>
      <c r="AH154" s="1083"/>
      <c r="AI154" s="1083"/>
      <c r="AJ154" s="1083"/>
      <c r="AK154" s="1083"/>
      <c r="AL154" s="1390"/>
      <c r="AM154" s="1083"/>
      <c r="AN154" s="1083"/>
      <c r="AO154" s="1083"/>
      <c r="AP154" s="1083"/>
      <c r="AQ154" s="1083"/>
      <c r="AR154" s="1083"/>
      <c r="AS154" s="1083"/>
      <c r="AT154" s="1083"/>
      <c r="AU154" s="1083"/>
      <c r="AV154" s="1083"/>
      <c r="AW154" s="1083"/>
      <c r="AX154" s="1083"/>
      <c r="AY154" s="1083"/>
      <c r="AZ154" s="1083"/>
      <c r="BA154" s="1083"/>
      <c r="BB154" s="1083"/>
      <c r="BC154" s="1083"/>
      <c r="BD154" s="1083"/>
      <c r="BE154" s="1083"/>
      <c r="BF154" s="1083"/>
      <c r="BG154" s="1083"/>
      <c r="BH154" s="1083"/>
      <c r="BI154" s="1083"/>
      <c r="BJ154" s="1083"/>
      <c r="BK154" s="1083"/>
      <c r="BL154" s="1083"/>
      <c r="BM154" s="1083"/>
      <c r="BN154" s="1083"/>
      <c r="BO154" s="1083"/>
      <c r="BP154" s="1083"/>
      <c r="BQ154" s="1083"/>
      <c r="BR154" s="100"/>
      <c r="BS154" s="100"/>
      <c r="BT154" s="100"/>
      <c r="BU154" s="100"/>
      <c r="BV154" s="100"/>
      <c r="BW154" s="100"/>
      <c r="BX154" s="100"/>
      <c r="BY154" s="100"/>
    </row>
    <row r="155" spans="1:77">
      <c r="A155" s="1083"/>
      <c r="B155" s="1083"/>
      <c r="C155" s="1083"/>
      <c r="D155" s="1083"/>
      <c r="E155" s="1083"/>
      <c r="F155" s="1083"/>
      <c r="G155" s="1083"/>
      <c r="H155" s="1083"/>
      <c r="I155" s="1083"/>
      <c r="J155" s="1083"/>
      <c r="K155" s="1083"/>
      <c r="L155" s="1083"/>
      <c r="M155" s="1083"/>
      <c r="N155" s="1083"/>
      <c r="O155" s="1083"/>
      <c r="P155" s="1083"/>
      <c r="Q155" s="1083"/>
      <c r="R155" s="1083"/>
      <c r="S155" s="1083"/>
      <c r="T155" s="1083"/>
      <c r="U155" s="1083"/>
      <c r="V155" s="1083"/>
      <c r="W155" s="1083"/>
      <c r="X155" s="1083"/>
      <c r="Y155" s="1083"/>
      <c r="Z155" s="1083"/>
      <c r="AA155" s="1083"/>
      <c r="AB155" s="1083"/>
      <c r="AC155" s="1389"/>
      <c r="AD155" s="1083"/>
      <c r="AE155" s="1389"/>
      <c r="AF155" s="1083"/>
      <c r="AG155" s="1083"/>
      <c r="AH155" s="1083"/>
      <c r="AI155" s="1083"/>
      <c r="AJ155" s="1083"/>
      <c r="AK155" s="1083"/>
      <c r="AL155" s="1390"/>
      <c r="AM155" s="1083"/>
      <c r="AN155" s="1083"/>
      <c r="AO155" s="1083"/>
      <c r="AP155" s="1083"/>
      <c r="AQ155" s="1083"/>
      <c r="AR155" s="1083"/>
      <c r="AS155" s="1083"/>
      <c r="AT155" s="1083"/>
      <c r="AU155" s="1083"/>
      <c r="AV155" s="1083"/>
      <c r="AW155" s="1083"/>
      <c r="AX155" s="1083"/>
      <c r="AY155" s="1083"/>
      <c r="AZ155" s="1083"/>
      <c r="BA155" s="1083"/>
      <c r="BB155" s="1083"/>
      <c r="BC155" s="1083"/>
      <c r="BD155" s="1083"/>
      <c r="BE155" s="1083"/>
      <c r="BF155" s="1083"/>
      <c r="BG155" s="1083"/>
      <c r="BH155" s="1083"/>
      <c r="BI155" s="1083"/>
      <c r="BJ155" s="1083"/>
      <c r="BK155" s="1083"/>
      <c r="BL155" s="1083"/>
      <c r="BM155" s="1083"/>
      <c r="BN155" s="1083"/>
      <c r="BO155" s="1083"/>
      <c r="BP155" s="1083"/>
      <c r="BQ155" s="1083"/>
      <c r="BR155" s="100"/>
      <c r="BS155" s="100"/>
      <c r="BT155" s="100"/>
      <c r="BU155" s="100"/>
      <c r="BV155" s="100"/>
      <c r="BW155" s="100"/>
      <c r="BX155" s="100"/>
      <c r="BY155" s="100"/>
    </row>
    <row r="156" spans="1:77">
      <c r="A156" s="1083"/>
      <c r="B156" s="1083"/>
      <c r="C156" s="1083"/>
      <c r="D156" s="1083"/>
      <c r="E156" s="1083"/>
      <c r="F156" s="1083"/>
      <c r="G156" s="1083"/>
      <c r="H156" s="1083"/>
      <c r="I156" s="1083"/>
      <c r="J156" s="1083"/>
      <c r="K156" s="1083"/>
      <c r="L156" s="1083"/>
      <c r="M156" s="1083"/>
      <c r="N156" s="1083"/>
      <c r="O156" s="1083"/>
      <c r="P156" s="1083"/>
      <c r="Q156" s="1083"/>
      <c r="R156" s="1083"/>
      <c r="S156" s="1083"/>
      <c r="T156" s="1083"/>
      <c r="U156" s="1083"/>
      <c r="V156" s="1083"/>
      <c r="W156" s="1083"/>
      <c r="X156" s="1083"/>
      <c r="Y156" s="1083"/>
      <c r="Z156" s="1083"/>
      <c r="AA156" s="1083"/>
      <c r="AB156" s="1083"/>
      <c r="AC156" s="1389"/>
      <c r="AD156" s="1083"/>
      <c r="AE156" s="1389"/>
      <c r="AF156" s="1083"/>
      <c r="AG156" s="1083"/>
      <c r="AH156" s="1083"/>
      <c r="AI156" s="1083"/>
      <c r="AJ156" s="1083"/>
      <c r="AK156" s="1083"/>
      <c r="AL156" s="1390"/>
      <c r="AM156" s="1083"/>
      <c r="AN156" s="1083"/>
      <c r="AO156" s="1083"/>
      <c r="AP156" s="1083"/>
      <c r="AQ156" s="1083"/>
      <c r="AR156" s="1083"/>
      <c r="AS156" s="1083"/>
      <c r="AT156" s="1083"/>
      <c r="AU156" s="1083"/>
      <c r="AV156" s="1083"/>
      <c r="AW156" s="1083"/>
      <c r="AX156" s="1083"/>
      <c r="AY156" s="1083"/>
      <c r="AZ156" s="1083"/>
      <c r="BA156" s="1083"/>
      <c r="BB156" s="1083"/>
      <c r="BC156" s="1083"/>
      <c r="BD156" s="1083"/>
      <c r="BE156" s="1083"/>
      <c r="BF156" s="1083"/>
      <c r="BG156" s="1083"/>
      <c r="BH156" s="1083"/>
      <c r="BI156" s="1083"/>
      <c r="BJ156" s="1083"/>
      <c r="BK156" s="1083"/>
      <c r="BL156" s="1083"/>
      <c r="BM156" s="1083"/>
      <c r="BN156" s="1083"/>
      <c r="BO156" s="1083"/>
      <c r="BP156" s="1083"/>
      <c r="BQ156" s="1083"/>
      <c r="BR156" s="100"/>
      <c r="BS156" s="100"/>
      <c r="BT156" s="100"/>
      <c r="BU156" s="100"/>
      <c r="BV156" s="100"/>
      <c r="BW156" s="100"/>
      <c r="BX156" s="100"/>
      <c r="BY156" s="100"/>
    </row>
    <row r="157" spans="1:77">
      <c r="A157" s="1083"/>
      <c r="B157" s="1083"/>
      <c r="C157" s="1083"/>
      <c r="D157" s="1083"/>
      <c r="E157" s="1083"/>
      <c r="F157" s="1083"/>
      <c r="G157" s="1083"/>
      <c r="H157" s="1083"/>
      <c r="I157" s="1083"/>
      <c r="J157" s="1083"/>
      <c r="K157" s="1083"/>
      <c r="L157" s="1083"/>
      <c r="M157" s="1083"/>
      <c r="N157" s="1083"/>
      <c r="O157" s="1083"/>
      <c r="P157" s="1083"/>
      <c r="Q157" s="1083"/>
      <c r="R157" s="1083"/>
      <c r="S157" s="1083"/>
      <c r="T157" s="1083"/>
      <c r="U157" s="1083"/>
      <c r="V157" s="1083"/>
      <c r="W157" s="1083"/>
      <c r="X157" s="1083"/>
      <c r="Y157" s="1083"/>
      <c r="Z157" s="1083"/>
      <c r="AA157" s="1083"/>
      <c r="AB157" s="1083"/>
      <c r="AC157" s="1389"/>
      <c r="AD157" s="1083"/>
      <c r="AE157" s="1389"/>
      <c r="AF157" s="1083"/>
      <c r="AG157" s="1083"/>
      <c r="AH157" s="1083"/>
      <c r="AI157" s="1083"/>
      <c r="AJ157" s="1083"/>
      <c r="AK157" s="1083"/>
      <c r="AL157" s="1390"/>
      <c r="AM157" s="1083"/>
      <c r="AN157" s="1083"/>
      <c r="AO157" s="1083"/>
      <c r="AP157" s="1083"/>
      <c r="AQ157" s="1083"/>
      <c r="AR157" s="1083"/>
      <c r="AS157" s="1083"/>
      <c r="AT157" s="1083"/>
      <c r="AU157" s="1083"/>
      <c r="AV157" s="1083"/>
      <c r="AW157" s="1083"/>
      <c r="AX157" s="1083"/>
      <c r="AY157" s="1083"/>
      <c r="AZ157" s="1083"/>
      <c r="BA157" s="1083"/>
      <c r="BB157" s="1083"/>
      <c r="BC157" s="1083"/>
      <c r="BD157" s="1083"/>
      <c r="BE157" s="1083"/>
      <c r="BF157" s="1083"/>
      <c r="BG157" s="1083"/>
      <c r="BH157" s="1083"/>
      <c r="BI157" s="1083"/>
      <c r="BJ157" s="1083"/>
      <c r="BK157" s="1083"/>
      <c r="BL157" s="1083"/>
      <c r="BM157" s="1083"/>
      <c r="BN157" s="1083"/>
      <c r="BO157" s="1083"/>
      <c r="BP157" s="1083"/>
      <c r="BQ157" s="1083"/>
      <c r="BR157" s="100"/>
      <c r="BS157" s="100"/>
      <c r="BT157" s="100"/>
      <c r="BU157" s="100"/>
      <c r="BV157" s="100"/>
      <c r="BW157" s="100"/>
      <c r="BX157" s="100"/>
      <c r="BY157" s="100"/>
    </row>
    <row r="158" spans="1:77">
      <c r="A158" s="1083"/>
      <c r="B158" s="1083"/>
      <c r="C158" s="1083"/>
      <c r="D158" s="1083"/>
      <c r="E158" s="1083"/>
      <c r="F158" s="1083"/>
      <c r="G158" s="1083"/>
      <c r="H158" s="1083"/>
      <c r="I158" s="1083"/>
      <c r="J158" s="1083"/>
      <c r="K158" s="1083"/>
      <c r="L158" s="1083"/>
      <c r="M158" s="1083"/>
      <c r="N158" s="1083"/>
      <c r="O158" s="1083"/>
      <c r="P158" s="1083"/>
      <c r="Q158" s="1083"/>
      <c r="R158" s="1083"/>
      <c r="S158" s="1083"/>
      <c r="T158" s="1083"/>
      <c r="U158" s="1083"/>
      <c r="V158" s="1083"/>
      <c r="W158" s="1083"/>
      <c r="X158" s="1083"/>
      <c r="Y158" s="1083"/>
      <c r="Z158" s="1083"/>
      <c r="AA158" s="1083"/>
      <c r="AB158" s="1083"/>
      <c r="AC158" s="1389"/>
      <c r="AD158" s="1083"/>
      <c r="AE158" s="1389"/>
      <c r="AF158" s="1083"/>
      <c r="AG158" s="1083"/>
      <c r="AH158" s="1083"/>
      <c r="AI158" s="1083"/>
      <c r="AJ158" s="1083"/>
      <c r="AK158" s="1083"/>
      <c r="AL158" s="1390"/>
      <c r="AM158" s="1083"/>
      <c r="AN158" s="1083"/>
      <c r="AO158" s="1083"/>
      <c r="AP158" s="1083"/>
      <c r="AQ158" s="1083"/>
      <c r="AR158" s="1083"/>
      <c r="AS158" s="1083"/>
      <c r="AT158" s="1083"/>
      <c r="AU158" s="1083"/>
      <c r="AV158" s="1083"/>
      <c r="AW158" s="1083"/>
      <c r="AX158" s="1083"/>
      <c r="AY158" s="1083"/>
      <c r="AZ158" s="1083"/>
      <c r="BA158" s="1083"/>
      <c r="BB158" s="1083"/>
      <c r="BC158" s="1083"/>
      <c r="BD158" s="1083"/>
      <c r="BE158" s="1083"/>
      <c r="BF158" s="1083"/>
      <c r="BG158" s="1083"/>
      <c r="BH158" s="1083"/>
      <c r="BI158" s="1083"/>
      <c r="BJ158" s="1083"/>
      <c r="BK158" s="1083"/>
      <c r="BL158" s="1083"/>
      <c r="BM158" s="1083"/>
      <c r="BN158" s="1083"/>
      <c r="BO158" s="1083"/>
      <c r="BP158" s="1083"/>
      <c r="BQ158" s="1083"/>
      <c r="BR158" s="100"/>
      <c r="BS158" s="100"/>
      <c r="BT158" s="100"/>
      <c r="BU158" s="100"/>
      <c r="BV158" s="100"/>
      <c r="BW158" s="100"/>
      <c r="BX158" s="100"/>
      <c r="BY158" s="100"/>
    </row>
    <row r="159" spans="1:77">
      <c r="A159" s="1083"/>
      <c r="B159" s="1083"/>
      <c r="C159" s="1083"/>
      <c r="D159" s="1083"/>
      <c r="E159" s="1083"/>
      <c r="F159" s="1083"/>
      <c r="G159" s="1083"/>
      <c r="H159" s="1083"/>
      <c r="I159" s="1083"/>
      <c r="J159" s="1083"/>
      <c r="K159" s="1083"/>
      <c r="L159" s="1083"/>
      <c r="M159" s="1083"/>
      <c r="N159" s="1083"/>
      <c r="O159" s="1083"/>
      <c r="P159" s="1083"/>
      <c r="Q159" s="1083"/>
      <c r="R159" s="1083"/>
      <c r="S159" s="1083"/>
      <c r="T159" s="1083"/>
      <c r="U159" s="1083"/>
      <c r="V159" s="1083"/>
      <c r="W159" s="1083"/>
      <c r="X159" s="1083"/>
      <c r="Y159" s="1083"/>
      <c r="Z159" s="1083"/>
      <c r="AA159" s="1083"/>
      <c r="AB159" s="1083"/>
      <c r="AC159" s="1389"/>
      <c r="AD159" s="1083"/>
      <c r="AE159" s="1389"/>
      <c r="AF159" s="1083"/>
      <c r="AG159" s="1083"/>
      <c r="AH159" s="1083"/>
      <c r="AI159" s="1083"/>
      <c r="AJ159" s="1083"/>
      <c r="AK159" s="1083"/>
      <c r="AL159" s="1390"/>
      <c r="AM159" s="1083"/>
      <c r="AN159" s="1083"/>
      <c r="AO159" s="1083"/>
      <c r="AP159" s="1083"/>
      <c r="AQ159" s="1083"/>
      <c r="AR159" s="1083"/>
      <c r="AS159" s="1083"/>
      <c r="AT159" s="1083"/>
      <c r="AU159" s="1083"/>
      <c r="AV159" s="1083"/>
      <c r="AW159" s="1083"/>
      <c r="AX159" s="1083"/>
      <c r="AY159" s="1083"/>
      <c r="AZ159" s="1083"/>
      <c r="BA159" s="1083"/>
      <c r="BB159" s="1083"/>
      <c r="BC159" s="1083"/>
      <c r="BD159" s="1083"/>
      <c r="BE159" s="1083"/>
      <c r="BF159" s="1083"/>
      <c r="BG159" s="1083"/>
      <c r="BH159" s="1083"/>
      <c r="BI159" s="1083"/>
      <c r="BJ159" s="1083"/>
      <c r="BK159" s="1083"/>
      <c r="BL159" s="1083"/>
      <c r="BM159" s="1083"/>
      <c r="BN159" s="1083"/>
      <c r="BO159" s="1083"/>
      <c r="BP159" s="1083"/>
      <c r="BQ159" s="1083"/>
      <c r="BR159" s="100"/>
      <c r="BS159" s="100"/>
      <c r="BT159" s="100"/>
      <c r="BU159" s="100"/>
      <c r="BV159" s="100"/>
      <c r="BW159" s="100"/>
      <c r="BX159" s="100"/>
      <c r="BY159" s="100"/>
    </row>
    <row r="160" spans="1:77">
      <c r="A160" s="1083"/>
      <c r="B160" s="1083"/>
      <c r="C160" s="1083"/>
      <c r="D160" s="1083"/>
      <c r="E160" s="1083"/>
      <c r="F160" s="1083"/>
      <c r="G160" s="1083"/>
      <c r="H160" s="1083"/>
      <c r="I160" s="1083"/>
      <c r="J160" s="1083"/>
      <c r="K160" s="1083"/>
      <c r="L160" s="1083"/>
      <c r="M160" s="1083"/>
      <c r="N160" s="1083"/>
      <c r="O160" s="1083"/>
      <c r="P160" s="1083"/>
      <c r="Q160" s="1083"/>
      <c r="R160" s="1083"/>
      <c r="S160" s="1083"/>
      <c r="T160" s="1083"/>
      <c r="U160" s="1083"/>
      <c r="V160" s="1083"/>
      <c r="W160" s="1083"/>
      <c r="X160" s="1083"/>
      <c r="Y160" s="1083"/>
      <c r="Z160" s="1083"/>
      <c r="AA160" s="1083"/>
      <c r="AB160" s="1083"/>
      <c r="AC160" s="1389"/>
      <c r="AD160" s="1083"/>
      <c r="AE160" s="1389"/>
      <c r="AF160" s="1083"/>
      <c r="AG160" s="1083"/>
      <c r="AH160" s="1083"/>
      <c r="AI160" s="1083"/>
      <c r="AJ160" s="1083"/>
      <c r="AK160" s="1083"/>
      <c r="AL160" s="1390"/>
      <c r="AM160" s="1083"/>
      <c r="AN160" s="1083"/>
      <c r="AO160" s="1083"/>
      <c r="AP160" s="1083"/>
      <c r="AQ160" s="1083"/>
      <c r="AR160" s="1083"/>
      <c r="AS160" s="1083"/>
      <c r="AT160" s="1083"/>
      <c r="AU160" s="1083"/>
      <c r="AV160" s="1083"/>
      <c r="AW160" s="1083"/>
      <c r="AX160" s="1083"/>
      <c r="AY160" s="1083"/>
      <c r="AZ160" s="1083"/>
      <c r="BA160" s="1083"/>
      <c r="BB160" s="1083"/>
      <c r="BC160" s="1083"/>
      <c r="BD160" s="1083"/>
      <c r="BE160" s="1083"/>
      <c r="BF160" s="1083"/>
      <c r="BG160" s="1083"/>
      <c r="BH160" s="1083"/>
      <c r="BI160" s="1083"/>
      <c r="BJ160" s="1083"/>
      <c r="BK160" s="1083"/>
      <c r="BL160" s="1083"/>
      <c r="BM160" s="1083"/>
      <c r="BN160" s="1083"/>
      <c r="BO160" s="1083"/>
      <c r="BP160" s="1083"/>
      <c r="BQ160" s="1083"/>
      <c r="BR160" s="100"/>
      <c r="BS160" s="100"/>
      <c r="BT160" s="100"/>
      <c r="BU160" s="100"/>
      <c r="BV160" s="100"/>
      <c r="BW160" s="100"/>
      <c r="BX160" s="100"/>
      <c r="BY160" s="100"/>
    </row>
    <row r="161" spans="1:77">
      <c r="A161" s="1083"/>
      <c r="B161" s="1083"/>
      <c r="C161" s="1083"/>
      <c r="D161" s="1083"/>
      <c r="E161" s="1083"/>
      <c r="F161" s="1083"/>
      <c r="G161" s="1083"/>
      <c r="H161" s="1083"/>
      <c r="I161" s="1083"/>
      <c r="J161" s="1083"/>
      <c r="K161" s="1083"/>
      <c r="L161" s="1083"/>
      <c r="M161" s="1083"/>
      <c r="N161" s="1083"/>
      <c r="O161" s="1083"/>
      <c r="P161" s="1083"/>
      <c r="Q161" s="1083"/>
      <c r="R161" s="1083"/>
      <c r="S161" s="1083"/>
      <c r="T161" s="1083"/>
      <c r="U161" s="1083"/>
      <c r="V161" s="1083"/>
      <c r="W161" s="1083"/>
      <c r="X161" s="1083"/>
      <c r="Y161" s="1083"/>
      <c r="Z161" s="1083"/>
      <c r="AA161" s="1083"/>
      <c r="AB161" s="1083"/>
      <c r="AC161" s="1389"/>
      <c r="AD161" s="1083"/>
      <c r="AE161" s="1389"/>
      <c r="AF161" s="1083"/>
      <c r="AG161" s="1083"/>
      <c r="AH161" s="1083"/>
      <c r="AI161" s="1083"/>
      <c r="AJ161" s="1083"/>
      <c r="AK161" s="1083"/>
      <c r="AL161" s="1390"/>
      <c r="AM161" s="1083"/>
      <c r="AN161" s="1083"/>
      <c r="AO161" s="1083"/>
      <c r="AP161" s="1083"/>
      <c r="AQ161" s="1083"/>
      <c r="AR161" s="1083"/>
      <c r="AS161" s="1083"/>
      <c r="AT161" s="1083"/>
      <c r="AU161" s="1083"/>
      <c r="AV161" s="1083"/>
      <c r="AW161" s="1083"/>
      <c r="AX161" s="1083"/>
      <c r="AY161" s="1083"/>
      <c r="AZ161" s="1083"/>
      <c r="BA161" s="1083"/>
      <c r="BB161" s="1083"/>
      <c r="BC161" s="1083"/>
      <c r="BD161" s="1083"/>
      <c r="BE161" s="1083"/>
      <c r="BF161" s="1083"/>
      <c r="BG161" s="1083"/>
      <c r="BH161" s="1083"/>
      <c r="BI161" s="1083"/>
      <c r="BJ161" s="1083"/>
      <c r="BK161" s="1083"/>
      <c r="BL161" s="1083"/>
      <c r="BM161" s="1083"/>
      <c r="BN161" s="1083"/>
      <c r="BO161" s="1083"/>
      <c r="BP161" s="1083"/>
      <c r="BQ161" s="1083"/>
      <c r="BR161" s="100"/>
      <c r="BS161" s="100"/>
      <c r="BT161" s="100"/>
      <c r="BU161" s="100"/>
      <c r="BV161" s="100"/>
      <c r="BW161" s="100"/>
      <c r="BX161" s="100"/>
      <c r="BY161" s="100"/>
    </row>
    <row r="162" spans="1:77">
      <c r="A162" s="1083"/>
      <c r="B162" s="1083"/>
      <c r="C162" s="1083"/>
      <c r="D162" s="1083"/>
      <c r="E162" s="1083"/>
      <c r="F162" s="1083"/>
      <c r="G162" s="1083"/>
      <c r="H162" s="1083"/>
      <c r="I162" s="1083"/>
      <c r="J162" s="1083"/>
      <c r="K162" s="1083"/>
      <c r="L162" s="1083"/>
      <c r="M162" s="1083"/>
      <c r="N162" s="1083"/>
      <c r="O162" s="1083"/>
      <c r="P162" s="1083"/>
      <c r="Q162" s="1083"/>
      <c r="R162" s="1083"/>
      <c r="S162" s="1083"/>
      <c r="T162" s="1083"/>
      <c r="U162" s="1083"/>
      <c r="V162" s="1083"/>
      <c r="W162" s="1083"/>
      <c r="X162" s="1083"/>
      <c r="Y162" s="1083"/>
      <c r="Z162" s="1083"/>
      <c r="AA162" s="1083"/>
      <c r="AB162" s="1083"/>
      <c r="AC162" s="1389"/>
      <c r="AD162" s="1083"/>
      <c r="AE162" s="1389"/>
      <c r="AF162" s="1083"/>
      <c r="AG162" s="1083"/>
      <c r="AH162" s="1083"/>
      <c r="AI162" s="1083"/>
      <c r="AJ162" s="1083"/>
      <c r="AK162" s="1083"/>
      <c r="AL162" s="1390"/>
      <c r="AM162" s="1083"/>
      <c r="AN162" s="1083"/>
      <c r="AO162" s="1083"/>
      <c r="AP162" s="1083"/>
      <c r="AQ162" s="1083"/>
      <c r="AR162" s="1083"/>
      <c r="AS162" s="1083"/>
      <c r="AT162" s="1083"/>
      <c r="AU162" s="1083"/>
      <c r="AV162" s="1083"/>
      <c r="AW162" s="1083"/>
      <c r="AX162" s="1083"/>
      <c r="AY162" s="1083"/>
      <c r="AZ162" s="1083"/>
      <c r="BA162" s="1083"/>
      <c r="BB162" s="1083"/>
      <c r="BC162" s="1083"/>
      <c r="BD162" s="1083"/>
      <c r="BE162" s="1083"/>
      <c r="BF162" s="1083"/>
      <c r="BG162" s="1083"/>
      <c r="BH162" s="1083"/>
      <c r="BI162" s="1083"/>
      <c r="BJ162" s="1083"/>
      <c r="BK162" s="1083"/>
      <c r="BL162" s="1083"/>
      <c r="BM162" s="1083"/>
      <c r="BN162" s="1083"/>
      <c r="BO162" s="1083"/>
      <c r="BP162" s="1083"/>
      <c r="BQ162" s="1083"/>
      <c r="BR162" s="100"/>
      <c r="BS162" s="100"/>
      <c r="BT162" s="100"/>
      <c r="BU162" s="100"/>
      <c r="BV162" s="100"/>
      <c r="BW162" s="100"/>
      <c r="BX162" s="100"/>
      <c r="BY162" s="100"/>
    </row>
    <row r="163" spans="1:77">
      <c r="A163" s="1083"/>
      <c r="B163" s="1083"/>
      <c r="C163" s="1083"/>
      <c r="D163" s="1083"/>
      <c r="E163" s="1083"/>
      <c r="F163" s="1083"/>
      <c r="G163" s="1083"/>
      <c r="H163" s="1083"/>
      <c r="I163" s="1083"/>
      <c r="J163" s="1083"/>
      <c r="K163" s="1083"/>
      <c r="L163" s="1083"/>
      <c r="M163" s="1083"/>
      <c r="N163" s="1083"/>
      <c r="O163" s="1083"/>
      <c r="P163" s="1083"/>
      <c r="Q163" s="1083"/>
      <c r="R163" s="1083"/>
      <c r="S163" s="1083"/>
      <c r="T163" s="1083"/>
      <c r="U163" s="1083"/>
      <c r="V163" s="1083"/>
      <c r="W163" s="1083"/>
      <c r="X163" s="1083"/>
      <c r="Y163" s="1083"/>
      <c r="Z163" s="1083"/>
      <c r="AA163" s="1083"/>
      <c r="AB163" s="1083"/>
      <c r="AC163" s="1389"/>
      <c r="AD163" s="1083"/>
      <c r="AE163" s="1389"/>
      <c r="AF163" s="1083"/>
      <c r="AG163" s="1083"/>
      <c r="AH163" s="1083"/>
      <c r="AI163" s="1083"/>
      <c r="AJ163" s="1083"/>
      <c r="AK163" s="1083"/>
      <c r="AL163" s="1390"/>
      <c r="AM163" s="1083"/>
      <c r="AN163" s="1083"/>
      <c r="AO163" s="1083"/>
      <c r="AP163" s="1083"/>
      <c r="AQ163" s="1083"/>
      <c r="AR163" s="1083"/>
      <c r="AS163" s="1083"/>
      <c r="AT163" s="1083"/>
      <c r="AU163" s="1083"/>
      <c r="AV163" s="1083"/>
      <c r="AW163" s="1083"/>
      <c r="AX163" s="1083"/>
      <c r="AY163" s="1083"/>
      <c r="AZ163" s="1083"/>
      <c r="BA163" s="1083"/>
      <c r="BB163" s="1083"/>
      <c r="BC163" s="1083"/>
      <c r="BD163" s="1083"/>
      <c r="BE163" s="1083"/>
      <c r="BF163" s="1083"/>
      <c r="BG163" s="1083"/>
      <c r="BH163" s="1083"/>
      <c r="BI163" s="1083"/>
      <c r="BJ163" s="1083"/>
      <c r="BK163" s="1083"/>
      <c r="BL163" s="1083"/>
      <c r="BM163" s="1083"/>
      <c r="BN163" s="1083"/>
      <c r="BO163" s="1083"/>
      <c r="BP163" s="1083"/>
      <c r="BQ163" s="1083"/>
      <c r="BR163" s="100"/>
      <c r="BS163" s="100"/>
      <c r="BT163" s="100"/>
      <c r="BU163" s="100"/>
      <c r="BV163" s="100"/>
      <c r="BW163" s="100"/>
      <c r="BX163" s="100"/>
      <c r="BY163" s="100"/>
    </row>
    <row r="164" spans="1:77">
      <c r="A164" s="1083"/>
      <c r="B164" s="1083"/>
      <c r="C164" s="1083"/>
      <c r="D164" s="1083"/>
      <c r="E164" s="1083"/>
      <c r="F164" s="1083"/>
      <c r="G164" s="1083"/>
      <c r="H164" s="1083"/>
      <c r="I164" s="1083"/>
      <c r="J164" s="1083"/>
      <c r="K164" s="1083"/>
      <c r="L164" s="1083"/>
      <c r="M164" s="1083"/>
      <c r="N164" s="1083"/>
      <c r="O164" s="1083"/>
      <c r="P164" s="1083"/>
      <c r="Q164" s="1083"/>
      <c r="R164" s="1083"/>
      <c r="S164" s="1083"/>
      <c r="T164" s="1083"/>
      <c r="U164" s="1083"/>
      <c r="V164" s="1083"/>
      <c r="W164" s="1083"/>
      <c r="X164" s="1083"/>
      <c r="Y164" s="1083"/>
      <c r="Z164" s="1083"/>
      <c r="AA164" s="1083"/>
      <c r="AB164" s="1083"/>
      <c r="AC164" s="1389"/>
      <c r="AD164" s="1083"/>
      <c r="AE164" s="1389"/>
      <c r="AF164" s="1083"/>
      <c r="AG164" s="1083"/>
      <c r="AH164" s="1083"/>
      <c r="AI164" s="1083"/>
      <c r="AJ164" s="1083"/>
      <c r="AK164" s="1083"/>
      <c r="AL164" s="1390"/>
      <c r="AM164" s="1083"/>
      <c r="AN164" s="1083"/>
      <c r="AO164" s="1083"/>
      <c r="AP164" s="1083"/>
      <c r="AQ164" s="1083"/>
      <c r="AR164" s="1083"/>
      <c r="AS164" s="1083"/>
      <c r="AT164" s="1083"/>
      <c r="AU164" s="1083"/>
      <c r="AV164" s="1083"/>
      <c r="AW164" s="1083"/>
      <c r="AX164" s="1083"/>
      <c r="AY164" s="1083"/>
      <c r="AZ164" s="1083"/>
      <c r="BA164" s="1083"/>
      <c r="BB164" s="1083"/>
      <c r="BC164" s="1083"/>
      <c r="BD164" s="1083"/>
      <c r="BE164" s="1083"/>
      <c r="BF164" s="1083"/>
      <c r="BG164" s="1083"/>
      <c r="BH164" s="1083"/>
      <c r="BI164" s="1083"/>
      <c r="BJ164" s="1083"/>
      <c r="BK164" s="1083"/>
      <c r="BL164" s="1083"/>
      <c r="BM164" s="1083"/>
      <c r="BN164" s="1083"/>
      <c r="BO164" s="1083"/>
      <c r="BP164" s="1083"/>
      <c r="BQ164" s="1083"/>
      <c r="BR164" s="100"/>
      <c r="BS164" s="100"/>
      <c r="BT164" s="100"/>
      <c r="BU164" s="100"/>
      <c r="BV164" s="100"/>
      <c r="BW164" s="100"/>
      <c r="BX164" s="100"/>
      <c r="BY164" s="100"/>
    </row>
    <row r="165" spans="1:77">
      <c r="A165" s="1083"/>
      <c r="B165" s="1083"/>
      <c r="C165" s="1083"/>
      <c r="D165" s="1083"/>
      <c r="E165" s="1083"/>
      <c r="F165" s="1083"/>
      <c r="G165" s="1083"/>
      <c r="H165" s="1083"/>
      <c r="I165" s="1083"/>
      <c r="J165" s="1083"/>
      <c r="K165" s="1083"/>
      <c r="L165" s="1083"/>
      <c r="M165" s="1083"/>
      <c r="N165" s="1083"/>
      <c r="O165" s="1083"/>
      <c r="P165" s="1083"/>
      <c r="Q165" s="1083"/>
      <c r="R165" s="1083"/>
      <c r="S165" s="1083"/>
      <c r="T165" s="1083"/>
      <c r="U165" s="1083"/>
      <c r="V165" s="1083"/>
      <c r="W165" s="1083"/>
      <c r="X165" s="1083"/>
      <c r="Y165" s="1083"/>
      <c r="Z165" s="1083"/>
      <c r="AA165" s="1083"/>
      <c r="AB165" s="1083"/>
      <c r="AC165" s="1389"/>
      <c r="AD165" s="1083"/>
      <c r="AE165" s="1389"/>
      <c r="AF165" s="1083"/>
      <c r="AG165" s="1083"/>
      <c r="AH165" s="1083"/>
      <c r="AI165" s="1083"/>
      <c r="AJ165" s="1083"/>
      <c r="AK165" s="1083"/>
      <c r="AL165" s="1390"/>
      <c r="AM165" s="1083"/>
      <c r="AN165" s="1083"/>
      <c r="AO165" s="1083"/>
      <c r="AP165" s="1083"/>
      <c r="AQ165" s="1083"/>
      <c r="AR165" s="1083"/>
      <c r="AS165" s="1083"/>
      <c r="AT165" s="1083"/>
      <c r="AU165" s="1083"/>
      <c r="AV165" s="1083"/>
      <c r="AW165" s="1083"/>
      <c r="AX165" s="1083"/>
      <c r="AY165" s="1083"/>
      <c r="AZ165" s="1083"/>
      <c r="BA165" s="1083"/>
      <c r="BB165" s="1083"/>
      <c r="BC165" s="1083"/>
      <c r="BD165" s="1083"/>
      <c r="BE165" s="1083"/>
      <c r="BF165" s="1083"/>
      <c r="BG165" s="1083"/>
      <c r="BH165" s="1083"/>
      <c r="BI165" s="1083"/>
      <c r="BJ165" s="1083"/>
      <c r="BK165" s="1083"/>
      <c r="BL165" s="1083"/>
      <c r="BM165" s="1083"/>
      <c r="BN165" s="1083"/>
      <c r="BO165" s="1083"/>
      <c r="BP165" s="1083"/>
      <c r="BQ165" s="1083"/>
      <c r="BR165" s="100"/>
      <c r="BS165" s="100"/>
      <c r="BT165" s="100"/>
      <c r="BU165" s="100"/>
      <c r="BV165" s="100"/>
      <c r="BW165" s="100"/>
      <c r="BX165" s="100"/>
      <c r="BY165" s="100"/>
    </row>
    <row r="166" spans="1:77">
      <c r="A166" s="1083"/>
      <c r="B166" s="1083"/>
      <c r="C166" s="1083"/>
      <c r="D166" s="1083"/>
      <c r="E166" s="1083"/>
      <c r="F166" s="1083"/>
      <c r="G166" s="1083"/>
      <c r="H166" s="1083"/>
      <c r="I166" s="1083"/>
      <c r="J166" s="1083"/>
      <c r="K166" s="1083"/>
      <c r="L166" s="1083"/>
      <c r="M166" s="1083"/>
      <c r="N166" s="1083"/>
      <c r="O166" s="1083"/>
      <c r="P166" s="1083"/>
      <c r="Q166" s="1083"/>
      <c r="R166" s="1083"/>
      <c r="S166" s="1083"/>
      <c r="T166" s="1083"/>
      <c r="U166" s="1083"/>
      <c r="V166" s="1083"/>
      <c r="W166" s="1083"/>
      <c r="X166" s="1083"/>
      <c r="Y166" s="1083"/>
      <c r="Z166" s="1083"/>
      <c r="AA166" s="1083"/>
      <c r="AB166" s="1083"/>
      <c r="AC166" s="1389"/>
      <c r="AD166" s="1083"/>
      <c r="AE166" s="1389"/>
      <c r="AF166" s="1083"/>
      <c r="AG166" s="1083"/>
      <c r="AH166" s="1083"/>
      <c r="AI166" s="1083"/>
      <c r="AJ166" s="1083"/>
      <c r="AK166" s="1083"/>
      <c r="AL166" s="1390"/>
      <c r="AM166" s="1083"/>
      <c r="AN166" s="1083"/>
      <c r="AO166" s="1083"/>
      <c r="AP166" s="1083"/>
      <c r="AQ166" s="1083"/>
      <c r="AR166" s="1083"/>
      <c r="AS166" s="1083"/>
      <c r="AT166" s="1083"/>
      <c r="AU166" s="1083"/>
      <c r="AV166" s="1083"/>
      <c r="AW166" s="1083"/>
      <c r="AX166" s="1083"/>
      <c r="AY166" s="1083"/>
      <c r="AZ166" s="1083"/>
      <c r="BA166" s="1083"/>
      <c r="BB166" s="1083"/>
      <c r="BC166" s="1083"/>
      <c r="BD166" s="1083"/>
      <c r="BE166" s="1083"/>
      <c r="BF166" s="1083"/>
      <c r="BG166" s="1083"/>
      <c r="BH166" s="1083"/>
      <c r="BI166" s="1083"/>
      <c r="BJ166" s="1083"/>
      <c r="BK166" s="1083"/>
      <c r="BL166" s="1083"/>
      <c r="BM166" s="1083"/>
      <c r="BN166" s="1083"/>
      <c r="BO166" s="1083"/>
      <c r="BP166" s="1083"/>
      <c r="BQ166" s="1083"/>
      <c r="BR166" s="100"/>
      <c r="BS166" s="100"/>
      <c r="BT166" s="100"/>
      <c r="BU166" s="100"/>
      <c r="BV166" s="100"/>
      <c r="BW166" s="100"/>
      <c r="BX166" s="100"/>
      <c r="BY166" s="100"/>
    </row>
    <row r="167" spans="1:77">
      <c r="A167" s="1083"/>
      <c r="B167" s="1083"/>
      <c r="C167" s="1083"/>
      <c r="D167" s="1083"/>
      <c r="E167" s="1083"/>
      <c r="F167" s="1083"/>
      <c r="G167" s="1083"/>
      <c r="H167" s="1083"/>
      <c r="I167" s="1083"/>
      <c r="J167" s="1083"/>
      <c r="K167" s="1083"/>
      <c r="L167" s="1083"/>
      <c r="M167" s="1083"/>
      <c r="N167" s="1083"/>
      <c r="O167" s="1083"/>
      <c r="P167" s="1083"/>
      <c r="Q167" s="1083"/>
      <c r="R167" s="1083"/>
      <c r="S167" s="1083"/>
      <c r="T167" s="1083"/>
      <c r="U167" s="1083"/>
      <c r="V167" s="1083"/>
      <c r="W167" s="1083"/>
      <c r="X167" s="1083"/>
      <c r="Y167" s="1083"/>
      <c r="Z167" s="1083"/>
      <c r="AA167" s="1083"/>
      <c r="AB167" s="1083"/>
      <c r="AC167" s="1389"/>
      <c r="AD167" s="1083"/>
      <c r="AE167" s="1389"/>
      <c r="AF167" s="1083"/>
      <c r="AG167" s="1083"/>
      <c r="AH167" s="1083"/>
      <c r="AI167" s="1083"/>
      <c r="AJ167" s="1083"/>
      <c r="AK167" s="1083"/>
      <c r="AL167" s="1390"/>
      <c r="AM167" s="1083"/>
      <c r="AN167" s="1083"/>
      <c r="AO167" s="1083"/>
      <c r="AP167" s="1083"/>
      <c r="AQ167" s="1083"/>
      <c r="AR167" s="1083"/>
      <c r="AS167" s="1083"/>
      <c r="AT167" s="1083"/>
      <c r="AU167" s="1083"/>
      <c r="AV167" s="1083"/>
      <c r="AW167" s="1083"/>
      <c r="AX167" s="1083"/>
      <c r="AY167" s="1083"/>
      <c r="AZ167" s="1083"/>
      <c r="BA167" s="1083"/>
      <c r="BB167" s="1083"/>
      <c r="BC167" s="1083"/>
      <c r="BD167" s="1083"/>
      <c r="BE167" s="1083"/>
      <c r="BF167" s="1083"/>
      <c r="BG167" s="1083"/>
      <c r="BH167" s="1083"/>
      <c r="BI167" s="1083"/>
      <c r="BJ167" s="1083"/>
      <c r="BK167" s="1083"/>
      <c r="BL167" s="1083"/>
      <c r="BM167" s="1083"/>
      <c r="BN167" s="1083"/>
      <c r="BO167" s="1083"/>
      <c r="BP167" s="1083"/>
      <c r="BQ167" s="1083"/>
      <c r="BR167" s="100"/>
      <c r="BS167" s="100"/>
      <c r="BT167" s="100"/>
      <c r="BU167" s="100"/>
      <c r="BV167" s="100"/>
      <c r="BW167" s="100"/>
      <c r="BX167" s="100"/>
      <c r="BY167" s="100"/>
    </row>
    <row r="168" spans="1:77">
      <c r="A168" s="1083"/>
      <c r="B168" s="1083"/>
      <c r="C168" s="1083"/>
      <c r="D168" s="1083"/>
      <c r="E168" s="1083"/>
      <c r="F168" s="1083"/>
      <c r="G168" s="1083"/>
      <c r="H168" s="1083"/>
      <c r="I168" s="1083"/>
      <c r="J168" s="1083"/>
      <c r="K168" s="1083"/>
      <c r="L168" s="1083"/>
      <c r="M168" s="1083"/>
      <c r="N168" s="1083"/>
      <c r="O168" s="1083"/>
      <c r="P168" s="1083"/>
      <c r="Q168" s="1083"/>
      <c r="R168" s="1083"/>
      <c r="S168" s="1083"/>
      <c r="T168" s="1083"/>
      <c r="U168" s="1083"/>
      <c r="V168" s="1083"/>
      <c r="W168" s="1083"/>
      <c r="X168" s="1083"/>
      <c r="Y168" s="1083"/>
      <c r="Z168" s="1083"/>
      <c r="AA168" s="1083"/>
      <c r="AB168" s="1083"/>
      <c r="AC168" s="1389"/>
      <c r="AD168" s="1083"/>
      <c r="AE168" s="1389"/>
      <c r="AF168" s="1083"/>
      <c r="AG168" s="1083"/>
      <c r="AH168" s="1083"/>
      <c r="AI168" s="1083"/>
      <c r="AJ168" s="1083"/>
      <c r="AK168" s="1083"/>
      <c r="AL168" s="1390"/>
      <c r="AM168" s="1083"/>
      <c r="AN168" s="1083"/>
      <c r="AO168" s="1083"/>
      <c r="AP168" s="1083"/>
      <c r="AQ168" s="1083"/>
      <c r="AR168" s="1083"/>
      <c r="AS168" s="1083"/>
      <c r="AT168" s="1083"/>
      <c r="AU168" s="1083"/>
      <c r="AV168" s="1083"/>
      <c r="AW168" s="1083"/>
      <c r="AX168" s="1083"/>
      <c r="AY168" s="1083"/>
      <c r="AZ168" s="1083"/>
      <c r="BA168" s="1083"/>
      <c r="BB168" s="1083"/>
      <c r="BC168" s="1083"/>
      <c r="BD168" s="1083"/>
      <c r="BE168" s="1083"/>
      <c r="BF168" s="1083"/>
      <c r="BG168" s="1083"/>
      <c r="BH168" s="1083"/>
      <c r="BI168" s="1083"/>
      <c r="BJ168" s="1083"/>
      <c r="BK168" s="1083"/>
      <c r="BL168" s="1083"/>
      <c r="BM168" s="1083"/>
      <c r="BN168" s="1083"/>
      <c r="BO168" s="1083"/>
      <c r="BP168" s="1083"/>
      <c r="BQ168" s="1083"/>
      <c r="BR168" s="100"/>
      <c r="BS168" s="100"/>
      <c r="BT168" s="100"/>
      <c r="BU168" s="100"/>
      <c r="BV168" s="100"/>
      <c r="BW168" s="100"/>
      <c r="BX168" s="100"/>
      <c r="BY168" s="100"/>
    </row>
    <row r="169" spans="1:77">
      <c r="A169" s="1083"/>
      <c r="B169" s="1083"/>
      <c r="C169" s="1083"/>
      <c r="D169" s="1083"/>
      <c r="E169" s="1083"/>
      <c r="F169" s="1083"/>
      <c r="G169" s="1083"/>
      <c r="H169" s="1083"/>
      <c r="I169" s="1083"/>
      <c r="J169" s="1083"/>
      <c r="K169" s="1083"/>
      <c r="L169" s="1083"/>
      <c r="M169" s="1083"/>
      <c r="N169" s="1083"/>
      <c r="O169" s="1083"/>
      <c r="P169" s="1083"/>
      <c r="Q169" s="1083"/>
      <c r="R169" s="1083"/>
      <c r="S169" s="1083"/>
      <c r="T169" s="1083"/>
      <c r="U169" s="1083"/>
      <c r="V169" s="1083"/>
      <c r="W169" s="1083"/>
      <c r="X169" s="1083"/>
      <c r="Y169" s="1083"/>
      <c r="Z169" s="1083"/>
      <c r="AA169" s="1083"/>
      <c r="AB169" s="1083"/>
      <c r="AC169" s="1389"/>
      <c r="AD169" s="1083"/>
      <c r="AE169" s="1389"/>
      <c r="AF169" s="1083"/>
      <c r="AG169" s="1083"/>
      <c r="AH169" s="1083"/>
      <c r="AI169" s="1083"/>
      <c r="AJ169" s="1083"/>
      <c r="AK169" s="1083"/>
      <c r="AL169" s="1390"/>
      <c r="AM169" s="1083"/>
      <c r="AN169" s="1083"/>
      <c r="AO169" s="1083"/>
      <c r="AP169" s="1083"/>
      <c r="AQ169" s="1083"/>
      <c r="AR169" s="1083"/>
      <c r="AS169" s="1083"/>
      <c r="AT169" s="1083"/>
      <c r="AU169" s="1083"/>
      <c r="AV169" s="1083"/>
      <c r="AW169" s="1083"/>
      <c r="AX169" s="1083"/>
      <c r="AY169" s="1083"/>
      <c r="AZ169" s="1083"/>
      <c r="BA169" s="1083"/>
      <c r="BB169" s="1083"/>
      <c r="BC169" s="1083"/>
      <c r="BD169" s="1083"/>
      <c r="BE169" s="1083"/>
      <c r="BF169" s="1083"/>
      <c r="BG169" s="1083"/>
      <c r="BH169" s="1083"/>
      <c r="BI169" s="1083"/>
      <c r="BJ169" s="1083"/>
      <c r="BK169" s="1083"/>
      <c r="BL169" s="1083"/>
      <c r="BM169" s="1083"/>
      <c r="BN169" s="1083"/>
      <c r="BO169" s="1083"/>
      <c r="BP169" s="1083"/>
      <c r="BQ169" s="1083"/>
      <c r="BR169" s="100"/>
      <c r="BS169" s="100"/>
      <c r="BT169" s="100"/>
      <c r="BU169" s="100"/>
      <c r="BV169" s="100"/>
      <c r="BW169" s="100"/>
      <c r="BX169" s="100"/>
      <c r="BY169" s="100"/>
    </row>
    <row r="170" spans="1:77">
      <c r="A170" s="1083"/>
      <c r="B170" s="1083"/>
      <c r="C170" s="1083"/>
      <c r="D170" s="1083"/>
      <c r="E170" s="1083"/>
      <c r="F170" s="1083"/>
      <c r="G170" s="1083"/>
      <c r="H170" s="1083"/>
      <c r="I170" s="1083"/>
      <c r="J170" s="1083"/>
      <c r="K170" s="1083"/>
      <c r="L170" s="1083"/>
      <c r="M170" s="1083"/>
      <c r="N170" s="1083"/>
      <c r="O170" s="1083"/>
      <c r="P170" s="1083"/>
      <c r="Q170" s="1083"/>
      <c r="R170" s="1083"/>
      <c r="S170" s="1083"/>
      <c r="T170" s="1083"/>
      <c r="U170" s="1083"/>
      <c r="V170" s="1083"/>
      <c r="W170" s="1083"/>
      <c r="X170" s="1083"/>
      <c r="Y170" s="1083"/>
      <c r="Z170" s="1083"/>
      <c r="AA170" s="1083"/>
      <c r="AB170" s="1083"/>
      <c r="AC170" s="1389"/>
      <c r="AD170" s="1083"/>
      <c r="AE170" s="1389"/>
      <c r="AF170" s="1083"/>
      <c r="AG170" s="1083"/>
      <c r="AH170" s="1083"/>
      <c r="AI170" s="1083"/>
      <c r="AJ170" s="1083"/>
      <c r="AK170" s="1083"/>
      <c r="AL170" s="1390"/>
      <c r="AM170" s="1083"/>
      <c r="AN170" s="1083"/>
      <c r="AO170" s="1083"/>
      <c r="AP170" s="1083"/>
      <c r="AQ170" s="1083"/>
      <c r="AR170" s="1083"/>
      <c r="AS170" s="1083"/>
      <c r="AT170" s="1083"/>
      <c r="AU170" s="1083"/>
      <c r="AV170" s="1083"/>
      <c r="AW170" s="1083"/>
      <c r="AX170" s="1083"/>
      <c r="AY170" s="1083"/>
      <c r="AZ170" s="1083"/>
      <c r="BA170" s="1083"/>
      <c r="BB170" s="1083"/>
      <c r="BC170" s="1083"/>
      <c r="BD170" s="1083"/>
      <c r="BE170" s="1083"/>
      <c r="BF170" s="1083"/>
      <c r="BG170" s="1083"/>
      <c r="BH170" s="1083"/>
      <c r="BI170" s="1083"/>
      <c r="BJ170" s="1083"/>
      <c r="BK170" s="1083"/>
      <c r="BL170" s="1083"/>
      <c r="BM170" s="1083"/>
      <c r="BN170" s="1083"/>
      <c r="BO170" s="1083"/>
      <c r="BP170" s="1083"/>
      <c r="BQ170" s="1083"/>
      <c r="BR170" s="100"/>
      <c r="BS170" s="100"/>
      <c r="BT170" s="100"/>
      <c r="BU170" s="100"/>
      <c r="BV170" s="100"/>
      <c r="BW170" s="100"/>
      <c r="BX170" s="100"/>
      <c r="BY170" s="100"/>
    </row>
    <row r="171" spans="1:77">
      <c r="A171" s="1083"/>
      <c r="B171" s="1083"/>
      <c r="C171" s="1083"/>
      <c r="D171" s="1083"/>
      <c r="E171" s="1083"/>
      <c r="F171" s="1083"/>
      <c r="G171" s="1083"/>
      <c r="H171" s="1083"/>
      <c r="I171" s="1083"/>
      <c r="J171" s="1083"/>
      <c r="K171" s="1083"/>
      <c r="L171" s="1083"/>
      <c r="M171" s="1083"/>
      <c r="N171" s="1083"/>
      <c r="O171" s="1083"/>
      <c r="P171" s="1083"/>
      <c r="Q171" s="1083"/>
      <c r="R171" s="1083"/>
      <c r="S171" s="1083"/>
      <c r="T171" s="1083"/>
      <c r="U171" s="1083"/>
      <c r="V171" s="1083"/>
      <c r="W171" s="1083"/>
      <c r="X171" s="1083"/>
      <c r="Y171" s="1083"/>
      <c r="Z171" s="1083"/>
      <c r="AA171" s="1083"/>
      <c r="AB171" s="1083"/>
      <c r="AC171" s="1389"/>
      <c r="AD171" s="1083"/>
      <c r="AE171" s="1389"/>
      <c r="AF171" s="1083"/>
      <c r="AG171" s="1083"/>
      <c r="AH171" s="1083"/>
      <c r="AI171" s="1083"/>
      <c r="AJ171" s="1083"/>
      <c r="AK171" s="1083"/>
      <c r="AL171" s="1390"/>
      <c r="AM171" s="1083"/>
      <c r="AN171" s="1083"/>
      <c r="AO171" s="1083"/>
      <c r="AP171" s="1083"/>
      <c r="AQ171" s="1083"/>
      <c r="AR171" s="1083"/>
      <c r="AS171" s="1083"/>
      <c r="AT171" s="1083"/>
      <c r="AU171" s="1083"/>
      <c r="AV171" s="1083"/>
      <c r="AW171" s="1083"/>
      <c r="AX171" s="1083"/>
      <c r="AY171" s="1083"/>
      <c r="AZ171" s="1083"/>
      <c r="BA171" s="1083"/>
      <c r="BB171" s="1083"/>
      <c r="BC171" s="1083"/>
      <c r="BD171" s="1083"/>
      <c r="BE171" s="1083"/>
      <c r="BF171" s="1083"/>
      <c r="BG171" s="1083"/>
      <c r="BH171" s="1083"/>
      <c r="BI171" s="1083"/>
      <c r="BJ171" s="1083"/>
      <c r="BK171" s="1083"/>
      <c r="BL171" s="1083"/>
      <c r="BM171" s="1083"/>
      <c r="BN171" s="1083"/>
      <c r="BO171" s="1083"/>
      <c r="BP171" s="1083"/>
      <c r="BQ171" s="1083"/>
      <c r="BR171" s="100"/>
      <c r="BS171" s="100"/>
      <c r="BT171" s="100"/>
      <c r="BU171" s="100"/>
      <c r="BV171" s="100"/>
      <c r="BW171" s="100"/>
      <c r="BX171" s="100"/>
      <c r="BY171" s="100"/>
    </row>
    <row r="172" spans="1:77">
      <c r="A172" s="1083"/>
      <c r="B172" s="1083"/>
      <c r="C172" s="1083"/>
      <c r="D172" s="1083"/>
      <c r="E172" s="1083"/>
      <c r="F172" s="1083"/>
      <c r="G172" s="1083"/>
      <c r="H172" s="1083"/>
      <c r="I172" s="1083"/>
      <c r="J172" s="1083"/>
      <c r="K172" s="1083"/>
      <c r="L172" s="1083"/>
      <c r="M172" s="1083"/>
      <c r="N172" s="1083"/>
      <c r="O172" s="1083"/>
      <c r="P172" s="1083"/>
      <c r="Q172" s="1083"/>
      <c r="R172" s="1083"/>
      <c r="S172" s="1083"/>
      <c r="T172" s="1083"/>
      <c r="U172" s="1083"/>
      <c r="V172" s="1083"/>
      <c r="W172" s="1083"/>
      <c r="X172" s="1083"/>
      <c r="Y172" s="1083"/>
      <c r="Z172" s="1083"/>
      <c r="AA172" s="1083"/>
      <c r="AB172" s="1083"/>
      <c r="AC172" s="1389"/>
      <c r="AD172" s="1083"/>
      <c r="AE172" s="1389"/>
      <c r="AF172" s="1083"/>
      <c r="AG172" s="1083"/>
      <c r="AH172" s="1083"/>
      <c r="AI172" s="1083"/>
      <c r="AJ172" s="1083"/>
      <c r="AK172" s="1083"/>
      <c r="AL172" s="1390"/>
      <c r="AM172" s="1083"/>
      <c r="AN172" s="1083"/>
      <c r="AO172" s="1083"/>
      <c r="AP172" s="1083"/>
      <c r="AQ172" s="1083"/>
      <c r="AR172" s="1083"/>
      <c r="AS172" s="1083"/>
      <c r="AT172" s="1083"/>
      <c r="AU172" s="1083"/>
      <c r="AV172" s="1083"/>
      <c r="AW172" s="1083"/>
      <c r="AX172" s="1083"/>
      <c r="AY172" s="1083"/>
      <c r="AZ172" s="1083"/>
      <c r="BA172" s="1083"/>
      <c r="BB172" s="1083"/>
      <c r="BC172" s="1083"/>
      <c r="BD172" s="1083"/>
      <c r="BE172" s="1083"/>
      <c r="BF172" s="1083"/>
      <c r="BG172" s="1083"/>
      <c r="BH172" s="1083"/>
      <c r="BI172" s="1083"/>
      <c r="BJ172" s="1083"/>
      <c r="BK172" s="1083"/>
      <c r="BL172" s="1083"/>
      <c r="BM172" s="1083"/>
      <c r="BN172" s="1083"/>
      <c r="BO172" s="1083"/>
      <c r="BP172" s="1083"/>
      <c r="BQ172" s="1083"/>
      <c r="BR172" s="100"/>
      <c r="BS172" s="100"/>
      <c r="BT172" s="100"/>
      <c r="BU172" s="100"/>
      <c r="BV172" s="100"/>
      <c r="BW172" s="100"/>
      <c r="BX172" s="100"/>
      <c r="BY172" s="100"/>
    </row>
    <row r="173" spans="1:77">
      <c r="A173" s="1083"/>
      <c r="B173" s="1083"/>
      <c r="C173" s="1083"/>
      <c r="D173" s="1083"/>
      <c r="E173" s="1083"/>
      <c r="F173" s="1083"/>
      <c r="G173" s="1083"/>
      <c r="H173" s="1083"/>
      <c r="I173" s="1083"/>
      <c r="J173" s="1083"/>
      <c r="K173" s="1083"/>
      <c r="L173" s="1083"/>
      <c r="M173" s="1083"/>
      <c r="N173" s="1083"/>
      <c r="O173" s="1083"/>
      <c r="P173" s="1083"/>
      <c r="Q173" s="1083"/>
      <c r="R173" s="1083"/>
      <c r="S173" s="1083"/>
      <c r="T173" s="1083"/>
      <c r="U173" s="1083"/>
      <c r="V173" s="1083"/>
      <c r="W173" s="1083"/>
      <c r="X173" s="1083"/>
      <c r="Y173" s="1083"/>
      <c r="Z173" s="1083"/>
      <c r="AA173" s="1083"/>
      <c r="AB173" s="1083"/>
      <c r="AC173" s="1389"/>
      <c r="AD173" s="1083"/>
      <c r="AE173" s="1389"/>
      <c r="AF173" s="1083"/>
      <c r="AG173" s="1083"/>
      <c r="AH173" s="1083"/>
      <c r="AI173" s="1083"/>
      <c r="AJ173" s="1083"/>
      <c r="AK173" s="1083"/>
      <c r="AL173" s="1390"/>
      <c r="AM173" s="1083"/>
      <c r="AN173" s="1083"/>
      <c r="AO173" s="1083"/>
      <c r="AP173" s="1083"/>
      <c r="AQ173" s="1083"/>
      <c r="AR173" s="1083"/>
      <c r="AS173" s="1083"/>
      <c r="AT173" s="1083"/>
      <c r="AU173" s="1083"/>
      <c r="AV173" s="1083"/>
      <c r="AW173" s="1083"/>
      <c r="AX173" s="1083"/>
      <c r="AY173" s="1083"/>
      <c r="AZ173" s="1083"/>
      <c r="BA173" s="1083"/>
      <c r="BB173" s="1083"/>
      <c r="BC173" s="1083"/>
      <c r="BD173" s="1083"/>
      <c r="BE173" s="1083"/>
      <c r="BF173" s="1083"/>
      <c r="BG173" s="1083"/>
      <c r="BH173" s="1083"/>
      <c r="BI173" s="1083"/>
      <c r="BJ173" s="1083"/>
      <c r="BK173" s="1083"/>
      <c r="BL173" s="1083"/>
      <c r="BM173" s="1083"/>
      <c r="BN173" s="1083"/>
      <c r="BO173" s="1083"/>
      <c r="BP173" s="1083"/>
      <c r="BQ173" s="1083"/>
      <c r="BR173" s="100"/>
      <c r="BS173" s="100"/>
      <c r="BT173" s="100"/>
      <c r="BU173" s="100"/>
      <c r="BV173" s="100"/>
      <c r="BW173" s="100"/>
      <c r="BX173" s="100"/>
      <c r="BY173" s="100"/>
    </row>
    <row r="174" spans="1:77">
      <c r="A174" s="1083"/>
      <c r="B174" s="1083"/>
      <c r="C174" s="1083"/>
      <c r="D174" s="1083"/>
      <c r="E174" s="1083"/>
      <c r="F174" s="1083"/>
      <c r="G174" s="1083"/>
      <c r="H174" s="1083"/>
      <c r="I174" s="1083"/>
      <c r="J174" s="1083"/>
      <c r="K174" s="1083"/>
      <c r="L174" s="1083"/>
      <c r="M174" s="1083"/>
      <c r="N174" s="1083"/>
      <c r="O174" s="1083"/>
      <c r="P174" s="1083"/>
      <c r="Q174" s="1083"/>
      <c r="R174" s="1083"/>
      <c r="S174" s="1083"/>
      <c r="T174" s="1083"/>
      <c r="U174" s="1083"/>
      <c r="V174" s="1083"/>
      <c r="W174" s="1083"/>
      <c r="X174" s="1083"/>
      <c r="Y174" s="1083"/>
      <c r="Z174" s="1083"/>
      <c r="AA174" s="1083"/>
      <c r="AB174" s="1083"/>
      <c r="AC174" s="1389"/>
      <c r="AD174" s="1083"/>
      <c r="AE174" s="1389"/>
      <c r="AF174" s="1083"/>
      <c r="AG174" s="1083"/>
      <c r="AH174" s="1083"/>
      <c r="AI174" s="1083"/>
      <c r="AJ174" s="1083"/>
      <c r="AK174" s="1083"/>
      <c r="AL174" s="1390"/>
      <c r="AM174" s="1083"/>
      <c r="AN174" s="1083"/>
      <c r="AO174" s="1083"/>
      <c r="AP174" s="1083"/>
      <c r="AQ174" s="1083"/>
      <c r="AR174" s="1083"/>
      <c r="AS174" s="1083"/>
      <c r="AT174" s="1083"/>
      <c r="AU174" s="1083"/>
      <c r="AV174" s="1083"/>
      <c r="AW174" s="1083"/>
      <c r="AX174" s="1083"/>
      <c r="AY174" s="1083"/>
      <c r="AZ174" s="1083"/>
      <c r="BA174" s="1083"/>
      <c r="BB174" s="1083"/>
      <c r="BC174" s="1083"/>
      <c r="BD174" s="1083"/>
      <c r="BE174" s="1083"/>
      <c r="BF174" s="1083"/>
      <c r="BG174" s="1083"/>
      <c r="BH174" s="1083"/>
      <c r="BI174" s="1083"/>
      <c r="BJ174" s="1083"/>
      <c r="BK174" s="1083"/>
      <c r="BL174" s="1083"/>
      <c r="BM174" s="1083"/>
      <c r="BN174" s="1083"/>
      <c r="BO174" s="1083"/>
      <c r="BP174" s="1083"/>
      <c r="BQ174" s="1083"/>
      <c r="BR174" s="100"/>
      <c r="BS174" s="100"/>
      <c r="BT174" s="100"/>
      <c r="BU174" s="100"/>
      <c r="BV174" s="100"/>
      <c r="BW174" s="100"/>
      <c r="BX174" s="100"/>
      <c r="BY174" s="100"/>
    </row>
    <row r="175" spans="1:77">
      <c r="A175" s="1083"/>
      <c r="B175" s="1083"/>
      <c r="C175" s="1083"/>
      <c r="D175" s="1083"/>
      <c r="E175" s="1083"/>
      <c r="F175" s="1083"/>
      <c r="G175" s="1083"/>
      <c r="H175" s="1083"/>
      <c r="I175" s="1083"/>
      <c r="J175" s="1083"/>
      <c r="K175" s="1083"/>
      <c r="L175" s="1083"/>
      <c r="M175" s="1083"/>
      <c r="N175" s="1083"/>
      <c r="O175" s="1083"/>
      <c r="P175" s="1083"/>
      <c r="Q175" s="1083"/>
      <c r="R175" s="1083"/>
      <c r="S175" s="1083"/>
      <c r="T175" s="1083"/>
      <c r="U175" s="1083"/>
      <c r="V175" s="1083"/>
      <c r="W175" s="1083"/>
      <c r="X175" s="1083"/>
      <c r="Y175" s="1083"/>
      <c r="Z175" s="1083"/>
      <c r="AA175" s="1083"/>
      <c r="AB175" s="1083"/>
      <c r="AC175" s="1389"/>
      <c r="AD175" s="1083"/>
      <c r="AE175" s="1389"/>
      <c r="AF175" s="1083"/>
      <c r="AG175" s="1083"/>
      <c r="AH175" s="1083"/>
      <c r="AI175" s="1083"/>
      <c r="AJ175" s="1083"/>
      <c r="AK175" s="1083"/>
      <c r="AL175" s="1390"/>
      <c r="AM175" s="1083"/>
      <c r="AN175" s="1083"/>
      <c r="AO175" s="1083"/>
      <c r="AP175" s="1083"/>
      <c r="AQ175" s="1083"/>
      <c r="AR175" s="1083"/>
      <c r="AS175" s="1083"/>
      <c r="AT175" s="1083"/>
      <c r="AU175" s="1083"/>
      <c r="AV175" s="1083"/>
      <c r="AW175" s="1083"/>
      <c r="AX175" s="1083"/>
      <c r="AY175" s="1083"/>
      <c r="AZ175" s="1083"/>
      <c r="BA175" s="1083"/>
      <c r="BB175" s="1083"/>
      <c r="BC175" s="1083"/>
      <c r="BD175" s="1083"/>
      <c r="BE175" s="1083"/>
      <c r="BF175" s="1083"/>
      <c r="BG175" s="1083"/>
      <c r="BH175" s="1083"/>
      <c r="BI175" s="1083"/>
      <c r="BJ175" s="1083"/>
      <c r="BK175" s="1083"/>
      <c r="BL175" s="1083"/>
      <c r="BM175" s="1083"/>
      <c r="BN175" s="1083"/>
      <c r="BO175" s="1083"/>
      <c r="BP175" s="1083"/>
      <c r="BQ175" s="1083"/>
      <c r="BR175" s="100"/>
      <c r="BS175" s="100"/>
      <c r="BT175" s="100"/>
      <c r="BU175" s="100"/>
      <c r="BV175" s="100"/>
      <c r="BW175" s="100"/>
      <c r="BX175" s="100"/>
      <c r="BY175" s="100"/>
    </row>
    <row r="176" spans="1:77">
      <c r="A176" s="1083"/>
      <c r="B176" s="1083"/>
      <c r="C176" s="1083"/>
      <c r="D176" s="1083"/>
      <c r="E176" s="1083"/>
      <c r="F176" s="1083"/>
      <c r="G176" s="1083"/>
      <c r="H176" s="1083"/>
      <c r="I176" s="1083"/>
      <c r="J176" s="1083"/>
      <c r="K176" s="1083"/>
      <c r="L176" s="1083"/>
      <c r="M176" s="1083"/>
      <c r="N176" s="1083"/>
      <c r="O176" s="1083"/>
      <c r="P176" s="1083"/>
      <c r="Q176" s="1083"/>
      <c r="R176" s="1083"/>
      <c r="S176" s="1083"/>
      <c r="T176" s="1083"/>
      <c r="U176" s="1083"/>
      <c r="V176" s="1083"/>
      <c r="W176" s="1083"/>
      <c r="X176" s="1083"/>
      <c r="Y176" s="1083"/>
      <c r="Z176" s="1083"/>
      <c r="AA176" s="1083"/>
      <c r="AB176" s="1083"/>
      <c r="AC176" s="1389"/>
      <c r="AD176" s="1083"/>
      <c r="AE176" s="1389"/>
      <c r="AF176" s="1083"/>
      <c r="AG176" s="1083"/>
      <c r="AH176" s="1083"/>
      <c r="AI176" s="1083"/>
      <c r="AJ176" s="1083"/>
      <c r="AK176" s="1083"/>
      <c r="AL176" s="1390"/>
      <c r="AM176" s="1083"/>
      <c r="AN176" s="1083"/>
      <c r="AO176" s="1083"/>
      <c r="AP176" s="1083"/>
      <c r="AQ176" s="1083"/>
      <c r="AR176" s="1083"/>
      <c r="AS176" s="1083"/>
      <c r="AT176" s="1083"/>
      <c r="AU176" s="1083"/>
      <c r="AV176" s="1083"/>
      <c r="AW176" s="1083"/>
      <c r="AX176" s="1083"/>
      <c r="AY176" s="1083"/>
      <c r="AZ176" s="1083"/>
      <c r="BA176" s="1083"/>
      <c r="BB176" s="1083"/>
      <c r="BC176" s="1083"/>
      <c r="BD176" s="1083"/>
      <c r="BE176" s="1083"/>
      <c r="BF176" s="1083"/>
      <c r="BG176" s="1083"/>
      <c r="BH176" s="1083"/>
      <c r="BI176" s="1083"/>
      <c r="BJ176" s="1083"/>
      <c r="BK176" s="1083"/>
      <c r="BL176" s="1083"/>
      <c r="BM176" s="1083"/>
      <c r="BN176" s="1083"/>
      <c r="BO176" s="1083"/>
      <c r="BP176" s="1083"/>
      <c r="BQ176" s="1083"/>
      <c r="BR176" s="100"/>
      <c r="BS176" s="100"/>
      <c r="BT176" s="100"/>
      <c r="BU176" s="100"/>
      <c r="BV176" s="100"/>
      <c r="BW176" s="100"/>
      <c r="BX176" s="100"/>
      <c r="BY176" s="100"/>
    </row>
    <row r="177" spans="1:77">
      <c r="A177" s="1083"/>
      <c r="B177" s="1083"/>
      <c r="C177" s="1083"/>
      <c r="D177" s="1083"/>
      <c r="E177" s="1083"/>
      <c r="F177" s="1083"/>
      <c r="G177" s="1083"/>
      <c r="H177" s="1083"/>
      <c r="I177" s="1083"/>
      <c r="J177" s="1083"/>
      <c r="K177" s="1083"/>
      <c r="L177" s="1083"/>
      <c r="M177" s="1083"/>
      <c r="N177" s="1083"/>
      <c r="O177" s="1083"/>
      <c r="P177" s="1083"/>
      <c r="Q177" s="1083"/>
      <c r="R177" s="1083"/>
      <c r="S177" s="1083"/>
      <c r="T177" s="1083"/>
      <c r="U177" s="1083"/>
      <c r="V177" s="1083"/>
      <c r="W177" s="1083"/>
      <c r="X177" s="1083"/>
      <c r="Y177" s="1083"/>
      <c r="Z177" s="1083"/>
      <c r="AA177" s="1083"/>
      <c r="AB177" s="1083"/>
      <c r="AC177" s="1389"/>
      <c r="AD177" s="1083"/>
      <c r="AE177" s="1389"/>
      <c r="AF177" s="1083"/>
      <c r="AG177" s="1083"/>
      <c r="AH177" s="1083"/>
      <c r="AI177" s="1083"/>
      <c r="AJ177" s="1083"/>
      <c r="AK177" s="1083"/>
      <c r="AL177" s="1390"/>
      <c r="AM177" s="1083"/>
      <c r="AN177" s="1083"/>
      <c r="AO177" s="1083"/>
      <c r="AP177" s="1083"/>
      <c r="AQ177" s="1083"/>
      <c r="AR177" s="1083"/>
      <c r="AS177" s="1083"/>
      <c r="AT177" s="1083"/>
      <c r="AU177" s="1083"/>
      <c r="AV177" s="1083"/>
      <c r="AW177" s="1083"/>
      <c r="AX177" s="1083"/>
      <c r="AY177" s="1083"/>
      <c r="AZ177" s="1083"/>
      <c r="BA177" s="1083"/>
      <c r="BB177" s="1083"/>
      <c r="BC177" s="1083"/>
      <c r="BD177" s="1083"/>
      <c r="BE177" s="1083"/>
      <c r="BF177" s="1083"/>
      <c r="BG177" s="1083"/>
      <c r="BH177" s="1083"/>
      <c r="BI177" s="1083"/>
      <c r="BJ177" s="1083"/>
      <c r="BK177" s="1083"/>
      <c r="BL177" s="1083"/>
      <c r="BM177" s="1083"/>
      <c r="BN177" s="1083"/>
      <c r="BO177" s="1083"/>
      <c r="BP177" s="1083"/>
      <c r="BQ177" s="1083"/>
      <c r="BR177" s="100"/>
      <c r="BS177" s="100"/>
      <c r="BT177" s="100"/>
      <c r="BU177" s="100"/>
      <c r="BV177" s="100"/>
      <c r="BW177" s="100"/>
      <c r="BX177" s="100"/>
      <c r="BY177" s="100"/>
    </row>
    <row r="178" spans="1:77">
      <c r="A178" s="1083"/>
      <c r="B178" s="1083"/>
      <c r="C178" s="1083"/>
      <c r="D178" s="1083"/>
      <c r="E178" s="1083"/>
      <c r="F178" s="1083"/>
      <c r="G178" s="1083"/>
      <c r="H178" s="1083"/>
      <c r="I178" s="1083"/>
      <c r="J178" s="1083"/>
      <c r="K178" s="1083"/>
      <c r="L178" s="1083"/>
      <c r="M178" s="1083"/>
      <c r="N178" s="1083"/>
      <c r="O178" s="1083"/>
      <c r="P178" s="1083"/>
      <c r="Q178" s="1083"/>
      <c r="R178" s="1083"/>
      <c r="S178" s="1083"/>
      <c r="T178" s="1083"/>
      <c r="U178" s="1083"/>
      <c r="V178" s="1083"/>
      <c r="W178" s="1083"/>
      <c r="X178" s="1083"/>
      <c r="Y178" s="1083"/>
      <c r="Z178" s="1083"/>
      <c r="AA178" s="1083"/>
      <c r="AB178" s="1083"/>
      <c r="AC178" s="1389"/>
      <c r="AD178" s="1083"/>
      <c r="AE178" s="1389"/>
      <c r="AF178" s="1083"/>
      <c r="AG178" s="1083"/>
      <c r="AH178" s="1083"/>
      <c r="AI178" s="1083"/>
      <c r="AJ178" s="1083"/>
      <c r="AK178" s="1083"/>
      <c r="AL178" s="1390"/>
      <c r="AM178" s="1083"/>
      <c r="AN178" s="1083"/>
      <c r="AO178" s="1083"/>
      <c r="AP178" s="1083"/>
      <c r="AQ178" s="1083"/>
      <c r="AR178" s="1083"/>
      <c r="AS178" s="1083"/>
      <c r="AT178" s="1083"/>
      <c r="AU178" s="1083"/>
      <c r="AV178" s="1083"/>
      <c r="AW178" s="1083"/>
      <c r="AX178" s="1083"/>
      <c r="AY178" s="1083"/>
      <c r="AZ178" s="1083"/>
      <c r="BA178" s="1083"/>
      <c r="BB178" s="1083"/>
      <c r="BC178" s="1083"/>
      <c r="BD178" s="1083"/>
      <c r="BE178" s="1083"/>
      <c r="BF178" s="1083"/>
      <c r="BG178" s="1083"/>
      <c r="BH178" s="1083"/>
      <c r="BI178" s="1083"/>
      <c r="BJ178" s="1083"/>
      <c r="BK178" s="1083"/>
      <c r="BL178" s="1083"/>
      <c r="BM178" s="1083"/>
      <c r="BN178" s="1083"/>
      <c r="BO178" s="1083"/>
      <c r="BP178" s="1083"/>
      <c r="BQ178" s="1083"/>
      <c r="BR178" s="100"/>
      <c r="BS178" s="100"/>
      <c r="BT178" s="100"/>
      <c r="BU178" s="100"/>
      <c r="BV178" s="100"/>
      <c r="BW178" s="100"/>
      <c r="BX178" s="100"/>
      <c r="BY178" s="100"/>
    </row>
    <row r="179" spans="1:77">
      <c r="A179" s="1083"/>
      <c r="B179" s="1083"/>
      <c r="C179" s="1083"/>
      <c r="D179" s="1083"/>
      <c r="E179" s="1083"/>
      <c r="F179" s="1083"/>
      <c r="G179" s="1083"/>
      <c r="H179" s="1083"/>
      <c r="I179" s="1083"/>
      <c r="J179" s="1083"/>
      <c r="K179" s="1083"/>
      <c r="L179" s="1083"/>
      <c r="M179" s="1083"/>
      <c r="N179" s="1083"/>
      <c r="O179" s="1083"/>
      <c r="P179" s="1083"/>
      <c r="Q179" s="1083"/>
      <c r="R179" s="1083"/>
      <c r="S179" s="1083"/>
      <c r="T179" s="1083"/>
      <c r="U179" s="1083"/>
      <c r="V179" s="1083"/>
      <c r="W179" s="1083"/>
      <c r="X179" s="1083"/>
      <c r="Y179" s="1083"/>
      <c r="Z179" s="1083"/>
      <c r="AA179" s="1083"/>
      <c r="AB179" s="1083"/>
      <c r="AC179" s="1389"/>
      <c r="AD179" s="1083"/>
      <c r="AE179" s="1389"/>
      <c r="AF179" s="1083"/>
      <c r="AG179" s="1083"/>
      <c r="AH179" s="1083"/>
      <c r="AI179" s="1083"/>
      <c r="AJ179" s="1083"/>
      <c r="AK179" s="1083"/>
      <c r="AL179" s="1390"/>
      <c r="AM179" s="1083"/>
      <c r="AN179" s="1083"/>
      <c r="AO179" s="1083"/>
      <c r="AP179" s="1083"/>
      <c r="AQ179" s="1083"/>
      <c r="AR179" s="1083"/>
      <c r="AS179" s="1083"/>
      <c r="AT179" s="1083"/>
      <c r="AU179" s="1083"/>
      <c r="AV179" s="1083"/>
      <c r="AW179" s="1083"/>
      <c r="AX179" s="1083"/>
      <c r="AY179" s="1083"/>
      <c r="AZ179" s="1083"/>
      <c r="BA179" s="1083"/>
      <c r="BB179" s="1083"/>
      <c r="BC179" s="1083"/>
      <c r="BD179" s="1083"/>
      <c r="BE179" s="1083"/>
      <c r="BF179" s="1083"/>
      <c r="BG179" s="1083"/>
      <c r="BH179" s="1083"/>
      <c r="BI179" s="1083"/>
      <c r="BJ179" s="1083"/>
      <c r="BK179" s="1083"/>
      <c r="BL179" s="1083"/>
      <c r="BM179" s="1083"/>
      <c r="BN179" s="1083"/>
      <c r="BO179" s="1083"/>
      <c r="BP179" s="1083"/>
      <c r="BQ179" s="1083"/>
      <c r="BR179" s="100"/>
      <c r="BS179" s="100"/>
      <c r="BT179" s="100"/>
      <c r="BU179" s="100"/>
      <c r="BV179" s="100"/>
      <c r="BW179" s="100"/>
      <c r="BX179" s="100"/>
      <c r="BY179" s="100"/>
    </row>
    <row r="180" spans="1:77">
      <c r="A180" s="1083"/>
      <c r="B180" s="1083"/>
      <c r="C180" s="1083"/>
      <c r="D180" s="1083"/>
      <c r="E180" s="1083"/>
      <c r="F180" s="1083"/>
      <c r="G180" s="1083"/>
      <c r="H180" s="1083"/>
      <c r="I180" s="1083"/>
      <c r="J180" s="1083"/>
      <c r="K180" s="1083"/>
      <c r="L180" s="1083"/>
      <c r="M180" s="1083"/>
      <c r="N180" s="1083"/>
      <c r="O180" s="1083"/>
      <c r="P180" s="1083"/>
      <c r="Q180" s="1083"/>
      <c r="R180" s="1083"/>
      <c r="S180" s="1083"/>
      <c r="T180" s="1083"/>
      <c r="U180" s="1083"/>
      <c r="V180" s="1083"/>
      <c r="W180" s="1083"/>
      <c r="X180" s="1083"/>
      <c r="Y180" s="1083"/>
      <c r="Z180" s="1083"/>
      <c r="AA180" s="1083"/>
      <c r="AB180" s="1083"/>
      <c r="AC180" s="1389"/>
      <c r="AD180" s="1083"/>
      <c r="AE180" s="1389"/>
      <c r="AF180" s="1083"/>
      <c r="AG180" s="1083"/>
      <c r="AH180" s="1083"/>
      <c r="AI180" s="1083"/>
      <c r="AJ180" s="1083"/>
      <c r="AK180" s="1083"/>
      <c r="AL180" s="1390"/>
      <c r="AM180" s="1083"/>
      <c r="AN180" s="1083"/>
      <c r="AO180" s="1083"/>
      <c r="AP180" s="1083"/>
      <c r="AQ180" s="1083"/>
      <c r="AR180" s="1083"/>
      <c r="AS180" s="1083"/>
      <c r="AT180" s="1083"/>
      <c r="AU180" s="1083"/>
      <c r="AV180" s="1083"/>
      <c r="AW180" s="1083"/>
      <c r="AX180" s="1083"/>
      <c r="AY180" s="1083"/>
      <c r="AZ180" s="1083"/>
      <c r="BA180" s="1083"/>
      <c r="BB180" s="1083"/>
      <c r="BC180" s="1083"/>
      <c r="BD180" s="1083"/>
      <c r="BE180" s="1083"/>
      <c r="BF180" s="1083"/>
      <c r="BG180" s="1083"/>
      <c r="BH180" s="1083"/>
      <c r="BI180" s="1083"/>
      <c r="BJ180" s="1083"/>
      <c r="BK180" s="1083"/>
      <c r="BL180" s="1083"/>
      <c r="BM180" s="1083"/>
      <c r="BN180" s="1083"/>
      <c r="BO180" s="1083"/>
      <c r="BP180" s="1083"/>
      <c r="BQ180" s="1083"/>
      <c r="BR180" s="100"/>
      <c r="BS180" s="100"/>
      <c r="BT180" s="100"/>
      <c r="BU180" s="100"/>
      <c r="BV180" s="100"/>
      <c r="BW180" s="100"/>
      <c r="BX180" s="100"/>
      <c r="BY180" s="100"/>
    </row>
    <row r="181" spans="1:77">
      <c r="A181" s="1083"/>
      <c r="B181" s="1083"/>
      <c r="C181" s="1083"/>
      <c r="D181" s="1083"/>
      <c r="E181" s="1083"/>
      <c r="F181" s="1083"/>
      <c r="G181" s="1083"/>
      <c r="H181" s="1083"/>
      <c r="I181" s="1083"/>
      <c r="J181" s="1083"/>
      <c r="K181" s="1083"/>
      <c r="L181" s="1083"/>
      <c r="M181" s="1083"/>
      <c r="N181" s="1083"/>
      <c r="O181" s="1083"/>
      <c r="P181" s="1083"/>
      <c r="Q181" s="1083"/>
      <c r="R181" s="1083"/>
      <c r="S181" s="1083"/>
      <c r="T181" s="1083"/>
      <c r="U181" s="1083"/>
      <c r="V181" s="1083"/>
      <c r="W181" s="1083"/>
      <c r="X181" s="1083"/>
      <c r="Y181" s="1083"/>
      <c r="Z181" s="1083"/>
      <c r="AA181" s="1083"/>
      <c r="AB181" s="1083"/>
      <c r="AC181" s="1389"/>
      <c r="AD181" s="1083"/>
      <c r="AE181" s="1389"/>
      <c r="AF181" s="1083"/>
      <c r="AG181" s="1083"/>
      <c r="AH181" s="1083"/>
      <c r="AI181" s="1083"/>
      <c r="AJ181" s="1083"/>
      <c r="AK181" s="1083"/>
      <c r="AL181" s="1390"/>
      <c r="AM181" s="1083"/>
      <c r="AN181" s="1083"/>
      <c r="AO181" s="1083"/>
      <c r="AP181" s="1083"/>
      <c r="AQ181" s="1083"/>
      <c r="AR181" s="1083"/>
      <c r="AS181" s="1083"/>
      <c r="AT181" s="1083"/>
      <c r="AU181" s="1083"/>
      <c r="AV181" s="1083"/>
      <c r="AW181" s="1083"/>
      <c r="AX181" s="1083"/>
      <c r="AY181" s="1083"/>
      <c r="AZ181" s="1083"/>
      <c r="BA181" s="1083"/>
      <c r="BB181" s="1083"/>
      <c r="BC181" s="1083"/>
      <c r="BD181" s="1083"/>
      <c r="BE181" s="1083"/>
      <c r="BF181" s="1083"/>
      <c r="BG181" s="1083"/>
      <c r="BH181" s="1083"/>
      <c r="BI181" s="1083"/>
      <c r="BJ181" s="1083"/>
      <c r="BK181" s="1083"/>
      <c r="BL181" s="1083"/>
      <c r="BM181" s="1083"/>
      <c r="BN181" s="1083"/>
      <c r="BO181" s="1083"/>
      <c r="BP181" s="1083"/>
      <c r="BQ181" s="1083"/>
      <c r="BR181" s="100"/>
      <c r="BS181" s="100"/>
      <c r="BT181" s="100"/>
      <c r="BU181" s="100"/>
      <c r="BV181" s="100"/>
      <c r="BW181" s="100"/>
      <c r="BX181" s="100"/>
      <c r="BY181" s="100"/>
    </row>
    <row r="182" spans="1:77">
      <c r="A182" s="1083"/>
      <c r="B182" s="1083"/>
      <c r="C182" s="1083"/>
      <c r="D182" s="1083"/>
      <c r="E182" s="1083"/>
      <c r="F182" s="1083"/>
      <c r="G182" s="1083"/>
      <c r="H182" s="1083"/>
      <c r="I182" s="1083"/>
      <c r="J182" s="1083"/>
      <c r="K182" s="1083"/>
      <c r="L182" s="1083"/>
      <c r="M182" s="1083"/>
      <c r="N182" s="1083"/>
      <c r="O182" s="1083"/>
      <c r="P182" s="1083"/>
      <c r="Q182" s="1083"/>
      <c r="R182" s="1083"/>
      <c r="S182" s="1083"/>
      <c r="T182" s="1083"/>
      <c r="U182" s="1083"/>
      <c r="V182" s="1083"/>
      <c r="W182" s="1083"/>
      <c r="X182" s="1083"/>
      <c r="Y182" s="1083"/>
      <c r="Z182" s="1083"/>
      <c r="AA182" s="1083"/>
      <c r="AB182" s="1083"/>
      <c r="AC182" s="1389"/>
      <c r="AD182" s="1083"/>
      <c r="AE182" s="1389"/>
      <c r="AF182" s="1083"/>
      <c r="AG182" s="1083"/>
      <c r="AH182" s="1083"/>
      <c r="AI182" s="1083"/>
      <c r="AJ182" s="1083"/>
      <c r="AK182" s="1083"/>
      <c r="AL182" s="1390"/>
      <c r="AM182" s="1083"/>
      <c r="AN182" s="1083"/>
      <c r="AO182" s="1083"/>
      <c r="AP182" s="1083"/>
      <c r="AQ182" s="1083"/>
      <c r="AR182" s="1083"/>
      <c r="AS182" s="1083"/>
      <c r="AT182" s="1083"/>
      <c r="AU182" s="1083"/>
      <c r="AV182" s="1083"/>
      <c r="AW182" s="1083"/>
      <c r="AX182" s="1083"/>
      <c r="AY182" s="1083"/>
      <c r="AZ182" s="1083"/>
      <c r="BA182" s="1083"/>
      <c r="BB182" s="1083"/>
      <c r="BC182" s="1083"/>
      <c r="BD182" s="1083"/>
      <c r="BE182" s="1083"/>
      <c r="BF182" s="1083"/>
      <c r="BG182" s="1083"/>
      <c r="BH182" s="1083"/>
      <c r="BI182" s="1083"/>
      <c r="BJ182" s="1083"/>
      <c r="BK182" s="1083"/>
      <c r="BL182" s="1083"/>
      <c r="BM182" s="1083"/>
      <c r="BN182" s="1083"/>
      <c r="BO182" s="1083"/>
      <c r="BP182" s="1083"/>
      <c r="BQ182" s="1083"/>
      <c r="BR182" s="100"/>
      <c r="BS182" s="100"/>
      <c r="BT182" s="100"/>
      <c r="BU182" s="100"/>
      <c r="BV182" s="100"/>
      <c r="BW182" s="100"/>
      <c r="BX182" s="100"/>
      <c r="BY182" s="100"/>
    </row>
    <row r="183" spans="1:77">
      <c r="A183" s="1083"/>
      <c r="B183" s="1083"/>
      <c r="C183" s="1083"/>
      <c r="D183" s="1083"/>
      <c r="E183" s="1083"/>
      <c r="F183" s="1083"/>
      <c r="G183" s="1083"/>
      <c r="H183" s="1083"/>
      <c r="I183" s="1083"/>
      <c r="J183" s="1083"/>
      <c r="K183" s="1083"/>
      <c r="L183" s="1083"/>
      <c r="M183" s="1083"/>
      <c r="N183" s="1083"/>
      <c r="O183" s="1083"/>
      <c r="P183" s="1083"/>
      <c r="Q183" s="1083"/>
      <c r="R183" s="1083"/>
      <c r="S183" s="1083"/>
      <c r="T183" s="1083"/>
      <c r="U183" s="1083"/>
      <c r="V183" s="1083"/>
      <c r="W183" s="1083"/>
      <c r="X183" s="1083"/>
      <c r="Y183" s="1083"/>
      <c r="Z183" s="1083"/>
      <c r="AA183" s="1083"/>
      <c r="AB183" s="1083"/>
      <c r="AC183" s="1389"/>
      <c r="AD183" s="1083"/>
      <c r="AE183" s="1389"/>
      <c r="AF183" s="1083"/>
      <c r="AG183" s="1083"/>
      <c r="AH183" s="1083"/>
      <c r="AI183" s="1083"/>
      <c r="AJ183" s="1083"/>
      <c r="AK183" s="1083"/>
      <c r="AL183" s="1390"/>
      <c r="AM183" s="1083"/>
      <c r="AN183" s="1083"/>
      <c r="AO183" s="1083"/>
      <c r="AP183" s="1083"/>
      <c r="AQ183" s="1083"/>
      <c r="AR183" s="1083"/>
      <c r="AS183" s="1083"/>
      <c r="AT183" s="1083"/>
      <c r="AU183" s="1083"/>
      <c r="AV183" s="1083"/>
      <c r="AW183" s="1083"/>
      <c r="AX183" s="1083"/>
      <c r="AY183" s="1083"/>
      <c r="AZ183" s="1083"/>
      <c r="BA183" s="1083"/>
      <c r="BB183" s="1083"/>
      <c r="BC183" s="1083"/>
      <c r="BD183" s="1083"/>
      <c r="BE183" s="1083"/>
      <c r="BF183" s="1083"/>
      <c r="BG183" s="1083"/>
      <c r="BH183" s="1083"/>
      <c r="BI183" s="1083"/>
      <c r="BJ183" s="1083"/>
      <c r="BK183" s="1083"/>
      <c r="BL183" s="1083"/>
      <c r="BM183" s="1083"/>
      <c r="BN183" s="1083"/>
      <c r="BO183" s="1083"/>
      <c r="BP183" s="1083"/>
      <c r="BQ183" s="1083"/>
      <c r="BR183" s="100"/>
      <c r="BS183" s="100"/>
      <c r="BT183" s="100"/>
      <c r="BU183" s="100"/>
      <c r="BV183" s="100"/>
      <c r="BW183" s="100"/>
      <c r="BX183" s="100"/>
      <c r="BY183" s="100"/>
    </row>
    <row r="184" spans="1:77">
      <c r="A184" s="1083"/>
      <c r="B184" s="1083"/>
      <c r="C184" s="1083"/>
      <c r="D184" s="1083"/>
      <c r="E184" s="1083"/>
      <c r="F184" s="1083"/>
      <c r="G184" s="1083"/>
      <c r="H184" s="1083"/>
      <c r="I184" s="1083"/>
      <c r="J184" s="1083"/>
      <c r="K184" s="1083"/>
      <c r="L184" s="1083"/>
      <c r="M184" s="1083"/>
      <c r="N184" s="1083"/>
      <c r="O184" s="1083"/>
      <c r="P184" s="1083"/>
      <c r="Q184" s="1083"/>
      <c r="R184" s="1083"/>
      <c r="S184" s="1083"/>
      <c r="T184" s="1083"/>
      <c r="U184" s="1083"/>
      <c r="V184" s="1083"/>
      <c r="W184" s="1083"/>
      <c r="X184" s="1083"/>
      <c r="Y184" s="1083"/>
      <c r="Z184" s="1083"/>
      <c r="AA184" s="1083"/>
      <c r="AB184" s="1083"/>
      <c r="AC184" s="1389"/>
      <c r="AD184" s="1083"/>
      <c r="AE184" s="1389"/>
      <c r="AF184" s="1083"/>
      <c r="AG184" s="1083"/>
      <c r="AH184" s="1083"/>
      <c r="AI184" s="1083"/>
      <c r="AJ184" s="1083"/>
      <c r="AK184" s="1083"/>
      <c r="AL184" s="1390"/>
      <c r="AM184" s="1083"/>
      <c r="AN184" s="1083"/>
      <c r="AO184" s="1083"/>
      <c r="AP184" s="1083"/>
      <c r="AQ184" s="1083"/>
      <c r="AR184" s="1083"/>
      <c r="AS184" s="1083"/>
      <c r="AT184" s="1083"/>
      <c r="AU184" s="1083"/>
      <c r="AV184" s="1083"/>
      <c r="AW184" s="1083"/>
      <c r="AX184" s="1083"/>
      <c r="AY184" s="1083"/>
      <c r="AZ184" s="1083"/>
      <c r="BA184" s="1083"/>
      <c r="BB184" s="1083"/>
      <c r="BC184" s="1083"/>
      <c r="BD184" s="1083"/>
      <c r="BE184" s="1083"/>
      <c r="BF184" s="1083"/>
      <c r="BG184" s="1083"/>
      <c r="BH184" s="1083"/>
      <c r="BI184" s="1083"/>
      <c r="BJ184" s="1083"/>
      <c r="BK184" s="1083"/>
      <c r="BL184" s="1083"/>
      <c r="BM184" s="1083"/>
      <c r="BN184" s="1083"/>
      <c r="BO184" s="1083"/>
      <c r="BP184" s="1083"/>
      <c r="BQ184" s="1083"/>
      <c r="BR184" s="100"/>
      <c r="BS184" s="100"/>
      <c r="BT184" s="100"/>
      <c r="BU184" s="100"/>
      <c r="BV184" s="100"/>
      <c r="BW184" s="100"/>
      <c r="BX184" s="100"/>
      <c r="BY184" s="100"/>
    </row>
    <row r="185" spans="1:77">
      <c r="A185" s="1083"/>
      <c r="B185" s="1083"/>
      <c r="C185" s="1083"/>
      <c r="D185" s="1083"/>
      <c r="E185" s="1083"/>
      <c r="F185" s="1083"/>
      <c r="G185" s="1083"/>
      <c r="H185" s="1083"/>
      <c r="I185" s="1083"/>
      <c r="J185" s="1083"/>
      <c r="K185" s="1083"/>
      <c r="L185" s="1083"/>
      <c r="M185" s="1083"/>
      <c r="N185" s="1083"/>
      <c r="O185" s="1083"/>
      <c r="P185" s="1083"/>
      <c r="Q185" s="1083"/>
      <c r="R185" s="1083"/>
      <c r="S185" s="1083"/>
      <c r="T185" s="1083"/>
      <c r="U185" s="1083"/>
      <c r="V185" s="1083"/>
      <c r="W185" s="1083"/>
      <c r="X185" s="1083"/>
      <c r="Y185" s="1083"/>
      <c r="Z185" s="1083"/>
      <c r="AA185" s="1083"/>
      <c r="AB185" s="1083"/>
      <c r="AC185" s="1389"/>
      <c r="AD185" s="1083"/>
      <c r="AE185" s="1389"/>
      <c r="AF185" s="1083"/>
      <c r="AG185" s="1083"/>
      <c r="AH185" s="1083"/>
      <c r="AI185" s="1083"/>
      <c r="AJ185" s="1083"/>
      <c r="AK185" s="1083"/>
      <c r="AL185" s="1390"/>
      <c r="AM185" s="1083"/>
      <c r="AN185" s="1083"/>
      <c r="AO185" s="1083"/>
      <c r="AP185" s="1083"/>
      <c r="AQ185" s="1083"/>
      <c r="AR185" s="1083"/>
      <c r="AS185" s="1083"/>
      <c r="AT185" s="1083"/>
      <c r="AU185" s="1083"/>
      <c r="AV185" s="1083"/>
      <c r="AW185" s="1083"/>
      <c r="AX185" s="1083"/>
      <c r="AY185" s="1083"/>
      <c r="AZ185" s="1083"/>
      <c r="BA185" s="1083"/>
      <c r="BB185" s="1083"/>
      <c r="BC185" s="1083"/>
      <c r="BD185" s="1083"/>
      <c r="BE185" s="1083"/>
      <c r="BF185" s="1083"/>
      <c r="BG185" s="1083"/>
      <c r="BH185" s="1083"/>
      <c r="BI185" s="1083"/>
      <c r="BJ185" s="1083"/>
      <c r="BK185" s="1083"/>
      <c r="BL185" s="1083"/>
      <c r="BM185" s="1083"/>
      <c r="BN185" s="1083"/>
      <c r="BO185" s="1083"/>
      <c r="BP185" s="1083"/>
      <c r="BQ185" s="1083"/>
      <c r="BR185" s="100"/>
      <c r="BS185" s="100"/>
      <c r="BT185" s="100"/>
      <c r="BU185" s="100"/>
      <c r="BV185" s="100"/>
      <c r="BW185" s="100"/>
      <c r="BX185" s="100"/>
      <c r="BY185" s="100"/>
    </row>
    <row r="186" spans="1:77">
      <c r="A186" s="1083"/>
      <c r="B186" s="1083"/>
      <c r="C186" s="1083"/>
      <c r="D186" s="1083"/>
      <c r="E186" s="1083"/>
      <c r="F186" s="1083"/>
      <c r="G186" s="1083"/>
      <c r="H186" s="1083"/>
      <c r="I186" s="1083"/>
      <c r="J186" s="1083"/>
      <c r="K186" s="1083"/>
      <c r="L186" s="1083"/>
      <c r="M186" s="1083"/>
      <c r="N186" s="1083"/>
      <c r="O186" s="1083"/>
      <c r="P186" s="1083"/>
      <c r="Q186" s="1083"/>
      <c r="R186" s="1083"/>
      <c r="S186" s="1083"/>
      <c r="T186" s="1083"/>
      <c r="U186" s="1083"/>
      <c r="V186" s="1083"/>
      <c r="W186" s="1083"/>
      <c r="X186" s="1083"/>
      <c r="Y186" s="1083"/>
      <c r="Z186" s="1083"/>
      <c r="AA186" s="1083"/>
      <c r="AB186" s="1083"/>
      <c r="AC186" s="1389"/>
      <c r="AD186" s="1083"/>
      <c r="AE186" s="1389"/>
      <c r="AF186" s="1083"/>
      <c r="AG186" s="1083"/>
      <c r="AH186" s="1083"/>
      <c r="AI186" s="1083"/>
      <c r="AJ186" s="1083"/>
      <c r="AK186" s="1083"/>
      <c r="AL186" s="1390"/>
      <c r="AM186" s="1083"/>
      <c r="AN186" s="1083"/>
      <c r="AO186" s="1083"/>
      <c r="AP186" s="1083"/>
      <c r="AQ186" s="1083"/>
      <c r="AR186" s="1083"/>
      <c r="AS186" s="1083"/>
      <c r="AT186" s="1083"/>
      <c r="AU186" s="1083"/>
      <c r="AV186" s="1083"/>
      <c r="AW186" s="1083"/>
      <c r="AX186" s="1083"/>
      <c r="AY186" s="1083"/>
      <c r="AZ186" s="1083"/>
      <c r="BA186" s="1083"/>
      <c r="BB186" s="1083"/>
      <c r="BC186" s="1083"/>
      <c r="BD186" s="1083"/>
      <c r="BE186" s="1083"/>
      <c r="BF186" s="1083"/>
      <c r="BG186" s="1083"/>
      <c r="BH186" s="1083"/>
      <c r="BI186" s="1083"/>
      <c r="BJ186" s="1083"/>
      <c r="BK186" s="1083"/>
      <c r="BL186" s="1083"/>
      <c r="BM186" s="1083"/>
      <c r="BN186" s="1083"/>
      <c r="BO186" s="1083"/>
      <c r="BP186" s="1083"/>
      <c r="BQ186" s="1083"/>
      <c r="BR186" s="100"/>
      <c r="BS186" s="100"/>
      <c r="BT186" s="100"/>
      <c r="BU186" s="100"/>
      <c r="BV186" s="100"/>
      <c r="BW186" s="100"/>
      <c r="BX186" s="100"/>
      <c r="BY186" s="100"/>
    </row>
    <row r="187" spans="1:77">
      <c r="A187" s="1083"/>
      <c r="B187" s="1083"/>
      <c r="C187" s="1083"/>
      <c r="D187" s="1083"/>
      <c r="E187" s="1083"/>
      <c r="F187" s="1083"/>
      <c r="G187" s="1083"/>
      <c r="H187" s="1083"/>
      <c r="I187" s="1083"/>
      <c r="J187" s="1083"/>
      <c r="K187" s="1083"/>
      <c r="L187" s="1083"/>
      <c r="M187" s="1083"/>
      <c r="N187" s="1083"/>
      <c r="O187" s="1083"/>
      <c r="P187" s="1083"/>
      <c r="Q187" s="1083"/>
      <c r="R187" s="1083"/>
      <c r="S187" s="1083"/>
      <c r="T187" s="1083"/>
      <c r="U187" s="1083"/>
      <c r="V187" s="1083"/>
      <c r="W187" s="1083"/>
      <c r="X187" s="1083"/>
      <c r="Y187" s="1083"/>
      <c r="Z187" s="1083"/>
      <c r="AA187" s="1083"/>
      <c r="AB187" s="1083"/>
      <c r="AC187" s="1389"/>
      <c r="AD187" s="1083"/>
      <c r="AE187" s="1389"/>
      <c r="AF187" s="1083"/>
      <c r="AG187" s="1083"/>
      <c r="AH187" s="1083"/>
      <c r="AI187" s="1083"/>
      <c r="AJ187" s="1083"/>
      <c r="AK187" s="1083"/>
      <c r="AL187" s="1390"/>
      <c r="AM187" s="1083"/>
      <c r="AN187" s="1083"/>
      <c r="AO187" s="1083"/>
      <c r="AP187" s="1083"/>
      <c r="AQ187" s="1083"/>
      <c r="AR187" s="1083"/>
      <c r="AS187" s="1083"/>
      <c r="AT187" s="1083"/>
      <c r="AU187" s="1083"/>
      <c r="AV187" s="1083"/>
      <c r="AW187" s="1083"/>
      <c r="AX187" s="1083"/>
      <c r="AY187" s="1083"/>
      <c r="AZ187" s="1083"/>
      <c r="BA187" s="1083"/>
      <c r="BB187" s="1083"/>
      <c r="BC187" s="1083"/>
      <c r="BD187" s="1083"/>
      <c r="BE187" s="1083"/>
      <c r="BF187" s="1083"/>
      <c r="BG187" s="1083"/>
      <c r="BH187" s="1083"/>
      <c r="BI187" s="1083"/>
      <c r="BJ187" s="1083"/>
      <c r="BK187" s="1083"/>
      <c r="BL187" s="1083"/>
      <c r="BM187" s="1083"/>
      <c r="BN187" s="1083"/>
      <c r="BO187" s="1083"/>
      <c r="BP187" s="1083"/>
      <c r="BQ187" s="1083"/>
      <c r="BR187" s="100"/>
      <c r="BS187" s="100"/>
      <c r="BT187" s="100"/>
      <c r="BU187" s="100"/>
      <c r="BV187" s="100"/>
      <c r="BW187" s="100"/>
      <c r="BX187" s="100"/>
      <c r="BY187" s="100"/>
    </row>
    <row r="188" spans="1:77">
      <c r="A188" s="1083"/>
      <c r="B188" s="1083"/>
      <c r="C188" s="1083"/>
      <c r="D188" s="1083"/>
      <c r="E188" s="1083"/>
      <c r="F188" s="1083"/>
      <c r="G188" s="1083"/>
      <c r="H188" s="1083"/>
      <c r="I188" s="1083"/>
      <c r="J188" s="1083"/>
      <c r="K188" s="1083"/>
      <c r="L188" s="1083"/>
      <c r="M188" s="1083"/>
      <c r="N188" s="1083"/>
      <c r="O188" s="1083"/>
      <c r="P188" s="1083"/>
      <c r="Q188" s="1083"/>
      <c r="R188" s="1083"/>
      <c r="S188" s="1083"/>
      <c r="T188" s="1083"/>
      <c r="U188" s="1083"/>
      <c r="V188" s="1083"/>
      <c r="W188" s="1083"/>
      <c r="X188" s="1083"/>
      <c r="Y188" s="1083"/>
      <c r="Z188" s="1083"/>
      <c r="AA188" s="1083"/>
      <c r="AB188" s="1083"/>
      <c r="AC188" s="1389"/>
      <c r="AD188" s="1083"/>
      <c r="AE188" s="1389"/>
      <c r="AF188" s="1083"/>
      <c r="AG188" s="1083"/>
      <c r="AH188" s="1083"/>
      <c r="AI188" s="1083"/>
      <c r="AJ188" s="1083"/>
      <c r="AK188" s="1083"/>
      <c r="AL188" s="1390"/>
      <c r="AM188" s="1083"/>
      <c r="AN188" s="1083"/>
      <c r="AO188" s="1083"/>
      <c r="AP188" s="1083"/>
      <c r="AQ188" s="1083"/>
      <c r="AR188" s="1083"/>
      <c r="AS188" s="1083"/>
      <c r="AT188" s="1083"/>
      <c r="AU188" s="1083"/>
      <c r="AV188" s="1083"/>
      <c r="AW188" s="1083"/>
      <c r="AX188" s="1083"/>
      <c r="AY188" s="1083"/>
      <c r="AZ188" s="1083"/>
      <c r="BA188" s="1083"/>
      <c r="BB188" s="1083"/>
      <c r="BC188" s="1083"/>
      <c r="BD188" s="1083"/>
      <c r="BE188" s="1083"/>
      <c r="BF188" s="1083"/>
      <c r="BG188" s="1083"/>
      <c r="BH188" s="1083"/>
      <c r="BI188" s="1083"/>
      <c r="BJ188" s="1083"/>
      <c r="BK188" s="1083"/>
      <c r="BL188" s="1083"/>
      <c r="BM188" s="1083"/>
      <c r="BN188" s="1083"/>
      <c r="BO188" s="1083"/>
      <c r="BP188" s="1083"/>
      <c r="BQ188" s="1083"/>
      <c r="BR188" s="100"/>
      <c r="BS188" s="100"/>
      <c r="BT188" s="100"/>
      <c r="BU188" s="100"/>
      <c r="BV188" s="100"/>
      <c r="BW188" s="100"/>
      <c r="BX188" s="100"/>
      <c r="BY188" s="100"/>
    </row>
    <row r="189" spans="1:77">
      <c r="A189" s="1083"/>
      <c r="B189" s="1083"/>
      <c r="C189" s="1083"/>
      <c r="D189" s="1083"/>
      <c r="E189" s="1083"/>
      <c r="F189" s="1083"/>
      <c r="G189" s="1083"/>
      <c r="H189" s="1083"/>
      <c r="I189" s="1083"/>
      <c r="J189" s="1083"/>
      <c r="K189" s="1083"/>
      <c r="L189" s="1083"/>
      <c r="M189" s="1083"/>
      <c r="N189" s="1083"/>
      <c r="O189" s="1083"/>
      <c r="P189" s="1083"/>
      <c r="Q189" s="1083"/>
      <c r="R189" s="1083"/>
      <c r="S189" s="1083"/>
      <c r="T189" s="1083"/>
      <c r="U189" s="1083"/>
      <c r="V189" s="1083"/>
      <c r="W189" s="1083"/>
      <c r="X189" s="1083"/>
      <c r="Y189" s="1083"/>
      <c r="Z189" s="1083"/>
      <c r="AA189" s="1083"/>
      <c r="AB189" s="1083"/>
      <c r="AC189" s="1389"/>
      <c r="AD189" s="1083"/>
      <c r="AE189" s="1389"/>
      <c r="AF189" s="1083"/>
      <c r="AG189" s="1083"/>
      <c r="AH189" s="1083"/>
      <c r="AI189" s="1083"/>
      <c r="AJ189" s="1083"/>
      <c r="AK189" s="1083"/>
      <c r="AL189" s="1390"/>
      <c r="AM189" s="1083"/>
      <c r="AN189" s="1083"/>
      <c r="AO189" s="1083"/>
      <c r="AP189" s="1083"/>
      <c r="AQ189" s="1083"/>
      <c r="AR189" s="1083"/>
      <c r="AS189" s="1083"/>
      <c r="AT189" s="1083"/>
      <c r="AU189" s="1083"/>
      <c r="AV189" s="1083"/>
      <c r="AW189" s="1083"/>
      <c r="AX189" s="1083"/>
      <c r="AY189" s="1083"/>
      <c r="AZ189" s="1083"/>
      <c r="BA189" s="1083"/>
      <c r="BB189" s="1083"/>
      <c r="BC189" s="1083"/>
      <c r="BD189" s="1083"/>
      <c r="BE189" s="1083"/>
      <c r="BF189" s="1083"/>
      <c r="BG189" s="1083"/>
      <c r="BH189" s="1083"/>
      <c r="BI189" s="1083"/>
      <c r="BJ189" s="1083"/>
      <c r="BK189" s="1083"/>
      <c r="BL189" s="1083"/>
      <c r="BM189" s="1083"/>
      <c r="BN189" s="1083"/>
      <c r="BO189" s="1083"/>
      <c r="BP189" s="1083"/>
      <c r="BQ189" s="1083"/>
      <c r="BR189" s="100"/>
      <c r="BS189" s="100"/>
      <c r="BT189" s="100"/>
      <c r="BU189" s="100"/>
      <c r="BV189" s="100"/>
      <c r="BW189" s="100"/>
      <c r="BX189" s="100"/>
      <c r="BY189" s="100"/>
    </row>
    <row r="190" spans="1:77">
      <c r="A190" s="1083"/>
      <c r="B190" s="1083"/>
      <c r="C190" s="1083"/>
      <c r="D190" s="1083"/>
      <c r="E190" s="1083"/>
      <c r="F190" s="1083"/>
      <c r="G190" s="1083"/>
      <c r="H190" s="1083"/>
      <c r="I190" s="1083"/>
      <c r="J190" s="1083"/>
      <c r="K190" s="1083"/>
      <c r="L190" s="1083"/>
      <c r="M190" s="1083"/>
      <c r="N190" s="1083"/>
      <c r="O190" s="1083"/>
      <c r="P190" s="1083"/>
      <c r="Q190" s="1083"/>
      <c r="R190" s="1083"/>
      <c r="S190" s="1083"/>
      <c r="T190" s="1083"/>
      <c r="U190" s="1083"/>
      <c r="V190" s="1083"/>
      <c r="W190" s="1083"/>
      <c r="X190" s="1083"/>
      <c r="Y190" s="1083"/>
      <c r="Z190" s="1083"/>
      <c r="AA190" s="1083"/>
      <c r="AB190" s="1083"/>
      <c r="AC190" s="1389"/>
      <c r="AD190" s="1083"/>
      <c r="AE190" s="1389"/>
      <c r="AF190" s="1083"/>
      <c r="AG190" s="1083"/>
      <c r="AH190" s="1083"/>
      <c r="AI190" s="1083"/>
      <c r="AJ190" s="1083"/>
      <c r="AK190" s="1083"/>
      <c r="AL190" s="1390"/>
      <c r="AM190" s="1083"/>
      <c r="AN190" s="1083"/>
      <c r="AO190" s="1083"/>
      <c r="AP190" s="1083"/>
      <c r="AQ190" s="1083"/>
      <c r="AR190" s="1083"/>
      <c r="AS190" s="1083"/>
      <c r="AT190" s="1083"/>
      <c r="AU190" s="1083"/>
      <c r="AV190" s="1083"/>
      <c r="AW190" s="1083"/>
      <c r="AX190" s="1083"/>
      <c r="AY190" s="1083"/>
      <c r="AZ190" s="1083"/>
      <c r="BA190" s="1083"/>
      <c r="BB190" s="1083"/>
      <c r="BC190" s="1083"/>
      <c r="BD190" s="1083"/>
      <c r="BE190" s="1083"/>
      <c r="BF190" s="1083"/>
      <c r="BG190" s="1083"/>
      <c r="BH190" s="1083"/>
      <c r="BI190" s="1083"/>
      <c r="BJ190" s="1083"/>
      <c r="BK190" s="1083"/>
      <c r="BL190" s="1083"/>
      <c r="BM190" s="1083"/>
      <c r="BN190" s="1083"/>
      <c r="BO190" s="1083"/>
      <c r="BP190" s="1083"/>
      <c r="BQ190" s="1083"/>
      <c r="BR190" s="100"/>
      <c r="BS190" s="100"/>
      <c r="BT190" s="100"/>
      <c r="BU190" s="100"/>
      <c r="BV190" s="100"/>
      <c r="BW190" s="100"/>
      <c r="BX190" s="100"/>
      <c r="BY190" s="100"/>
    </row>
    <row r="191" spans="1:77">
      <c r="A191" s="1083"/>
      <c r="B191" s="1083"/>
      <c r="C191" s="1083"/>
      <c r="D191" s="1083"/>
      <c r="E191" s="1083"/>
      <c r="F191" s="1083"/>
      <c r="G191" s="1083"/>
      <c r="H191" s="1083"/>
      <c r="I191" s="1083"/>
      <c r="J191" s="1083"/>
      <c r="K191" s="1083"/>
      <c r="L191" s="1083"/>
      <c r="M191" s="1083"/>
      <c r="N191" s="1083"/>
      <c r="O191" s="1083"/>
      <c r="P191" s="1083"/>
      <c r="Q191" s="1083"/>
      <c r="R191" s="1083"/>
      <c r="S191" s="1083"/>
      <c r="T191" s="1083"/>
      <c r="U191" s="1083"/>
      <c r="V191" s="1083"/>
      <c r="W191" s="1083"/>
      <c r="X191" s="1083"/>
      <c r="Y191" s="1083"/>
      <c r="Z191" s="1083"/>
      <c r="AA191" s="1083"/>
      <c r="AB191" s="1083"/>
      <c r="AC191" s="1389"/>
      <c r="AD191" s="1083"/>
      <c r="AE191" s="1389"/>
      <c r="AF191" s="1083"/>
      <c r="AG191" s="1083"/>
      <c r="AH191" s="1083"/>
      <c r="AI191" s="1083"/>
      <c r="AJ191" s="1083"/>
      <c r="AK191" s="1083"/>
      <c r="AL191" s="1390"/>
      <c r="AM191" s="1083"/>
      <c r="AN191" s="1083"/>
      <c r="AO191" s="1083"/>
      <c r="AP191" s="1083"/>
      <c r="AQ191" s="1083"/>
      <c r="AR191" s="1083"/>
      <c r="AS191" s="1083"/>
      <c r="AT191" s="1083"/>
      <c r="AU191" s="1083"/>
      <c r="AV191" s="1083"/>
      <c r="AW191" s="1083"/>
      <c r="AX191" s="1083"/>
      <c r="AY191" s="1083"/>
      <c r="AZ191" s="1083"/>
      <c r="BA191" s="1083"/>
      <c r="BB191" s="1083"/>
      <c r="BC191" s="1083"/>
      <c r="BD191" s="1083"/>
      <c r="BE191" s="1083"/>
      <c r="BF191" s="1083"/>
      <c r="BG191" s="1083"/>
      <c r="BH191" s="1083"/>
      <c r="BI191" s="1083"/>
      <c r="BJ191" s="1083"/>
      <c r="BK191" s="1083"/>
      <c r="BL191" s="1083"/>
      <c r="BM191" s="1083"/>
      <c r="BN191" s="1083"/>
      <c r="BO191" s="1083"/>
      <c r="BP191" s="1083"/>
      <c r="BQ191" s="1083"/>
      <c r="BR191" s="100"/>
      <c r="BS191" s="100"/>
      <c r="BT191" s="100"/>
      <c r="BU191" s="100"/>
      <c r="BV191" s="100"/>
      <c r="BW191" s="100"/>
      <c r="BX191" s="100"/>
      <c r="BY191" s="100"/>
    </row>
    <row r="192" spans="1:77">
      <c r="A192" s="1083"/>
      <c r="B192" s="1083"/>
      <c r="C192" s="1083"/>
      <c r="D192" s="1083"/>
      <c r="E192" s="1083"/>
      <c r="F192" s="1083"/>
      <c r="G192" s="1083"/>
      <c r="H192" s="1083"/>
      <c r="I192" s="1083"/>
      <c r="J192" s="1083"/>
      <c r="K192" s="1083"/>
      <c r="L192" s="1083"/>
      <c r="M192" s="1083"/>
      <c r="N192" s="1083"/>
      <c r="O192" s="1083"/>
      <c r="P192" s="1083"/>
      <c r="Q192" s="1083"/>
      <c r="R192" s="1083"/>
      <c r="S192" s="1083"/>
      <c r="T192" s="1083"/>
      <c r="U192" s="1083"/>
      <c r="V192" s="1083"/>
      <c r="W192" s="1083"/>
      <c r="X192" s="1083"/>
      <c r="Y192" s="1083"/>
      <c r="Z192" s="1083"/>
      <c r="AA192" s="1083"/>
      <c r="AB192" s="1083"/>
      <c r="AC192" s="1389"/>
      <c r="AD192" s="1083"/>
      <c r="AE192" s="1389"/>
      <c r="AF192" s="1083"/>
      <c r="AG192" s="1083"/>
      <c r="AH192" s="1083"/>
      <c r="AI192" s="1083"/>
      <c r="AJ192" s="1083"/>
      <c r="AK192" s="1083"/>
      <c r="AL192" s="1390"/>
      <c r="AM192" s="1083"/>
      <c r="AN192" s="1083"/>
      <c r="AO192" s="1083"/>
      <c r="AP192" s="1083"/>
      <c r="AQ192" s="1083"/>
      <c r="AR192" s="1083"/>
      <c r="AS192" s="1083"/>
      <c r="AT192" s="1083"/>
      <c r="AU192" s="1083"/>
      <c r="AV192" s="1083"/>
      <c r="AW192" s="1083"/>
      <c r="AX192" s="1083"/>
      <c r="AY192" s="1083"/>
      <c r="AZ192" s="1083"/>
      <c r="BA192" s="1083"/>
      <c r="BB192" s="1083"/>
      <c r="BC192" s="1083"/>
      <c r="BD192" s="1083"/>
      <c r="BE192" s="1083"/>
      <c r="BF192" s="1083"/>
      <c r="BG192" s="1083"/>
      <c r="BH192" s="1083"/>
      <c r="BI192" s="1083"/>
      <c r="BJ192" s="1083"/>
      <c r="BK192" s="1083"/>
      <c r="BL192" s="1083"/>
      <c r="BM192" s="1083"/>
      <c r="BN192" s="1083"/>
      <c r="BO192" s="1083"/>
      <c r="BP192" s="1083"/>
      <c r="BQ192" s="1083"/>
      <c r="BR192" s="100"/>
      <c r="BS192" s="100"/>
      <c r="BT192" s="100"/>
      <c r="BU192" s="100"/>
      <c r="BV192" s="100"/>
      <c r="BW192" s="100"/>
      <c r="BX192" s="100"/>
      <c r="BY192" s="100"/>
    </row>
    <row r="193" spans="1:77">
      <c r="A193" s="1083"/>
      <c r="B193" s="1083"/>
      <c r="C193" s="1083"/>
      <c r="D193" s="1083"/>
      <c r="E193" s="1083"/>
      <c r="F193" s="1083"/>
      <c r="G193" s="1083"/>
      <c r="H193" s="1083"/>
      <c r="I193" s="1083"/>
      <c r="J193" s="1083"/>
      <c r="K193" s="1083"/>
      <c r="L193" s="1083"/>
      <c r="M193" s="1083"/>
      <c r="N193" s="1083"/>
      <c r="O193" s="1083"/>
      <c r="P193" s="1083"/>
      <c r="Q193" s="1083"/>
      <c r="R193" s="1083"/>
      <c r="S193" s="1083"/>
      <c r="T193" s="1083"/>
      <c r="U193" s="1083"/>
      <c r="V193" s="1083"/>
      <c r="W193" s="1083"/>
      <c r="X193" s="1083"/>
      <c r="Y193" s="1083"/>
      <c r="Z193" s="1083"/>
      <c r="AA193" s="1083"/>
      <c r="AB193" s="1083"/>
      <c r="AC193" s="1389"/>
      <c r="AD193" s="1083"/>
      <c r="AE193" s="1389"/>
      <c r="AF193" s="1083"/>
      <c r="AG193" s="1083"/>
      <c r="AH193" s="1083"/>
      <c r="AI193" s="1083"/>
      <c r="AJ193" s="1083"/>
      <c r="AK193" s="1083"/>
      <c r="AL193" s="1390"/>
      <c r="AM193" s="1083"/>
      <c r="AN193" s="1083"/>
      <c r="AO193" s="1083"/>
      <c r="AP193" s="1083"/>
      <c r="AQ193" s="1083"/>
      <c r="AR193" s="1083"/>
      <c r="AS193" s="1083"/>
      <c r="AT193" s="1083"/>
      <c r="AU193" s="1083"/>
      <c r="AV193" s="1083"/>
      <c r="AW193" s="1083"/>
      <c r="AX193" s="1083"/>
      <c r="AY193" s="1083"/>
      <c r="AZ193" s="1083"/>
      <c r="BA193" s="1083"/>
      <c r="BB193" s="1083"/>
      <c r="BC193" s="1083"/>
      <c r="BD193" s="1083"/>
      <c r="BE193" s="1083"/>
      <c r="BF193" s="1083"/>
      <c r="BG193" s="1083"/>
      <c r="BH193" s="1083"/>
      <c r="BI193" s="1083"/>
      <c r="BJ193" s="1083"/>
      <c r="BK193" s="1083"/>
      <c r="BL193" s="1083"/>
      <c r="BM193" s="1083"/>
      <c r="BN193" s="1083"/>
      <c r="BO193" s="1083"/>
      <c r="BP193" s="1083"/>
      <c r="BQ193" s="1083"/>
      <c r="BR193" s="100"/>
      <c r="BS193" s="100"/>
      <c r="BT193" s="100"/>
      <c r="BU193" s="100"/>
      <c r="BV193" s="100"/>
      <c r="BW193" s="100"/>
      <c r="BX193" s="100"/>
      <c r="BY193" s="100"/>
    </row>
    <row r="194" spans="1:77">
      <c r="A194" s="1083"/>
      <c r="B194" s="1083"/>
      <c r="C194" s="1083"/>
      <c r="D194" s="1083"/>
      <c r="E194" s="1083"/>
      <c r="F194" s="1083"/>
      <c r="G194" s="1083"/>
      <c r="H194" s="1083"/>
      <c r="I194" s="1083"/>
      <c r="J194" s="1083"/>
      <c r="K194" s="1083"/>
      <c r="L194" s="1083"/>
      <c r="M194" s="1083"/>
      <c r="N194" s="1083"/>
      <c r="O194" s="1083"/>
      <c r="P194" s="1083"/>
      <c r="Q194" s="1083"/>
      <c r="R194" s="1083"/>
      <c r="S194" s="1083"/>
      <c r="T194" s="1083"/>
      <c r="U194" s="1083"/>
      <c r="V194" s="1083"/>
      <c r="W194" s="1083"/>
      <c r="X194" s="1083"/>
      <c r="Y194" s="1083"/>
      <c r="Z194" s="1083"/>
      <c r="AA194" s="1083"/>
      <c r="AB194" s="1083"/>
      <c r="AC194" s="1389"/>
      <c r="AD194" s="1083"/>
      <c r="AE194" s="1389"/>
      <c r="AF194" s="1083"/>
      <c r="AG194" s="1083"/>
      <c r="AH194" s="1083"/>
      <c r="AI194" s="1083"/>
      <c r="AJ194" s="1083"/>
      <c r="AK194" s="1083"/>
      <c r="AL194" s="1390"/>
      <c r="AM194" s="1083"/>
      <c r="AN194" s="1083"/>
      <c r="AO194" s="1083"/>
      <c r="AP194" s="1083"/>
      <c r="AQ194" s="1083"/>
      <c r="AR194" s="1083"/>
      <c r="AS194" s="1083"/>
      <c r="AT194" s="1083"/>
      <c r="AU194" s="1083"/>
      <c r="AV194" s="1083"/>
      <c r="AW194" s="1083"/>
      <c r="AX194" s="1083"/>
      <c r="AY194" s="1083"/>
      <c r="AZ194" s="1083"/>
      <c r="BA194" s="1083"/>
      <c r="BB194" s="1083"/>
      <c r="BC194" s="1083"/>
      <c r="BD194" s="1083"/>
      <c r="BE194" s="1083"/>
      <c r="BF194" s="1083"/>
      <c r="BG194" s="1083"/>
      <c r="BH194" s="1083"/>
      <c r="BI194" s="1083"/>
      <c r="BJ194" s="1083"/>
      <c r="BK194" s="1083"/>
      <c r="BL194" s="1083"/>
      <c r="BM194" s="1083"/>
      <c r="BN194" s="1083"/>
      <c r="BO194" s="1083"/>
      <c r="BP194" s="1083"/>
      <c r="BQ194" s="1083"/>
      <c r="BR194" s="100"/>
      <c r="BS194" s="100"/>
      <c r="BT194" s="100"/>
      <c r="BU194" s="100"/>
      <c r="BV194" s="100"/>
      <c r="BW194" s="100"/>
      <c r="BX194" s="100"/>
      <c r="BY194" s="100"/>
    </row>
    <row r="195" spans="1:77">
      <c r="A195" s="1083"/>
      <c r="B195" s="1083"/>
      <c r="C195" s="1083"/>
      <c r="D195" s="1083"/>
      <c r="E195" s="1083"/>
      <c r="F195" s="1083"/>
      <c r="G195" s="1083"/>
      <c r="H195" s="1083"/>
      <c r="I195" s="1083"/>
      <c r="J195" s="1083"/>
      <c r="K195" s="1083"/>
      <c r="L195" s="1083"/>
      <c r="M195" s="1083"/>
      <c r="N195" s="1083"/>
      <c r="O195" s="1083"/>
      <c r="P195" s="1083"/>
      <c r="Q195" s="1083"/>
      <c r="R195" s="1083"/>
      <c r="S195" s="1083"/>
      <c r="T195" s="1083"/>
      <c r="U195" s="1083"/>
      <c r="V195" s="1083"/>
      <c r="W195" s="1083"/>
      <c r="X195" s="1083"/>
      <c r="Y195" s="1083"/>
      <c r="Z195" s="1083"/>
      <c r="AA195" s="1083"/>
      <c r="AB195" s="1083"/>
      <c r="AC195" s="1389"/>
      <c r="AD195" s="1083"/>
      <c r="AE195" s="1389"/>
      <c r="AF195" s="1083"/>
      <c r="AG195" s="1083"/>
      <c r="AH195" s="1083"/>
      <c r="AI195" s="1083"/>
      <c r="AJ195" s="1083"/>
      <c r="AK195" s="1083"/>
      <c r="AL195" s="1390"/>
      <c r="AM195" s="1083"/>
      <c r="AN195" s="1083"/>
      <c r="AO195" s="1083"/>
      <c r="AP195" s="1083"/>
      <c r="AQ195" s="1083"/>
      <c r="AR195" s="1083"/>
      <c r="AS195" s="1083"/>
      <c r="AT195" s="1083"/>
      <c r="AU195" s="1083"/>
      <c r="AV195" s="1083"/>
      <c r="AW195" s="1083"/>
      <c r="AX195" s="1083"/>
      <c r="AY195" s="1083"/>
      <c r="AZ195" s="1083"/>
      <c r="BA195" s="1083"/>
      <c r="BB195" s="1083"/>
      <c r="BC195" s="1083"/>
      <c r="BD195" s="1083"/>
      <c r="BE195" s="1083"/>
      <c r="BF195" s="1083"/>
      <c r="BG195" s="1083"/>
      <c r="BH195" s="1083"/>
      <c r="BI195" s="1083"/>
      <c r="BJ195" s="1083"/>
      <c r="BK195" s="1083"/>
      <c r="BL195" s="1083"/>
      <c r="BM195" s="1083"/>
      <c r="BN195" s="1083"/>
      <c r="BO195" s="1083"/>
      <c r="BP195" s="1083"/>
      <c r="BQ195" s="1083"/>
      <c r="BR195" s="100"/>
      <c r="BS195" s="100"/>
      <c r="BT195" s="100"/>
      <c r="BU195" s="100"/>
      <c r="BV195" s="100"/>
      <c r="BW195" s="100"/>
      <c r="BX195" s="100"/>
      <c r="BY195" s="100"/>
    </row>
    <row r="196" spans="1:77">
      <c r="A196" s="1083"/>
      <c r="B196" s="1083"/>
      <c r="C196" s="1083"/>
      <c r="D196" s="1083"/>
      <c r="E196" s="1083"/>
      <c r="F196" s="1083"/>
      <c r="G196" s="1083"/>
      <c r="H196" s="1083"/>
      <c r="I196" s="1083"/>
      <c r="J196" s="1083"/>
      <c r="K196" s="1083"/>
      <c r="L196" s="1083"/>
      <c r="M196" s="1083"/>
      <c r="N196" s="1083"/>
      <c r="O196" s="1083"/>
      <c r="P196" s="1083"/>
      <c r="Q196" s="1083"/>
      <c r="R196" s="1083"/>
      <c r="S196" s="1083"/>
      <c r="T196" s="1083"/>
      <c r="U196" s="1083"/>
      <c r="V196" s="1083"/>
      <c r="W196" s="1083"/>
      <c r="X196" s="1083"/>
      <c r="Y196" s="1083"/>
      <c r="Z196" s="1083"/>
      <c r="AA196" s="1083"/>
      <c r="AB196" s="1083"/>
      <c r="AC196" s="1389"/>
      <c r="AD196" s="1083"/>
      <c r="AE196" s="1389"/>
      <c r="AF196" s="1083"/>
      <c r="AG196" s="1083"/>
      <c r="AH196" s="1083"/>
      <c r="AI196" s="1083"/>
      <c r="AJ196" s="1083"/>
      <c r="AK196" s="1083"/>
      <c r="AL196" s="1390"/>
      <c r="AM196" s="1083"/>
      <c r="AN196" s="1083"/>
      <c r="AO196" s="1083"/>
      <c r="AP196" s="1083"/>
      <c r="AQ196" s="1083"/>
      <c r="AR196" s="1083"/>
      <c r="AS196" s="1083"/>
      <c r="AT196" s="1083"/>
      <c r="AU196" s="1083"/>
      <c r="AV196" s="1083"/>
      <c r="AW196" s="1083"/>
      <c r="AX196" s="1083"/>
      <c r="AY196" s="1083"/>
      <c r="AZ196" s="1083"/>
      <c r="BA196" s="1083"/>
      <c r="BB196" s="1083"/>
      <c r="BC196" s="1083"/>
      <c r="BD196" s="1083"/>
      <c r="BE196" s="1083"/>
      <c r="BF196" s="1083"/>
      <c r="BG196" s="1083"/>
      <c r="BH196" s="1083"/>
      <c r="BI196" s="1083"/>
      <c r="BJ196" s="1083"/>
      <c r="BK196" s="1083"/>
      <c r="BL196" s="1083"/>
      <c r="BM196" s="1083"/>
      <c r="BN196" s="1083"/>
      <c r="BO196" s="1083"/>
      <c r="BP196" s="1083"/>
      <c r="BQ196" s="1083"/>
      <c r="BR196" s="100"/>
      <c r="BS196" s="100"/>
      <c r="BT196" s="100"/>
      <c r="BU196" s="100"/>
      <c r="BV196" s="100"/>
      <c r="BW196" s="100"/>
      <c r="BX196" s="100"/>
      <c r="BY196" s="100"/>
    </row>
    <row r="197" spans="1:77">
      <c r="A197" s="1083"/>
      <c r="B197" s="1083"/>
      <c r="C197" s="1083"/>
      <c r="D197" s="1083"/>
      <c r="E197" s="1083"/>
      <c r="F197" s="1083"/>
      <c r="G197" s="1083"/>
      <c r="H197" s="1083"/>
      <c r="I197" s="1083"/>
      <c r="J197" s="1083"/>
      <c r="K197" s="1083"/>
      <c r="L197" s="1083"/>
      <c r="M197" s="1083"/>
      <c r="N197" s="1083"/>
      <c r="O197" s="1083"/>
      <c r="P197" s="1083"/>
      <c r="Q197" s="1083"/>
      <c r="R197" s="1083"/>
      <c r="S197" s="1083"/>
      <c r="T197" s="1083"/>
      <c r="U197" s="1083"/>
      <c r="V197" s="1083"/>
      <c r="W197" s="1083"/>
      <c r="X197" s="1083"/>
      <c r="Y197" s="1083"/>
      <c r="Z197" s="1083"/>
      <c r="AA197" s="1083"/>
      <c r="AB197" s="1083"/>
      <c r="AC197" s="1389"/>
      <c r="AD197" s="1083"/>
      <c r="AE197" s="1389"/>
      <c r="AF197" s="1083"/>
      <c r="AG197" s="1083"/>
      <c r="AH197" s="1083"/>
      <c r="AI197" s="1083"/>
      <c r="AJ197" s="1083"/>
      <c r="AK197" s="1083"/>
      <c r="AL197" s="1390"/>
      <c r="AM197" s="1083"/>
      <c r="AN197" s="1083"/>
      <c r="AO197" s="1083"/>
      <c r="AP197" s="1083"/>
      <c r="AQ197" s="1083"/>
      <c r="AR197" s="1083"/>
      <c r="AS197" s="1083"/>
      <c r="AT197" s="1083"/>
      <c r="AU197" s="1083"/>
      <c r="AV197" s="1083"/>
      <c r="AW197" s="1083"/>
      <c r="AX197" s="1083"/>
      <c r="AY197" s="1083"/>
      <c r="AZ197" s="1083"/>
      <c r="BA197" s="1083"/>
      <c r="BB197" s="1083"/>
      <c r="BC197" s="1083"/>
      <c r="BD197" s="1083"/>
      <c r="BE197" s="1083"/>
      <c r="BF197" s="1083"/>
      <c r="BG197" s="1083"/>
      <c r="BH197" s="1083"/>
      <c r="BI197" s="1083"/>
      <c r="BJ197" s="1083"/>
      <c r="BK197" s="1083"/>
      <c r="BL197" s="1083"/>
      <c r="BM197" s="1083"/>
      <c r="BN197" s="1083"/>
      <c r="BO197" s="1083"/>
      <c r="BP197" s="1083"/>
      <c r="BQ197" s="1083"/>
      <c r="BR197" s="100"/>
      <c r="BS197" s="100"/>
      <c r="BT197" s="100"/>
      <c r="BU197" s="100"/>
      <c r="BV197" s="100"/>
      <c r="BW197" s="100"/>
      <c r="BX197" s="100"/>
      <c r="BY197" s="100"/>
    </row>
    <row r="198" spans="1:77">
      <c r="A198" s="1083"/>
      <c r="B198" s="1083"/>
      <c r="C198" s="1083"/>
      <c r="D198" s="1083"/>
      <c r="E198" s="1083"/>
      <c r="F198" s="1083"/>
      <c r="G198" s="1083"/>
      <c r="H198" s="1083"/>
      <c r="I198" s="1083"/>
      <c r="J198" s="1083"/>
      <c r="K198" s="1083"/>
      <c r="L198" s="1083"/>
      <c r="M198" s="1083"/>
      <c r="N198" s="1083"/>
      <c r="O198" s="1083"/>
      <c r="P198" s="1083"/>
      <c r="Q198" s="1083"/>
      <c r="R198" s="1083"/>
      <c r="S198" s="1083"/>
      <c r="T198" s="1083"/>
      <c r="U198" s="1083"/>
      <c r="V198" s="1083"/>
      <c r="W198" s="1083"/>
      <c r="X198" s="1083"/>
      <c r="Y198" s="1083"/>
      <c r="Z198" s="1083"/>
      <c r="AA198" s="1083"/>
      <c r="AB198" s="1083"/>
      <c r="AC198" s="1389"/>
      <c r="AD198" s="1083"/>
      <c r="AE198" s="1389"/>
      <c r="AF198" s="1083"/>
      <c r="AG198" s="1083"/>
      <c r="AH198" s="1083"/>
      <c r="AI198" s="1083"/>
      <c r="AJ198" s="1083"/>
      <c r="AK198" s="1083"/>
      <c r="AL198" s="1390"/>
      <c r="AM198" s="1083"/>
      <c r="AN198" s="1083"/>
      <c r="AO198" s="1083"/>
      <c r="AP198" s="1083"/>
      <c r="AQ198" s="1083"/>
      <c r="AR198" s="1083"/>
      <c r="AS198" s="1083"/>
      <c r="AT198" s="1083"/>
      <c r="AU198" s="1083"/>
      <c r="AV198" s="1083"/>
      <c r="AW198" s="1083"/>
      <c r="AX198" s="1083"/>
      <c r="AY198" s="1083"/>
      <c r="AZ198" s="1083"/>
      <c r="BA198" s="1083"/>
      <c r="BB198" s="1083"/>
      <c r="BC198" s="1083"/>
      <c r="BD198" s="1083"/>
      <c r="BE198" s="1083"/>
      <c r="BF198" s="1083"/>
      <c r="BG198" s="1083"/>
      <c r="BH198" s="1083"/>
      <c r="BI198" s="1083"/>
      <c r="BJ198" s="1083"/>
      <c r="BK198" s="1083"/>
      <c r="BL198" s="1083"/>
      <c r="BM198" s="1083"/>
      <c r="BN198" s="1083"/>
      <c r="BO198" s="1083"/>
      <c r="BP198" s="1083"/>
      <c r="BQ198" s="1083"/>
      <c r="BR198" s="100"/>
      <c r="BS198" s="100"/>
      <c r="BT198" s="100"/>
      <c r="BU198" s="100"/>
      <c r="BV198" s="100"/>
      <c r="BW198" s="100"/>
      <c r="BX198" s="100"/>
      <c r="BY198" s="100"/>
    </row>
    <row r="199" spans="1:77">
      <c r="A199" s="1083"/>
      <c r="B199" s="1083"/>
      <c r="C199" s="1083"/>
      <c r="D199" s="1083"/>
      <c r="E199" s="1083"/>
      <c r="F199" s="1083"/>
      <c r="G199" s="1083"/>
      <c r="H199" s="1083"/>
      <c r="I199" s="1083"/>
      <c r="J199" s="1083"/>
      <c r="K199" s="1083"/>
      <c r="L199" s="1083"/>
      <c r="M199" s="1083"/>
      <c r="N199" s="1083"/>
      <c r="O199" s="1083"/>
      <c r="P199" s="1083"/>
      <c r="Q199" s="1083"/>
      <c r="R199" s="1083"/>
      <c r="S199" s="1083"/>
      <c r="T199" s="1083"/>
      <c r="U199" s="1083"/>
      <c r="V199" s="1083"/>
      <c r="W199" s="1083"/>
      <c r="X199" s="1083"/>
      <c r="Y199" s="1083"/>
      <c r="Z199" s="1083"/>
      <c r="AA199" s="1083"/>
      <c r="AB199" s="1083"/>
      <c r="AC199" s="1389"/>
      <c r="AD199" s="1083"/>
      <c r="AE199" s="1389"/>
      <c r="AF199" s="1083"/>
      <c r="AG199" s="1083"/>
      <c r="AH199" s="1083"/>
      <c r="AI199" s="1083"/>
      <c r="AJ199" s="1083"/>
      <c r="AK199" s="1083"/>
      <c r="AL199" s="1390"/>
      <c r="AM199" s="1083"/>
      <c r="AN199" s="1083"/>
      <c r="AO199" s="1083"/>
      <c r="AP199" s="1083"/>
      <c r="AQ199" s="1083"/>
      <c r="AR199" s="1083"/>
      <c r="AS199" s="1083"/>
      <c r="AT199" s="1083"/>
      <c r="AU199" s="1083"/>
      <c r="AV199" s="1083"/>
      <c r="AW199" s="1083"/>
      <c r="AX199" s="1083"/>
      <c r="AY199" s="1083"/>
      <c r="AZ199" s="1083"/>
      <c r="BA199" s="1083"/>
      <c r="BB199" s="1083"/>
      <c r="BC199" s="1083"/>
      <c r="BD199" s="1083"/>
      <c r="BE199" s="1083"/>
      <c r="BF199" s="1083"/>
      <c r="BG199" s="1083"/>
      <c r="BH199" s="1083"/>
      <c r="BI199" s="1083"/>
      <c r="BJ199" s="1083"/>
      <c r="BK199" s="1083"/>
      <c r="BL199" s="1083"/>
      <c r="BM199" s="1083"/>
      <c r="BN199" s="1083"/>
      <c r="BO199" s="1083"/>
      <c r="BP199" s="1083"/>
      <c r="BQ199" s="1083"/>
      <c r="BR199" s="100"/>
      <c r="BS199" s="100"/>
      <c r="BT199" s="100"/>
      <c r="BU199" s="100"/>
      <c r="BV199" s="100"/>
      <c r="BW199" s="100"/>
      <c r="BX199" s="100"/>
      <c r="BY199" s="100"/>
    </row>
    <row r="200" spans="1:77">
      <c r="A200" s="1083"/>
      <c r="B200" s="1083"/>
      <c r="C200" s="1083"/>
      <c r="D200" s="1083"/>
      <c r="E200" s="1083"/>
      <c r="F200" s="1083"/>
      <c r="G200" s="1083"/>
      <c r="H200" s="1083"/>
      <c r="I200" s="1083"/>
      <c r="J200" s="1083"/>
      <c r="K200" s="1083"/>
      <c r="L200" s="1083"/>
      <c r="M200" s="1083"/>
      <c r="N200" s="1083"/>
      <c r="O200" s="1083"/>
      <c r="P200" s="1083"/>
      <c r="Q200" s="1083"/>
      <c r="R200" s="1083"/>
      <c r="S200" s="1083"/>
      <c r="T200" s="1083"/>
      <c r="U200" s="1083"/>
      <c r="V200" s="1083"/>
      <c r="W200" s="1083"/>
      <c r="X200" s="1083"/>
      <c r="Y200" s="1083"/>
      <c r="Z200" s="1083"/>
      <c r="AA200" s="1083"/>
      <c r="AB200" s="1083"/>
      <c r="AC200" s="1389"/>
      <c r="AD200" s="1083"/>
      <c r="AE200" s="1389"/>
      <c r="AF200" s="1083"/>
      <c r="AG200" s="1083"/>
      <c r="AH200" s="1083"/>
      <c r="AI200" s="1083"/>
      <c r="AJ200" s="1083"/>
      <c r="AK200" s="1083"/>
      <c r="AL200" s="1390"/>
      <c r="AM200" s="1083"/>
      <c r="AN200" s="1083"/>
      <c r="AO200" s="1083"/>
      <c r="AP200" s="1083"/>
      <c r="AQ200" s="1083"/>
      <c r="AR200" s="1083"/>
      <c r="AS200" s="1083"/>
      <c r="AT200" s="1083"/>
      <c r="AU200" s="1083"/>
      <c r="AV200" s="1083"/>
      <c r="AW200" s="1083"/>
      <c r="AX200" s="1083"/>
      <c r="AY200" s="1083"/>
      <c r="AZ200" s="1083"/>
      <c r="BA200" s="1083"/>
      <c r="BB200" s="1083"/>
      <c r="BC200" s="1083"/>
      <c r="BD200" s="1083"/>
      <c r="BE200" s="1083"/>
      <c r="BF200" s="1083"/>
      <c r="BG200" s="1083"/>
      <c r="BH200" s="1083"/>
      <c r="BI200" s="1083"/>
      <c r="BJ200" s="1083"/>
      <c r="BK200" s="1083"/>
      <c r="BL200" s="1083"/>
      <c r="BM200" s="1083"/>
      <c r="BN200" s="1083"/>
      <c r="BO200" s="1083"/>
      <c r="BP200" s="1083"/>
      <c r="BQ200" s="1083"/>
      <c r="BR200" s="100"/>
      <c r="BS200" s="100"/>
      <c r="BT200" s="100"/>
      <c r="BU200" s="100"/>
      <c r="BV200" s="100"/>
      <c r="BW200" s="100"/>
      <c r="BX200" s="100"/>
      <c r="BY200" s="100"/>
    </row>
    <row r="201" spans="1:77">
      <c r="A201" s="1083"/>
      <c r="B201" s="1083"/>
      <c r="C201" s="1083"/>
      <c r="D201" s="1083"/>
      <c r="E201" s="1083"/>
      <c r="F201" s="1083"/>
      <c r="G201" s="1083"/>
      <c r="H201" s="1083"/>
      <c r="I201" s="1083"/>
      <c r="J201" s="1083"/>
      <c r="K201" s="1083"/>
      <c r="L201" s="1083"/>
      <c r="M201" s="1083"/>
      <c r="N201" s="1083"/>
      <c r="O201" s="1083"/>
      <c r="P201" s="1083"/>
      <c r="Q201" s="1083"/>
      <c r="R201" s="1083"/>
      <c r="S201" s="1083"/>
      <c r="T201" s="1083"/>
      <c r="U201" s="1083"/>
      <c r="V201" s="1083"/>
      <c r="W201" s="1083"/>
      <c r="X201" s="1083"/>
      <c r="Y201" s="1083"/>
      <c r="Z201" s="1083"/>
      <c r="AA201" s="1083"/>
      <c r="AB201" s="1083"/>
      <c r="AC201" s="1389"/>
      <c r="AD201" s="1083"/>
      <c r="AE201" s="1389"/>
      <c r="AF201" s="1083"/>
      <c r="AG201" s="1083"/>
      <c r="AH201" s="1083"/>
      <c r="AI201" s="1083"/>
      <c r="AJ201" s="1083"/>
      <c r="AK201" s="1083"/>
      <c r="AL201" s="1390"/>
      <c r="AM201" s="1083"/>
      <c r="AN201" s="1083"/>
      <c r="AO201" s="1083"/>
      <c r="AP201" s="1083"/>
      <c r="AQ201" s="1083"/>
      <c r="AR201" s="1083"/>
      <c r="AS201" s="1083"/>
      <c r="AT201" s="1083"/>
      <c r="AU201" s="1083"/>
      <c r="AV201" s="1083"/>
      <c r="AW201" s="1083"/>
      <c r="AX201" s="1083"/>
      <c r="AY201" s="1083"/>
      <c r="AZ201" s="1083"/>
      <c r="BA201" s="1083"/>
      <c r="BB201" s="1083"/>
      <c r="BC201" s="1083"/>
      <c r="BD201" s="1083"/>
      <c r="BE201" s="1083"/>
      <c r="BF201" s="1083"/>
      <c r="BG201" s="1083"/>
      <c r="BH201" s="1083"/>
      <c r="BI201" s="1083"/>
      <c r="BJ201" s="1083"/>
      <c r="BK201" s="1083"/>
      <c r="BL201" s="1083"/>
      <c r="BM201" s="1083"/>
      <c r="BN201" s="1083"/>
      <c r="BO201" s="1083"/>
      <c r="BP201" s="1083"/>
      <c r="BQ201" s="1083"/>
      <c r="BR201" s="100"/>
      <c r="BS201" s="100"/>
      <c r="BT201" s="100"/>
      <c r="BU201" s="100"/>
      <c r="BV201" s="100"/>
      <c r="BW201" s="100"/>
      <c r="BX201" s="100"/>
      <c r="BY201" s="100"/>
    </row>
  </sheetData>
  <sheetProtection sheet="1" objects="1" scenarios="1"/>
  <protectedRanges>
    <protectedRange sqref="AB15 AC10 AC16 AC13:AC14 AB23:AE23 AD15 AB9:AE9 AB29 AC30:AC31 AC27:AC28 AE30:AE31 AE27:AE28 AD29 AC24:AC25 AE13:AE14 AE16 AB39:AE39 AB45 AC46 AC43:AC44 AE46 AE43:AE44 AD45 AC40:AC41 AB56:AE56 AB62 AC63 AC60:AC61 AE63 AE60:AE61 AD62 AC57:AC58 AB81:AE81 AB87 AC88 AC85:AC86 AE88 AE85:AE86 AD87 AC82:AC83 AC107 AC104:AC105 AE107 AE104:AE105 AC101:AC102 AB106 AD106 AB100:AE100 AB126 AC121 AC127 AC124:AC125 AD126 AB120:AE120 AE124:AE125 AE127" name="Range1_1_1_1"/>
    <protectedRange sqref="AB8:AE8 AB22:AE22 AB38:AE38 AB55:AE55 AB80:AE80 AB99:AE99 AB119:AE119" name="Range1_2_1_1"/>
  </protectedRanges>
  <mergeCells count="206">
    <mergeCell ref="AU10:AX11"/>
    <mergeCell ref="AM17:AM18"/>
    <mergeCell ref="AN17:AN18"/>
    <mergeCell ref="AM21:AN22"/>
    <mergeCell ref="AN19:AN20"/>
    <mergeCell ref="AF46:AF47"/>
    <mergeCell ref="C34:Y35"/>
    <mergeCell ref="C11:Y12"/>
    <mergeCell ref="AE29:AE30"/>
    <mergeCell ref="B40:E40"/>
    <mergeCell ref="AL17:AL18"/>
    <mergeCell ref="AL23:AL24"/>
    <mergeCell ref="AF34:AF45"/>
    <mergeCell ref="AE33:AE34"/>
    <mergeCell ref="AE17:AE18"/>
    <mergeCell ref="T14:X14"/>
    <mergeCell ref="AD29:AD30"/>
    <mergeCell ref="AB29:AB30"/>
    <mergeCell ref="F40:K40"/>
    <mergeCell ref="F38:K38"/>
    <mergeCell ref="P42:X42"/>
    <mergeCell ref="T27:X27"/>
    <mergeCell ref="AB115:AB116"/>
    <mergeCell ref="T16:X16"/>
    <mergeCell ref="D27:R28"/>
    <mergeCell ref="AC63:AC64"/>
    <mergeCell ref="I80:L80"/>
    <mergeCell ref="B75:D75"/>
    <mergeCell ref="D24:R25"/>
    <mergeCell ref="T25:X25"/>
    <mergeCell ref="AE4:AE5"/>
    <mergeCell ref="AC113:AC114"/>
    <mergeCell ref="AD94:AD95"/>
    <mergeCell ref="AC115:AC116"/>
    <mergeCell ref="AE94:AE95"/>
    <mergeCell ref="AB94:AB95"/>
    <mergeCell ref="AC94:AC95"/>
    <mergeCell ref="AD88:AD89"/>
    <mergeCell ref="AE88:AE89"/>
    <mergeCell ref="AD107:AD108"/>
    <mergeCell ref="T18:X18"/>
    <mergeCell ref="AC29:AC30"/>
    <mergeCell ref="P31:X31"/>
    <mergeCell ref="B32:Z32"/>
    <mergeCell ref="Q74:S74"/>
    <mergeCell ref="Q76:S76"/>
    <mergeCell ref="AF2:AF3"/>
    <mergeCell ref="E76:H76"/>
    <mergeCell ref="AF51:AF62"/>
    <mergeCell ref="B42:C42"/>
    <mergeCell ref="B4:Z4"/>
    <mergeCell ref="B80:D80"/>
    <mergeCell ref="T67:V72"/>
    <mergeCell ref="Q67:S72"/>
    <mergeCell ref="AE46:AE47"/>
    <mergeCell ref="AD46:AD47"/>
    <mergeCell ref="C59:S59"/>
    <mergeCell ref="AE2:AE3"/>
    <mergeCell ref="U54:Y54"/>
    <mergeCell ref="U57:Y57"/>
    <mergeCell ref="U56:Y56"/>
    <mergeCell ref="U55:Y55"/>
    <mergeCell ref="U52:Y52"/>
    <mergeCell ref="U60:Y60"/>
    <mergeCell ref="I79:L79"/>
    <mergeCell ref="AE50:AE51"/>
    <mergeCell ref="B67:D72"/>
    <mergeCell ref="C54:S54"/>
    <mergeCell ref="M78:P78"/>
    <mergeCell ref="B74:D74"/>
    <mergeCell ref="AL21:AL22"/>
    <mergeCell ref="AL19:AM20"/>
    <mergeCell ref="C56:S56"/>
    <mergeCell ref="C57:S57"/>
    <mergeCell ref="C53:S53"/>
    <mergeCell ref="AD63:AD64"/>
    <mergeCell ref="T73:V73"/>
    <mergeCell ref="M79:P79"/>
    <mergeCell ref="U61:Y61"/>
    <mergeCell ref="Q75:S75"/>
    <mergeCell ref="E75:H75"/>
    <mergeCell ref="I77:L77"/>
    <mergeCell ref="I75:L75"/>
    <mergeCell ref="I76:L76"/>
    <mergeCell ref="T26:X26"/>
    <mergeCell ref="E79:H79"/>
    <mergeCell ref="B50:Z50"/>
    <mergeCell ref="AE63:AE64"/>
    <mergeCell ref="I78:L78"/>
    <mergeCell ref="Q78:S78"/>
    <mergeCell ref="Q73:S73"/>
    <mergeCell ref="U53:Y53"/>
    <mergeCell ref="Q77:S77"/>
    <mergeCell ref="B49:Z49"/>
    <mergeCell ref="AF107:AF108"/>
    <mergeCell ref="AF88:AF89"/>
    <mergeCell ref="I74:L74"/>
    <mergeCell ref="W67:Z72"/>
    <mergeCell ref="AF95:AF106"/>
    <mergeCell ref="B79:D79"/>
    <mergeCell ref="C60:S60"/>
    <mergeCell ref="T74:V74"/>
    <mergeCell ref="W76:Z76"/>
    <mergeCell ref="AB88:AB89"/>
    <mergeCell ref="AC88:AC89"/>
    <mergeCell ref="E73:H73"/>
    <mergeCell ref="T76:V76"/>
    <mergeCell ref="AE72:AE73"/>
    <mergeCell ref="E80:H80"/>
    <mergeCell ref="B76:D76"/>
    <mergeCell ref="W77:Z77"/>
    <mergeCell ref="W80:Z80"/>
    <mergeCell ref="W78:Z78"/>
    <mergeCell ref="W79:Z79"/>
    <mergeCell ref="I73:L73"/>
    <mergeCell ref="Q80:S80"/>
    <mergeCell ref="AF63:AF64"/>
    <mergeCell ref="M73:P73"/>
    <mergeCell ref="AD115:AD116"/>
    <mergeCell ref="AF76:AF87"/>
    <mergeCell ref="B5:Z5"/>
    <mergeCell ref="E77:H77"/>
    <mergeCell ref="AE107:AE108"/>
    <mergeCell ref="AB46:AB47"/>
    <mergeCell ref="AC107:AC108"/>
    <mergeCell ref="AB107:AB108"/>
    <mergeCell ref="AB63:AB64"/>
    <mergeCell ref="AC46:AC47"/>
    <mergeCell ref="AB67:AE67"/>
    <mergeCell ref="B73:D73"/>
    <mergeCell ref="M76:P76"/>
    <mergeCell ref="E74:H74"/>
    <mergeCell ref="AD72:AD73"/>
    <mergeCell ref="AC72:AC73"/>
    <mergeCell ref="M74:P74"/>
    <mergeCell ref="AB72:AB73"/>
    <mergeCell ref="AB68:AF68"/>
    <mergeCell ref="AD33:AD34"/>
    <mergeCell ref="T23:X23"/>
    <mergeCell ref="AF18:AF30"/>
    <mergeCell ref="AE115:AE116"/>
    <mergeCell ref="AF113:AF114"/>
    <mergeCell ref="AD113:AD114"/>
    <mergeCell ref="T15:X15"/>
    <mergeCell ref="T13:X13"/>
    <mergeCell ref="T75:V75"/>
    <mergeCell ref="AB17:AB18"/>
    <mergeCell ref="AC17:AC18"/>
    <mergeCell ref="T21:X21"/>
    <mergeCell ref="T22:X22"/>
    <mergeCell ref="B78:D78"/>
    <mergeCell ref="AD50:AD51"/>
    <mergeCell ref="AB50:AB51"/>
    <mergeCell ref="AC50:AC51"/>
    <mergeCell ref="C52:S52"/>
    <mergeCell ref="M77:P77"/>
    <mergeCell ref="D87:F87"/>
    <mergeCell ref="T78:V78"/>
    <mergeCell ref="W75:Z75"/>
    <mergeCell ref="AB113:AB114"/>
    <mergeCell ref="M80:P80"/>
    <mergeCell ref="W74:Z74"/>
    <mergeCell ref="T24:X24"/>
    <mergeCell ref="T20:X20"/>
    <mergeCell ref="U59:Y59"/>
    <mergeCell ref="B66:Z66"/>
    <mergeCell ref="AE113:AE114"/>
    <mergeCell ref="T77:V77"/>
    <mergeCell ref="AD17:AD18"/>
    <mergeCell ref="AB2:AB3"/>
    <mergeCell ref="U58:Y58"/>
    <mergeCell ref="T28:X28"/>
    <mergeCell ref="W73:Z73"/>
    <mergeCell ref="AC33:AC34"/>
    <mergeCell ref="T79:V79"/>
    <mergeCell ref="B47:Z47"/>
    <mergeCell ref="M67:P72"/>
    <mergeCell ref="C55:S55"/>
    <mergeCell ref="I67:L72"/>
    <mergeCell ref="E67:H72"/>
    <mergeCell ref="C61:S61"/>
    <mergeCell ref="Q79:S79"/>
    <mergeCell ref="T19:X19"/>
    <mergeCell ref="AC4:AC5"/>
    <mergeCell ref="AB33:AB34"/>
    <mergeCell ref="B38:E38"/>
    <mergeCell ref="B77:D77"/>
    <mergeCell ref="C58:S58"/>
    <mergeCell ref="B65:Z65"/>
    <mergeCell ref="D42:G42"/>
    <mergeCell ref="AC2:AC3"/>
    <mergeCell ref="AD2:AD3"/>
    <mergeCell ref="T80:V80"/>
    <mergeCell ref="B41:C41"/>
    <mergeCell ref="B51:Z51"/>
    <mergeCell ref="E78:H78"/>
    <mergeCell ref="M75:P75"/>
    <mergeCell ref="D13:R14"/>
    <mergeCell ref="D18:R22"/>
    <mergeCell ref="D15:R16"/>
    <mergeCell ref="T17:X17"/>
    <mergeCell ref="AB4:AB5"/>
    <mergeCell ref="AD4:AD5"/>
    <mergeCell ref="L8:Y8"/>
    <mergeCell ref="L6:Y7"/>
    <mergeCell ref="M9:X9"/>
  </mergeCells>
  <printOptions horizontalCentered="1"/>
  <pageMargins left="0.4" right="0.3" top="0.4" bottom="0.4" header="0.4" footer="0.4"/>
  <drawing r:id="rId1"/>
</worksheet>
</file>

<file path=xl/worksheets/sheet9.xml><?xml version="1.0" encoding="utf-8"?>
<worksheet xmlns="http://schemas.openxmlformats.org/spreadsheetml/2006/main" xmlns:r="http://schemas.openxmlformats.org/officeDocument/2006/relationships">
  <sheetPr>
    <tabColor rgb="FFFF0000"/>
  </sheetPr>
  <dimension ref="B2:AI260"/>
  <sheetViews>
    <sheetView workbookViewId="0">
      <selection activeCell="M6" sqref="M6"/>
    </sheetView>
  </sheetViews>
  <sheetFormatPr defaultColWidth="9.140625" defaultRowHeight="14.25"/>
  <cols>
    <col min="1" max="1" width="3.85546875" style="1634" customWidth="1"/>
    <col min="2" max="2" width="13.85546875" style="1635" customWidth="1"/>
    <col min="3" max="8" width="13.85546875" style="1634" customWidth="1"/>
    <col min="9" max="9" width="5.5703125" style="1634" customWidth="1"/>
    <col min="10" max="12" width="9.140625" style="1634" customWidth="1"/>
    <col min="13" max="19" width="10.28515625" customWidth="1"/>
    <col min="20" max="20" width="9.140625" customWidth="1"/>
    <col min="21" max="22" width="10.28515625" customWidth="1"/>
    <col min="23" max="23" width="12.28515625" customWidth="1"/>
    <col min="24" max="24" width="10.85546875" customWidth="1"/>
    <col min="25" max="34" width="10.28515625" customWidth="1"/>
    <col min="35" max="39" width="9.140625" style="1634" customWidth="1"/>
    <col min="40" max="16384" width="9.140625" style="1634"/>
  </cols>
  <sheetData>
    <row r="2" spans="2:34" ht="14.1" customHeight="1">
      <c r="B2" s="2427" t="str">
        <f>IF(DATA!CL$274=1,"AP New DA  Arrears Calculator","TS New DA  Arrears Calculator")</f>
        <v>AP New DA  Arrears Calculator</v>
      </c>
      <c r="C2" s="2427"/>
      <c r="D2" s="2427"/>
      <c r="E2" s="2427"/>
      <c r="F2" s="2427"/>
      <c r="G2" s="2427"/>
      <c r="H2" s="2427"/>
      <c r="M2" s="1636"/>
      <c r="N2" s="1636"/>
      <c r="O2" s="1636"/>
      <c r="P2" s="1636"/>
      <c r="Q2" s="1636"/>
      <c r="R2" s="1636"/>
      <c r="S2" s="1636"/>
      <c r="T2" s="1636"/>
      <c r="U2" s="1636"/>
      <c r="V2" s="1636"/>
      <c r="W2" s="1636"/>
      <c r="X2" s="1636"/>
      <c r="Y2" s="1636"/>
      <c r="Z2" s="1636"/>
      <c r="AA2" s="1636"/>
      <c r="AB2" s="1636"/>
      <c r="AC2" s="1636"/>
      <c r="AD2" s="1636"/>
      <c r="AE2" s="1636"/>
      <c r="AF2" s="1636"/>
      <c r="AG2" s="1636"/>
      <c r="AH2" s="1636"/>
    </row>
    <row r="3" spans="2:34" ht="14.1" customHeight="1">
      <c r="B3" s="2427"/>
      <c r="C3" s="2427"/>
      <c r="D3" s="2427"/>
      <c r="E3" s="2427"/>
      <c r="F3" s="2427"/>
      <c r="G3" s="2427"/>
      <c r="H3" s="2427"/>
    </row>
    <row r="4" spans="2:34" ht="10.5" customHeight="1">
      <c r="B4" s="1637"/>
      <c r="C4" s="1637"/>
      <c r="D4" s="1637"/>
      <c r="E4" s="1637"/>
      <c r="F4" s="1637"/>
      <c r="G4" s="1637"/>
      <c r="H4" s="1637"/>
    </row>
    <row r="5" spans="2:34" s="1636" customFormat="1" ht="20.100000000000001" customHeight="1">
      <c r="B5" s="2423" t="s">
        <v>978</v>
      </c>
      <c r="C5" s="2424"/>
      <c r="D5" s="2424"/>
      <c r="E5" s="2424"/>
      <c r="F5" s="1638"/>
      <c r="G5" s="1639"/>
      <c r="H5" s="1640"/>
      <c r="I5" s="1641"/>
      <c r="M5"/>
      <c r="N5"/>
      <c r="O5"/>
      <c r="P5"/>
      <c r="Q5"/>
      <c r="R5"/>
      <c r="S5"/>
      <c r="T5"/>
      <c r="U5"/>
      <c r="V5"/>
      <c r="W5"/>
      <c r="X5"/>
      <c r="Y5"/>
      <c r="Z5"/>
      <c r="AA5"/>
      <c r="AB5"/>
      <c r="AC5"/>
      <c r="AD5"/>
      <c r="AE5"/>
      <c r="AF5"/>
      <c r="AG5"/>
      <c r="AH5"/>
    </row>
    <row r="6" spans="2:34" s="1636" customFormat="1" ht="20.100000000000001" customHeight="1">
      <c r="B6" s="2423" t="s">
        <v>979</v>
      </c>
      <c r="C6" s="2424"/>
      <c r="D6" s="2424"/>
      <c r="E6" s="2424"/>
      <c r="F6" s="1642"/>
      <c r="G6" s="1639"/>
      <c r="H6" s="1640"/>
      <c r="I6" s="1641"/>
      <c r="M6"/>
      <c r="N6"/>
      <c r="O6"/>
      <c r="P6"/>
      <c r="Q6"/>
      <c r="R6"/>
      <c r="S6"/>
      <c r="T6"/>
      <c r="U6"/>
      <c r="V6"/>
      <c r="W6"/>
      <c r="X6"/>
      <c r="Y6"/>
      <c r="Z6"/>
      <c r="AA6"/>
      <c r="AB6"/>
      <c r="AC6"/>
      <c r="AD6"/>
      <c r="AE6"/>
      <c r="AF6"/>
      <c r="AG6"/>
      <c r="AH6"/>
    </row>
    <row r="7" spans="2:34" s="1636" customFormat="1" ht="20.100000000000001" customHeight="1">
      <c r="B7" s="2430" t="s">
        <v>941</v>
      </c>
      <c r="C7" s="2431"/>
      <c r="D7" s="2431"/>
      <c r="E7" s="2431"/>
      <c r="F7" s="1643"/>
      <c r="G7" s="1644"/>
      <c r="H7" s="1645"/>
      <c r="I7" s="1641"/>
      <c r="M7"/>
      <c r="N7"/>
      <c r="O7"/>
      <c r="P7"/>
      <c r="Q7"/>
      <c r="R7"/>
      <c r="S7"/>
      <c r="T7"/>
      <c r="U7"/>
      <c r="V7"/>
      <c r="W7"/>
      <c r="X7"/>
      <c r="Y7"/>
      <c r="Z7"/>
      <c r="AA7"/>
      <c r="AB7"/>
      <c r="AC7"/>
      <c r="AD7"/>
      <c r="AE7"/>
      <c r="AF7"/>
      <c r="AG7"/>
      <c r="AH7"/>
    </row>
    <row r="8" spans="2:34" s="1636" customFormat="1" ht="20.100000000000001" hidden="1" customHeight="1">
      <c r="B8" s="1646" t="s">
        <v>958</v>
      </c>
      <c r="C8" s="1647"/>
      <c r="D8" s="1647"/>
      <c r="E8" s="1647"/>
      <c r="F8" s="1648"/>
      <c r="G8" s="1649"/>
      <c r="H8" s="1650"/>
      <c r="I8" s="1641"/>
      <c r="M8"/>
      <c r="N8"/>
      <c r="O8"/>
      <c r="P8"/>
      <c r="Q8"/>
      <c r="R8"/>
      <c r="S8"/>
      <c r="T8"/>
      <c r="U8"/>
      <c r="V8"/>
      <c r="W8"/>
      <c r="X8"/>
      <c r="Y8"/>
      <c r="Z8"/>
      <c r="AA8"/>
      <c r="AB8"/>
      <c r="AC8"/>
      <c r="AD8"/>
      <c r="AE8"/>
      <c r="AF8"/>
      <c r="AG8"/>
      <c r="AH8"/>
    </row>
    <row r="9" spans="2:34" s="1636" customFormat="1" ht="20.100000000000001" customHeight="1">
      <c r="B9" s="2423" t="s">
        <v>940</v>
      </c>
      <c r="C9" s="2424"/>
      <c r="D9" s="2424"/>
      <c r="E9" s="2424"/>
      <c r="F9" s="1643"/>
      <c r="G9" s="1651"/>
      <c r="H9" s="1640"/>
      <c r="I9" s="1641"/>
      <c r="M9"/>
      <c r="N9"/>
      <c r="O9"/>
      <c r="P9"/>
      <c r="Q9"/>
      <c r="R9"/>
      <c r="S9"/>
      <c r="T9"/>
      <c r="U9"/>
      <c r="V9"/>
      <c r="W9"/>
      <c r="X9"/>
      <c r="Y9"/>
      <c r="Z9"/>
      <c r="AA9"/>
      <c r="AB9"/>
      <c r="AC9"/>
      <c r="AD9"/>
      <c r="AE9"/>
      <c r="AF9"/>
      <c r="AG9"/>
      <c r="AH9"/>
    </row>
    <row r="10" spans="2:34" s="1636" customFormat="1" ht="20.100000000000001" customHeight="1">
      <c r="B10" s="2429" t="s">
        <v>866</v>
      </c>
      <c r="C10" s="2429"/>
      <c r="D10" s="2429"/>
      <c r="E10" s="2429"/>
      <c r="F10" s="1643"/>
      <c r="G10" s="1639"/>
      <c r="H10" s="1640"/>
      <c r="I10" s="1641"/>
      <c r="M10"/>
      <c r="N10"/>
      <c r="O10"/>
      <c r="P10"/>
      <c r="Q10"/>
      <c r="R10"/>
      <c r="S10"/>
      <c r="T10"/>
      <c r="U10"/>
      <c r="V10"/>
      <c r="W10"/>
      <c r="X10"/>
      <c r="Y10"/>
      <c r="Z10"/>
      <c r="AA10"/>
      <c r="AB10"/>
      <c r="AC10"/>
      <c r="AD10"/>
      <c r="AE10"/>
      <c r="AF10"/>
      <c r="AG10"/>
      <c r="AH10"/>
    </row>
    <row r="11" spans="2:34" customFormat="1" ht="20.100000000000001" customHeight="1">
      <c r="B11" s="2432" t="s">
        <v>867</v>
      </c>
      <c r="C11" s="2433"/>
      <c r="D11" s="2433"/>
      <c r="E11" s="2433"/>
      <c r="F11" s="1652"/>
      <c r="G11" s="1653"/>
      <c r="H11" s="1654"/>
      <c r="I11" s="1655"/>
      <c r="M11" s="1636"/>
      <c r="N11" s="1636"/>
      <c r="O11" s="1636"/>
      <c r="P11" s="1636"/>
      <c r="Q11" s="1636"/>
      <c r="R11" s="1636"/>
      <c r="S11" s="1636"/>
      <c r="T11" s="1636"/>
      <c r="U11" s="1636"/>
      <c r="V11" s="1636"/>
      <c r="W11" s="1636"/>
      <c r="X11" s="1636"/>
      <c r="Y11" s="1636"/>
      <c r="Z11" s="1636"/>
      <c r="AA11" s="1636"/>
      <c r="AB11" s="1636"/>
      <c r="AC11" s="1636"/>
      <c r="AD11" s="1636"/>
      <c r="AE11" s="1636"/>
      <c r="AF11" s="1636"/>
      <c r="AG11" s="1636"/>
      <c r="AH11" s="1636"/>
    </row>
    <row r="12" spans="2:34">
      <c r="M12" s="1636"/>
      <c r="N12" s="1636"/>
      <c r="O12" s="1636"/>
      <c r="P12" s="1636"/>
      <c r="Q12" s="1636"/>
      <c r="R12" s="1636"/>
      <c r="S12" s="1636"/>
      <c r="T12" s="1636"/>
      <c r="U12" s="1636"/>
      <c r="V12" s="1636"/>
      <c r="W12" s="1636"/>
      <c r="X12" s="1636"/>
      <c r="Y12" s="1636"/>
      <c r="Z12" s="1636"/>
      <c r="AA12" s="1636"/>
      <c r="AB12" s="1636"/>
      <c r="AC12" s="1636"/>
      <c r="AD12" s="1636"/>
      <c r="AE12" s="1636"/>
      <c r="AF12" s="1636"/>
      <c r="AG12" s="1636"/>
      <c r="AH12" s="1636"/>
    </row>
    <row r="13" spans="2:34" ht="18">
      <c r="B13" s="2425" t="str">
        <f>IF(DATA!CL$274=1,"AP Teachers &amp; Employees July 2018 - 30.392% ","TS Teachers &amp; Employees July 2019 - 38.776% ")</f>
        <v xml:space="preserve">AP Teachers &amp; Employees July 2018 - 30.392% </v>
      </c>
      <c r="C13" s="2425"/>
      <c r="D13" s="2425"/>
      <c r="E13" s="2425"/>
      <c r="F13" s="2425"/>
      <c r="G13" s="2425"/>
      <c r="H13" s="2425"/>
    </row>
    <row r="14" spans="2:34">
      <c r="B14" s="1656"/>
    </row>
    <row r="15" spans="2:34" s="1657" customFormat="1" ht="28.5">
      <c r="B15" s="1658" t="s">
        <v>258</v>
      </c>
      <c r="C15" s="1658" t="s">
        <v>349</v>
      </c>
      <c r="D15" s="1658" t="s">
        <v>886</v>
      </c>
      <c r="E15" s="1658" t="s">
        <v>887</v>
      </c>
      <c r="F15" s="1658" t="s">
        <v>888</v>
      </c>
      <c r="G15" s="1658" t="str">
        <f>IF(V190=T154,"CPS Adjustment 10%","PF Adjustment")</f>
        <v>PF Adjustment</v>
      </c>
      <c r="H15" s="1658" t="str">
        <f>IF(V190=T154,"CPS Cash 90%","PF Cash")</f>
        <v>PF Cash</v>
      </c>
      <c r="I15" s="1659"/>
      <c r="M15"/>
      <c r="N15"/>
      <c r="O15"/>
      <c r="P15"/>
      <c r="Q15"/>
      <c r="R15"/>
      <c r="S15"/>
      <c r="T15"/>
      <c r="U15"/>
      <c r="V15"/>
      <c r="W15"/>
      <c r="X15"/>
      <c r="Y15"/>
      <c r="Z15"/>
      <c r="AA15"/>
      <c r="AB15"/>
      <c r="AC15"/>
      <c r="AD15"/>
      <c r="AE15"/>
      <c r="AF15"/>
      <c r="AG15"/>
      <c r="AH15"/>
    </row>
    <row r="16" spans="2:34" s="1657" customFormat="1" ht="20.100000000000001" customHeight="1">
      <c r="B16" s="2426" t="str">
        <f>IF(DATA!CL$274=1,"July 2018 DA","Jan 2019 DA")</f>
        <v>July 2018 DA</v>
      </c>
      <c r="C16" s="2426"/>
      <c r="D16" s="1660" t="str">
        <f>IF(DATA!CL$274=1,"30.392%","38.776%")</f>
        <v>30.392%</v>
      </c>
      <c r="E16" s="1661" t="str">
        <f>IF(DATA!CL$274=1,"27.248%","33.536%")</f>
        <v>27.248%</v>
      </c>
      <c r="F16" s="1662">
        <f>D16-E16</f>
        <v>3.1440000000000023E-2</v>
      </c>
      <c r="G16" s="2428" t="s">
        <v>550</v>
      </c>
      <c r="H16" s="2428"/>
      <c r="I16" s="1659"/>
      <c r="M16"/>
      <c r="N16"/>
      <c r="O16"/>
      <c r="P16"/>
      <c r="Q16"/>
      <c r="R16"/>
      <c r="S16"/>
      <c r="T16"/>
      <c r="U16"/>
      <c r="V16"/>
      <c r="W16"/>
      <c r="X16"/>
      <c r="Y16"/>
      <c r="Z16"/>
      <c r="AA16"/>
      <c r="AB16"/>
      <c r="AC16"/>
      <c r="AD16"/>
      <c r="AE16"/>
      <c r="AF16"/>
      <c r="AG16"/>
      <c r="AH16"/>
    </row>
    <row r="17" spans="2:34" s="1657" customFormat="1" ht="18" customHeight="1">
      <c r="B17" s="1663">
        <f>IF(DATA!CL$274=1,M154,"")</f>
        <v>43282</v>
      </c>
      <c r="C17" s="1664">
        <f>IF(B17="","",Z198)</f>
        <v>19500</v>
      </c>
      <c r="D17" s="1664">
        <f>IF(B17="","",ROUND(C17*D$16,0))</f>
        <v>5926</v>
      </c>
      <c r="E17" s="1664">
        <f>IF(B17="","",ROUND(C17*E$16,0))</f>
        <v>5313</v>
      </c>
      <c r="F17" s="1664">
        <f>IF(B17="","",(D17-E17))</f>
        <v>613</v>
      </c>
      <c r="G17" s="1665">
        <f>IF(V$190=T$154,ROUND(F17*10%,0),F17)</f>
        <v>613</v>
      </c>
      <c r="H17" s="1666">
        <f>IF(B17="","",(IF(V$190=T$154,ROUND(F17*90%,0),0)))</f>
        <v>0</v>
      </c>
      <c r="I17" s="1659"/>
      <c r="K17" s="1667"/>
      <c r="L17" s="1667"/>
      <c r="M17"/>
      <c r="N17"/>
      <c r="O17"/>
      <c r="P17"/>
      <c r="Q17"/>
      <c r="R17"/>
      <c r="S17"/>
      <c r="T17"/>
      <c r="U17"/>
      <c r="V17"/>
      <c r="W17"/>
      <c r="X17"/>
      <c r="Y17"/>
      <c r="Z17"/>
      <c r="AA17"/>
      <c r="AB17"/>
      <c r="AC17"/>
      <c r="AD17"/>
      <c r="AE17"/>
      <c r="AF17"/>
      <c r="AG17"/>
      <c r="AH17"/>
    </row>
    <row r="18" spans="2:34" s="1657" customFormat="1" ht="18" customHeight="1">
      <c r="B18" s="1663">
        <f>IF(DATA!CL$274=1,M155,"")</f>
        <v>43313</v>
      </c>
      <c r="C18" s="1664">
        <f t="shared" ref="C18:C28" si="0">IF(B18="","",Z199)</f>
        <v>20050</v>
      </c>
      <c r="D18" s="1664">
        <f t="shared" ref="D18:D28" si="1">IF(B18="","",ROUND(C18*D$16,0))</f>
        <v>6094</v>
      </c>
      <c r="E18" s="1664">
        <f t="shared" ref="E18:E28" si="2">IF(B18="","",ROUND(C18*E$16,0))</f>
        <v>5463</v>
      </c>
      <c r="F18" s="1664">
        <f t="shared" ref="F18:F28" si="3">IF(B18="","",(D18-E18))</f>
        <v>631</v>
      </c>
      <c r="G18" s="1665">
        <f t="shared" ref="G18:G28" si="4">IF(V$190=T$154,ROUND(F18*10%,0),F18)</f>
        <v>631</v>
      </c>
      <c r="H18" s="1666">
        <f t="shared" ref="H18:H28" si="5">IF(B18="","",(IF(V$190=T$154,ROUND(F18*90%,0),0)))</f>
        <v>0</v>
      </c>
      <c r="I18" s="1659"/>
      <c r="K18" s="1667"/>
      <c r="L18" s="1667"/>
      <c r="M18"/>
      <c r="N18"/>
      <c r="O18"/>
      <c r="P18"/>
      <c r="Q18"/>
      <c r="R18"/>
      <c r="S18"/>
      <c r="T18"/>
      <c r="U18"/>
      <c r="V18"/>
      <c r="W18"/>
      <c r="X18"/>
      <c r="Y18"/>
      <c r="Z18"/>
      <c r="AA18"/>
      <c r="AB18"/>
      <c r="AC18"/>
      <c r="AD18"/>
      <c r="AE18"/>
      <c r="AF18"/>
      <c r="AG18"/>
      <c r="AH18"/>
    </row>
    <row r="19" spans="2:34" s="1657" customFormat="1" ht="18" customHeight="1">
      <c r="B19" s="1663">
        <f>IF(DATA!CL$274=1,M156,"")</f>
        <v>43344</v>
      </c>
      <c r="C19" s="1664">
        <f t="shared" si="0"/>
        <v>20050</v>
      </c>
      <c r="D19" s="1664">
        <f t="shared" si="1"/>
        <v>6094</v>
      </c>
      <c r="E19" s="1664">
        <f t="shared" si="2"/>
        <v>5463</v>
      </c>
      <c r="F19" s="1664">
        <f t="shared" si="3"/>
        <v>631</v>
      </c>
      <c r="G19" s="1668">
        <f t="shared" si="4"/>
        <v>631</v>
      </c>
      <c r="H19" s="1669">
        <f t="shared" si="5"/>
        <v>0</v>
      </c>
      <c r="I19" s="1659"/>
      <c r="M19"/>
      <c r="N19"/>
      <c r="O19"/>
      <c r="P19"/>
      <c r="Q19"/>
      <c r="R19"/>
      <c r="S19"/>
      <c r="T19"/>
      <c r="U19"/>
      <c r="V19"/>
      <c r="W19"/>
      <c r="X19"/>
      <c r="Y19"/>
      <c r="Z19"/>
      <c r="AA19"/>
      <c r="AB19"/>
      <c r="AC19"/>
      <c r="AD19"/>
      <c r="AE19"/>
      <c r="AF19"/>
      <c r="AG19"/>
      <c r="AH19"/>
    </row>
    <row r="20" spans="2:34" s="1657" customFormat="1" ht="18" customHeight="1">
      <c r="B20" s="1663">
        <f>IF(DATA!CL$274=1,M157,"")</f>
        <v>43374</v>
      </c>
      <c r="C20" s="1664">
        <f t="shared" si="0"/>
        <v>20050</v>
      </c>
      <c r="D20" s="1664">
        <f t="shared" si="1"/>
        <v>6094</v>
      </c>
      <c r="E20" s="1664">
        <f t="shared" si="2"/>
        <v>5463</v>
      </c>
      <c r="F20" s="1664">
        <f t="shared" si="3"/>
        <v>631</v>
      </c>
      <c r="G20" s="1668">
        <f t="shared" si="4"/>
        <v>631</v>
      </c>
      <c r="H20" s="1669">
        <f t="shared" si="5"/>
        <v>0</v>
      </c>
      <c r="I20" s="1659"/>
      <c r="M20"/>
      <c r="N20"/>
      <c r="O20"/>
      <c r="P20"/>
      <c r="Q20"/>
      <c r="R20"/>
      <c r="S20"/>
      <c r="T20"/>
      <c r="U20"/>
      <c r="V20"/>
      <c r="W20"/>
      <c r="X20"/>
      <c r="Y20"/>
      <c r="Z20"/>
      <c r="AA20"/>
      <c r="AB20"/>
      <c r="AC20"/>
      <c r="AD20"/>
      <c r="AE20"/>
      <c r="AF20"/>
      <c r="AG20"/>
      <c r="AH20"/>
    </row>
    <row r="21" spans="2:34" s="1657" customFormat="1" ht="18" customHeight="1">
      <c r="B21" s="1663">
        <f>IF(DATA!CL$274=1,M158,"")</f>
        <v>43405</v>
      </c>
      <c r="C21" s="1664">
        <f t="shared" si="0"/>
        <v>20050</v>
      </c>
      <c r="D21" s="1664">
        <f t="shared" si="1"/>
        <v>6094</v>
      </c>
      <c r="E21" s="1664">
        <f t="shared" si="2"/>
        <v>5463</v>
      </c>
      <c r="F21" s="1664">
        <f t="shared" si="3"/>
        <v>631</v>
      </c>
      <c r="G21" s="1668">
        <f t="shared" si="4"/>
        <v>631</v>
      </c>
      <c r="H21" s="1669">
        <f t="shared" si="5"/>
        <v>0</v>
      </c>
      <c r="I21" s="1659"/>
      <c r="M21"/>
      <c r="N21"/>
      <c r="O21"/>
      <c r="P21"/>
      <c r="Q21"/>
      <c r="R21"/>
      <c r="S21"/>
      <c r="T21"/>
      <c r="U21"/>
      <c r="V21"/>
      <c r="W21"/>
      <c r="X21"/>
      <c r="Y21"/>
      <c r="Z21"/>
      <c r="AA21"/>
      <c r="AB21"/>
      <c r="AC21"/>
      <c r="AD21"/>
      <c r="AE21"/>
      <c r="AF21"/>
      <c r="AG21"/>
      <c r="AH21"/>
    </row>
    <row r="22" spans="2:34" s="1657" customFormat="1" ht="18" customHeight="1">
      <c r="B22" s="1663">
        <f>IF(DATA!CL$274=1,M159,"")</f>
        <v>43435</v>
      </c>
      <c r="C22" s="1664">
        <f t="shared" si="0"/>
        <v>20050</v>
      </c>
      <c r="D22" s="1664">
        <f t="shared" si="1"/>
        <v>6094</v>
      </c>
      <c r="E22" s="1664">
        <f t="shared" si="2"/>
        <v>5463</v>
      </c>
      <c r="F22" s="1664">
        <f t="shared" si="3"/>
        <v>631</v>
      </c>
      <c r="G22" s="1668">
        <f t="shared" si="4"/>
        <v>631</v>
      </c>
      <c r="H22" s="1669">
        <f t="shared" si="5"/>
        <v>0</v>
      </c>
      <c r="M22"/>
      <c r="N22"/>
      <c r="O22"/>
      <c r="P22"/>
      <c r="Q22"/>
      <c r="R22"/>
      <c r="S22"/>
      <c r="T22"/>
      <c r="U22"/>
      <c r="V22"/>
      <c r="W22"/>
      <c r="X22"/>
      <c r="Y22"/>
      <c r="Z22"/>
      <c r="AA22"/>
      <c r="AB22"/>
      <c r="AC22"/>
      <c r="AD22"/>
      <c r="AE22"/>
      <c r="AF22"/>
      <c r="AG22"/>
      <c r="AH22"/>
    </row>
    <row r="23" spans="2:34" s="1657" customFormat="1" ht="18" customHeight="1">
      <c r="B23" s="1663">
        <f>IF(DATA!CL$274=1,M160,"")</f>
        <v>43466</v>
      </c>
      <c r="C23" s="1664">
        <f t="shared" si="0"/>
        <v>20050</v>
      </c>
      <c r="D23" s="1664">
        <f t="shared" si="1"/>
        <v>6094</v>
      </c>
      <c r="E23" s="1664">
        <f t="shared" si="2"/>
        <v>5463</v>
      </c>
      <c r="F23" s="1664">
        <f t="shared" si="3"/>
        <v>631</v>
      </c>
      <c r="G23" s="1668">
        <f t="shared" si="4"/>
        <v>631</v>
      </c>
      <c r="H23" s="1669">
        <f t="shared" si="5"/>
        <v>0</v>
      </c>
      <c r="M23"/>
      <c r="N23"/>
      <c r="O23"/>
      <c r="P23"/>
      <c r="Q23"/>
      <c r="R23"/>
      <c r="S23"/>
      <c r="T23"/>
      <c r="U23"/>
      <c r="V23"/>
      <c r="W23"/>
      <c r="X23"/>
      <c r="Y23"/>
      <c r="Z23"/>
      <c r="AA23"/>
      <c r="AB23"/>
      <c r="AC23"/>
      <c r="AD23"/>
      <c r="AE23"/>
      <c r="AF23"/>
      <c r="AG23"/>
      <c r="AH23"/>
    </row>
    <row r="24" spans="2:34" s="1657" customFormat="1" ht="18" customHeight="1">
      <c r="B24" s="1663">
        <f>IF(DATA!CL$274=1,M161,"")</f>
        <v>43497</v>
      </c>
      <c r="C24" s="1664">
        <f t="shared" si="0"/>
        <v>20050</v>
      </c>
      <c r="D24" s="1664">
        <f t="shared" si="1"/>
        <v>6094</v>
      </c>
      <c r="E24" s="1664">
        <f t="shared" si="2"/>
        <v>5463</v>
      </c>
      <c r="F24" s="1664">
        <f t="shared" si="3"/>
        <v>631</v>
      </c>
      <c r="G24" s="1668">
        <f t="shared" si="4"/>
        <v>631</v>
      </c>
      <c r="H24" s="1669">
        <f t="shared" si="5"/>
        <v>0</v>
      </c>
      <c r="M24"/>
      <c r="N24"/>
      <c r="O24"/>
      <c r="P24"/>
      <c r="Q24"/>
      <c r="R24"/>
      <c r="S24"/>
      <c r="T24"/>
      <c r="U24"/>
      <c r="V24"/>
      <c r="W24"/>
      <c r="X24"/>
      <c r="Y24"/>
      <c r="Z24"/>
      <c r="AA24"/>
      <c r="AB24"/>
      <c r="AC24"/>
      <c r="AD24"/>
      <c r="AE24"/>
      <c r="AF24"/>
      <c r="AG24"/>
      <c r="AH24"/>
    </row>
    <row r="25" spans="2:34" s="1657" customFormat="1" ht="18" customHeight="1">
      <c r="B25" s="1663">
        <f>IF(DATA!CL$274=1,M162,"")</f>
        <v>43525</v>
      </c>
      <c r="C25" s="1664">
        <f t="shared" si="0"/>
        <v>20050</v>
      </c>
      <c r="D25" s="1664">
        <f t="shared" si="1"/>
        <v>6094</v>
      </c>
      <c r="E25" s="1664">
        <f t="shared" si="2"/>
        <v>5463</v>
      </c>
      <c r="F25" s="1664">
        <f t="shared" si="3"/>
        <v>631</v>
      </c>
      <c r="G25" s="1668">
        <f t="shared" si="4"/>
        <v>631</v>
      </c>
      <c r="H25" s="1669">
        <f t="shared" si="5"/>
        <v>0</v>
      </c>
      <c r="M25"/>
      <c r="N25"/>
      <c r="O25"/>
      <c r="P25"/>
      <c r="Q25"/>
      <c r="R25"/>
      <c r="S25"/>
      <c r="T25"/>
      <c r="U25"/>
      <c r="V25"/>
      <c r="W25"/>
      <c r="X25"/>
      <c r="Y25"/>
      <c r="Z25"/>
      <c r="AA25"/>
      <c r="AB25"/>
      <c r="AC25"/>
      <c r="AD25"/>
      <c r="AE25"/>
      <c r="AF25"/>
      <c r="AG25"/>
      <c r="AH25"/>
    </row>
    <row r="26" spans="2:34" s="1657" customFormat="1" ht="18" customHeight="1">
      <c r="B26" s="1663">
        <f>IF(DATA!CL$274=1,M163,"")</f>
        <v>43556</v>
      </c>
      <c r="C26" s="1664">
        <f t="shared" si="0"/>
        <v>20050</v>
      </c>
      <c r="D26" s="1664">
        <f t="shared" si="1"/>
        <v>6094</v>
      </c>
      <c r="E26" s="1664">
        <f t="shared" si="2"/>
        <v>5463</v>
      </c>
      <c r="F26" s="1664">
        <f t="shared" si="3"/>
        <v>631</v>
      </c>
      <c r="G26" s="1668">
        <f t="shared" si="4"/>
        <v>631</v>
      </c>
      <c r="H26" s="1669">
        <f t="shared" si="5"/>
        <v>0</v>
      </c>
      <c r="M26"/>
      <c r="N26"/>
      <c r="O26"/>
      <c r="P26"/>
      <c r="Q26"/>
      <c r="R26"/>
      <c r="S26"/>
      <c r="T26"/>
      <c r="U26"/>
      <c r="V26"/>
      <c r="W26"/>
      <c r="X26"/>
      <c r="Y26"/>
      <c r="Z26"/>
      <c r="AA26"/>
      <c r="AB26"/>
      <c r="AC26"/>
      <c r="AD26"/>
      <c r="AE26"/>
      <c r="AF26"/>
      <c r="AG26"/>
      <c r="AH26"/>
    </row>
    <row r="27" spans="2:34" s="1657" customFormat="1" ht="18" customHeight="1">
      <c r="B27" s="1663">
        <f>IF(DATA!CL$274=1,M164,"")</f>
        <v>43586</v>
      </c>
      <c r="C27" s="1664">
        <f t="shared" si="0"/>
        <v>20050</v>
      </c>
      <c r="D27" s="1664">
        <f t="shared" si="1"/>
        <v>6094</v>
      </c>
      <c r="E27" s="1664">
        <f t="shared" si="2"/>
        <v>5463</v>
      </c>
      <c r="F27" s="1664">
        <f t="shared" si="3"/>
        <v>631</v>
      </c>
      <c r="G27" s="1670">
        <f t="shared" si="4"/>
        <v>631</v>
      </c>
      <c r="H27" s="1671">
        <f t="shared" si="5"/>
        <v>0</v>
      </c>
      <c r="M27"/>
      <c r="N27"/>
      <c r="O27"/>
      <c r="P27"/>
      <c r="Q27"/>
      <c r="R27"/>
      <c r="S27"/>
      <c r="T27"/>
      <c r="U27"/>
      <c r="V27"/>
      <c r="W27"/>
      <c r="X27"/>
      <c r="Y27"/>
      <c r="Z27"/>
      <c r="AA27"/>
      <c r="AB27"/>
      <c r="AC27"/>
      <c r="AD27"/>
      <c r="AE27"/>
      <c r="AF27"/>
      <c r="AG27"/>
      <c r="AH27"/>
    </row>
    <row r="28" spans="2:34" s="1657" customFormat="1" ht="18" customHeight="1">
      <c r="B28" s="1663">
        <f>IF(DATA!CL$274=1,M165,"")</f>
        <v>43617</v>
      </c>
      <c r="C28" s="1664">
        <f t="shared" si="0"/>
        <v>20050</v>
      </c>
      <c r="D28" s="1664">
        <f t="shared" si="1"/>
        <v>6094</v>
      </c>
      <c r="E28" s="1664">
        <f t="shared" si="2"/>
        <v>5463</v>
      </c>
      <c r="F28" s="1664">
        <f t="shared" si="3"/>
        <v>631</v>
      </c>
      <c r="G28" s="1668">
        <f t="shared" si="4"/>
        <v>631</v>
      </c>
      <c r="H28" s="1669">
        <f t="shared" si="5"/>
        <v>0</v>
      </c>
      <c r="M28"/>
      <c r="N28"/>
      <c r="O28"/>
      <c r="P28"/>
      <c r="Q28"/>
      <c r="R28"/>
      <c r="S28"/>
      <c r="T28"/>
      <c r="U28"/>
      <c r="V28"/>
      <c r="W28"/>
      <c r="X28"/>
      <c r="Y28"/>
      <c r="Z28"/>
      <c r="AA28"/>
      <c r="AB28"/>
      <c r="AC28"/>
      <c r="AD28"/>
      <c r="AE28"/>
      <c r="AF28"/>
      <c r="AG28"/>
      <c r="AH28"/>
    </row>
    <row r="29" spans="2:34" s="1657" customFormat="1" ht="18" customHeight="1">
      <c r="B29" s="1672">
        <v>43647</v>
      </c>
      <c r="C29" s="1664">
        <f t="shared" ref="C29:C44" si="6">Z210</f>
        <v>20050</v>
      </c>
      <c r="D29" s="1664">
        <f t="shared" ref="D29:D44" si="7">ROUND(C29*D$16,0)</f>
        <v>6094</v>
      </c>
      <c r="E29" s="1673">
        <f t="shared" ref="E29:E44" si="8">ROUND(C29*E$16,0)</f>
        <v>5463</v>
      </c>
      <c r="F29" s="1673">
        <f t="shared" ref="F29:F44" si="9">D29-E29</f>
        <v>631</v>
      </c>
      <c r="G29" s="1664">
        <f t="shared" ref="G29:G46" si="10">IF(V$190=T$154,ROUND(F29*10%,0),F29)</f>
        <v>631</v>
      </c>
      <c r="H29" s="1666">
        <f t="shared" ref="H29:H44" si="11">IF(V$190=T$154,ROUND(F29*90%,0),0)</f>
        <v>0</v>
      </c>
      <c r="M29"/>
      <c r="N29"/>
      <c r="O29"/>
      <c r="P29"/>
      <c r="Q29"/>
      <c r="R29"/>
      <c r="S29"/>
      <c r="T29"/>
      <c r="U29"/>
      <c r="V29"/>
      <c r="W29"/>
      <c r="X29"/>
      <c r="Y29"/>
      <c r="Z29"/>
      <c r="AA29"/>
      <c r="AB29"/>
      <c r="AC29"/>
      <c r="AD29"/>
      <c r="AE29"/>
      <c r="AF29"/>
      <c r="AG29"/>
      <c r="AH29"/>
    </row>
    <row r="30" spans="2:34" s="1657" customFormat="1" ht="18" customHeight="1">
      <c r="B30" s="1672">
        <v>43678</v>
      </c>
      <c r="C30" s="1664">
        <f t="shared" si="6"/>
        <v>20640</v>
      </c>
      <c r="D30" s="1664">
        <f t="shared" si="7"/>
        <v>6273</v>
      </c>
      <c r="E30" s="1673">
        <f t="shared" si="8"/>
        <v>5624</v>
      </c>
      <c r="F30" s="1673">
        <f t="shared" si="9"/>
        <v>649</v>
      </c>
      <c r="G30" s="1664">
        <f t="shared" si="10"/>
        <v>649</v>
      </c>
      <c r="H30" s="1666">
        <f t="shared" si="11"/>
        <v>0</v>
      </c>
      <c r="M30"/>
      <c r="N30"/>
      <c r="O30"/>
      <c r="P30"/>
      <c r="Q30"/>
      <c r="R30"/>
      <c r="S30"/>
      <c r="T30"/>
      <c r="U30"/>
      <c r="V30"/>
      <c r="W30"/>
      <c r="X30"/>
      <c r="Y30"/>
      <c r="Z30"/>
      <c r="AA30"/>
      <c r="AB30"/>
      <c r="AC30"/>
      <c r="AD30"/>
      <c r="AE30"/>
      <c r="AF30"/>
      <c r="AG30"/>
      <c r="AH30"/>
    </row>
    <row r="31" spans="2:34" s="1657" customFormat="1" ht="18" customHeight="1">
      <c r="B31" s="1672">
        <v>43709</v>
      </c>
      <c r="C31" s="1664">
        <f t="shared" si="6"/>
        <v>20640</v>
      </c>
      <c r="D31" s="1664">
        <f t="shared" si="7"/>
        <v>6273</v>
      </c>
      <c r="E31" s="1673">
        <f t="shared" si="8"/>
        <v>5624</v>
      </c>
      <c r="F31" s="1673">
        <f t="shared" si="9"/>
        <v>649</v>
      </c>
      <c r="G31" s="1664">
        <f t="shared" si="10"/>
        <v>649</v>
      </c>
      <c r="H31" s="1666">
        <f t="shared" si="11"/>
        <v>0</v>
      </c>
      <c r="M31"/>
      <c r="N31"/>
      <c r="O31"/>
      <c r="P31"/>
      <c r="Q31"/>
      <c r="R31"/>
      <c r="S31"/>
      <c r="T31"/>
      <c r="U31"/>
      <c r="V31"/>
      <c r="W31"/>
      <c r="X31"/>
      <c r="Y31"/>
      <c r="Z31"/>
      <c r="AA31"/>
      <c r="AB31"/>
      <c r="AC31"/>
      <c r="AD31"/>
      <c r="AE31"/>
      <c r="AF31"/>
      <c r="AG31"/>
      <c r="AH31"/>
    </row>
    <row r="32" spans="2:34" s="1657" customFormat="1" ht="18" customHeight="1">
      <c r="B32" s="1672">
        <v>43739</v>
      </c>
      <c r="C32" s="1664">
        <f t="shared" si="6"/>
        <v>20640</v>
      </c>
      <c r="D32" s="1664">
        <f t="shared" si="7"/>
        <v>6273</v>
      </c>
      <c r="E32" s="1673">
        <f t="shared" si="8"/>
        <v>5624</v>
      </c>
      <c r="F32" s="1673">
        <f t="shared" si="9"/>
        <v>649</v>
      </c>
      <c r="G32" s="1664">
        <f t="shared" si="10"/>
        <v>649</v>
      </c>
      <c r="H32" s="1666">
        <f t="shared" si="11"/>
        <v>0</v>
      </c>
      <c r="M32"/>
      <c r="N32"/>
      <c r="O32"/>
      <c r="P32"/>
      <c r="Q32"/>
      <c r="R32"/>
      <c r="S32"/>
      <c r="T32"/>
      <c r="U32"/>
      <c r="V32"/>
      <c r="W32"/>
      <c r="X32"/>
      <c r="Y32"/>
      <c r="Z32"/>
      <c r="AA32"/>
      <c r="AB32"/>
      <c r="AC32"/>
      <c r="AD32"/>
      <c r="AE32"/>
      <c r="AF32"/>
      <c r="AG32"/>
      <c r="AH32"/>
    </row>
    <row r="33" spans="2:34" s="1657" customFormat="1" ht="18" customHeight="1">
      <c r="B33" s="1672">
        <v>43770</v>
      </c>
      <c r="C33" s="1664">
        <f t="shared" si="6"/>
        <v>20640</v>
      </c>
      <c r="D33" s="1664">
        <f t="shared" si="7"/>
        <v>6273</v>
      </c>
      <c r="E33" s="1673">
        <f t="shared" si="8"/>
        <v>5624</v>
      </c>
      <c r="F33" s="1673">
        <f t="shared" si="9"/>
        <v>649</v>
      </c>
      <c r="G33" s="1664">
        <f t="shared" si="10"/>
        <v>649</v>
      </c>
      <c r="H33" s="1666">
        <f t="shared" si="11"/>
        <v>0</v>
      </c>
      <c r="M33"/>
      <c r="N33"/>
      <c r="O33"/>
      <c r="P33"/>
      <c r="Q33"/>
      <c r="R33"/>
      <c r="S33"/>
      <c r="T33"/>
      <c r="U33"/>
      <c r="V33"/>
      <c r="W33"/>
      <c r="X33"/>
      <c r="Y33"/>
      <c r="Z33"/>
      <c r="AA33"/>
      <c r="AB33"/>
      <c r="AC33"/>
      <c r="AD33"/>
      <c r="AE33"/>
      <c r="AF33"/>
      <c r="AG33"/>
      <c r="AH33"/>
    </row>
    <row r="34" spans="2:34" s="1657" customFormat="1" ht="18" customHeight="1">
      <c r="B34" s="1672">
        <v>43800</v>
      </c>
      <c r="C34" s="1664">
        <f t="shared" si="6"/>
        <v>20640</v>
      </c>
      <c r="D34" s="1664">
        <f t="shared" si="7"/>
        <v>6273</v>
      </c>
      <c r="E34" s="1673">
        <f t="shared" si="8"/>
        <v>5624</v>
      </c>
      <c r="F34" s="1673">
        <f t="shared" si="9"/>
        <v>649</v>
      </c>
      <c r="G34" s="1664">
        <f t="shared" si="10"/>
        <v>649</v>
      </c>
      <c r="H34" s="1666">
        <f t="shared" si="11"/>
        <v>0</v>
      </c>
      <c r="M34"/>
      <c r="N34"/>
      <c r="O34"/>
      <c r="P34"/>
      <c r="Q34"/>
      <c r="R34"/>
      <c r="S34"/>
      <c r="T34"/>
      <c r="U34"/>
      <c r="V34"/>
      <c r="W34"/>
      <c r="X34"/>
      <c r="Y34"/>
      <c r="Z34"/>
      <c r="AA34"/>
      <c r="AB34"/>
      <c r="AC34"/>
      <c r="AD34"/>
      <c r="AE34"/>
      <c r="AF34"/>
      <c r="AG34"/>
      <c r="AH34"/>
    </row>
    <row r="35" spans="2:34" s="1657" customFormat="1" ht="18" customHeight="1">
      <c r="B35" s="1672">
        <v>43831</v>
      </c>
      <c r="C35" s="1664">
        <f t="shared" si="6"/>
        <v>20640</v>
      </c>
      <c r="D35" s="1664">
        <f t="shared" si="7"/>
        <v>6273</v>
      </c>
      <c r="E35" s="1673">
        <f t="shared" si="8"/>
        <v>5624</v>
      </c>
      <c r="F35" s="1673">
        <f t="shared" si="9"/>
        <v>649</v>
      </c>
      <c r="G35" s="1664">
        <f t="shared" si="10"/>
        <v>649</v>
      </c>
      <c r="H35" s="1666">
        <f t="shared" si="11"/>
        <v>0</v>
      </c>
      <c r="M35"/>
      <c r="N35"/>
      <c r="O35"/>
      <c r="P35"/>
      <c r="Q35"/>
      <c r="R35"/>
      <c r="S35"/>
      <c r="T35"/>
      <c r="U35"/>
      <c r="V35"/>
      <c r="W35"/>
      <c r="X35"/>
      <c r="Y35"/>
      <c r="Z35"/>
      <c r="AA35"/>
      <c r="AB35"/>
      <c r="AC35"/>
      <c r="AD35"/>
      <c r="AE35"/>
      <c r="AF35"/>
      <c r="AG35"/>
      <c r="AH35"/>
    </row>
    <row r="36" spans="2:34" s="1657" customFormat="1" ht="18" customHeight="1">
      <c r="B36" s="1672">
        <v>43862</v>
      </c>
      <c r="C36" s="1664">
        <f t="shared" si="6"/>
        <v>20640</v>
      </c>
      <c r="D36" s="1664">
        <f t="shared" si="7"/>
        <v>6273</v>
      </c>
      <c r="E36" s="1673">
        <f t="shared" si="8"/>
        <v>5624</v>
      </c>
      <c r="F36" s="1673">
        <f t="shared" si="9"/>
        <v>649</v>
      </c>
      <c r="G36" s="1664">
        <f t="shared" si="10"/>
        <v>649</v>
      </c>
      <c r="H36" s="1666">
        <f t="shared" si="11"/>
        <v>0</v>
      </c>
      <c r="M36"/>
      <c r="N36"/>
      <c r="O36"/>
      <c r="P36"/>
      <c r="Q36"/>
      <c r="R36"/>
      <c r="S36"/>
      <c r="T36"/>
      <c r="U36"/>
      <c r="V36"/>
      <c r="W36"/>
      <c r="X36"/>
      <c r="Y36"/>
      <c r="Z36"/>
      <c r="AA36"/>
      <c r="AB36"/>
      <c r="AC36"/>
      <c r="AD36"/>
      <c r="AE36"/>
      <c r="AF36"/>
      <c r="AG36"/>
      <c r="AH36"/>
    </row>
    <row r="37" spans="2:34" s="1657" customFormat="1" ht="18" customHeight="1">
      <c r="B37" s="1672">
        <v>43891</v>
      </c>
      <c r="C37" s="1664">
        <f t="shared" si="6"/>
        <v>20640</v>
      </c>
      <c r="D37" s="1664">
        <f t="shared" si="7"/>
        <v>6273</v>
      </c>
      <c r="E37" s="1673">
        <f t="shared" si="8"/>
        <v>5624</v>
      </c>
      <c r="F37" s="1673">
        <f t="shared" si="9"/>
        <v>649</v>
      </c>
      <c r="G37" s="1664">
        <f t="shared" si="10"/>
        <v>649</v>
      </c>
      <c r="H37" s="1666">
        <f t="shared" si="11"/>
        <v>0</v>
      </c>
      <c r="M37"/>
      <c r="N37"/>
      <c r="O37"/>
      <c r="P37"/>
      <c r="Q37"/>
      <c r="R37"/>
      <c r="S37"/>
      <c r="T37"/>
      <c r="U37"/>
      <c r="V37"/>
      <c r="W37"/>
      <c r="X37"/>
      <c r="Y37"/>
      <c r="Z37"/>
      <c r="AA37"/>
      <c r="AB37"/>
      <c r="AC37"/>
      <c r="AD37"/>
      <c r="AE37"/>
      <c r="AF37"/>
      <c r="AG37"/>
      <c r="AH37"/>
    </row>
    <row r="38" spans="2:34" s="1657" customFormat="1" ht="18" customHeight="1">
      <c r="B38" s="1672">
        <v>43922</v>
      </c>
      <c r="C38" s="1664">
        <f t="shared" si="6"/>
        <v>20640</v>
      </c>
      <c r="D38" s="1664">
        <f t="shared" si="7"/>
        <v>6273</v>
      </c>
      <c r="E38" s="1673">
        <f t="shared" si="8"/>
        <v>5624</v>
      </c>
      <c r="F38" s="1673">
        <f t="shared" si="9"/>
        <v>649</v>
      </c>
      <c r="G38" s="1664">
        <f t="shared" si="10"/>
        <v>649</v>
      </c>
      <c r="H38" s="1666">
        <f t="shared" si="11"/>
        <v>0</v>
      </c>
      <c r="M38"/>
      <c r="N38"/>
      <c r="O38"/>
      <c r="P38"/>
      <c r="Q38"/>
      <c r="R38"/>
      <c r="S38"/>
      <c r="T38"/>
      <c r="U38"/>
      <c r="V38"/>
      <c r="W38"/>
      <c r="X38"/>
      <c r="Y38"/>
      <c r="Z38"/>
      <c r="AA38"/>
      <c r="AB38"/>
      <c r="AC38"/>
      <c r="AD38"/>
      <c r="AE38"/>
      <c r="AF38"/>
      <c r="AG38"/>
      <c r="AH38"/>
    </row>
    <row r="39" spans="2:34" s="1657" customFormat="1" ht="18" customHeight="1">
      <c r="B39" s="1672">
        <v>43952</v>
      </c>
      <c r="C39" s="1664">
        <f t="shared" si="6"/>
        <v>20640</v>
      </c>
      <c r="D39" s="1664">
        <f t="shared" si="7"/>
        <v>6273</v>
      </c>
      <c r="E39" s="1673">
        <f t="shared" si="8"/>
        <v>5624</v>
      </c>
      <c r="F39" s="1673">
        <f t="shared" si="9"/>
        <v>649</v>
      </c>
      <c r="G39" s="1664">
        <f t="shared" si="10"/>
        <v>649</v>
      </c>
      <c r="H39" s="1666">
        <f t="shared" si="11"/>
        <v>0</v>
      </c>
      <c r="M39"/>
      <c r="N39"/>
      <c r="O39"/>
      <c r="P39"/>
      <c r="Q39"/>
      <c r="R39"/>
      <c r="S39"/>
      <c r="T39"/>
      <c r="U39"/>
      <c r="V39"/>
      <c r="W39"/>
      <c r="X39"/>
      <c r="Y39"/>
      <c r="Z39"/>
      <c r="AA39"/>
      <c r="AB39"/>
      <c r="AC39"/>
      <c r="AD39"/>
      <c r="AE39"/>
      <c r="AF39"/>
      <c r="AG39"/>
      <c r="AH39"/>
    </row>
    <row r="40" spans="2:34" s="1657" customFormat="1" ht="18" customHeight="1">
      <c r="B40" s="1672">
        <v>43983</v>
      </c>
      <c r="C40" s="1664">
        <f t="shared" si="6"/>
        <v>20640</v>
      </c>
      <c r="D40" s="1664">
        <f t="shared" si="7"/>
        <v>6273</v>
      </c>
      <c r="E40" s="1673">
        <f t="shared" si="8"/>
        <v>5624</v>
      </c>
      <c r="F40" s="1673">
        <f t="shared" si="9"/>
        <v>649</v>
      </c>
      <c r="G40" s="1664">
        <f t="shared" si="10"/>
        <v>649</v>
      </c>
      <c r="H40" s="1666">
        <f t="shared" si="11"/>
        <v>0</v>
      </c>
      <c r="M40"/>
      <c r="N40"/>
      <c r="O40"/>
      <c r="P40"/>
      <c r="Q40"/>
      <c r="R40"/>
      <c r="S40"/>
      <c r="T40"/>
      <c r="U40"/>
      <c r="V40"/>
      <c r="W40"/>
      <c r="X40"/>
      <c r="Y40"/>
      <c r="Z40"/>
      <c r="AA40"/>
      <c r="AB40"/>
      <c r="AC40"/>
      <c r="AD40"/>
      <c r="AE40"/>
      <c r="AF40"/>
      <c r="AG40"/>
      <c r="AH40"/>
    </row>
    <row r="41" spans="2:34" s="1657" customFormat="1" ht="18" customHeight="1">
      <c r="B41" s="1672">
        <v>44013</v>
      </c>
      <c r="C41" s="1664">
        <f t="shared" si="6"/>
        <v>20640</v>
      </c>
      <c r="D41" s="1664">
        <f t="shared" si="7"/>
        <v>6273</v>
      </c>
      <c r="E41" s="1673">
        <f t="shared" si="8"/>
        <v>5624</v>
      </c>
      <c r="F41" s="1673">
        <f t="shared" si="9"/>
        <v>649</v>
      </c>
      <c r="G41" s="1664">
        <f t="shared" si="10"/>
        <v>649</v>
      </c>
      <c r="H41" s="1666">
        <f t="shared" si="11"/>
        <v>0</v>
      </c>
      <c r="M41"/>
      <c r="N41"/>
      <c r="O41"/>
      <c r="P41"/>
      <c r="Q41"/>
      <c r="R41"/>
      <c r="S41"/>
      <c r="T41"/>
      <c r="U41"/>
      <c r="V41"/>
      <c r="W41"/>
      <c r="X41"/>
      <c r="Y41"/>
      <c r="Z41"/>
      <c r="AA41"/>
      <c r="AB41"/>
      <c r="AC41"/>
      <c r="AD41"/>
      <c r="AE41"/>
      <c r="AF41"/>
      <c r="AG41"/>
      <c r="AH41"/>
    </row>
    <row r="42" spans="2:34" s="1657" customFormat="1" ht="18" customHeight="1">
      <c r="B42" s="1672">
        <v>44044</v>
      </c>
      <c r="C42" s="1664">
        <f t="shared" si="6"/>
        <v>21230</v>
      </c>
      <c r="D42" s="1664">
        <f>ROUND(C42*D$16,0)</f>
        <v>6452</v>
      </c>
      <c r="E42" s="1673">
        <f t="shared" si="8"/>
        <v>5785</v>
      </c>
      <c r="F42" s="1673">
        <f t="shared" si="9"/>
        <v>667</v>
      </c>
      <c r="G42" s="1664">
        <f t="shared" si="10"/>
        <v>667</v>
      </c>
      <c r="H42" s="1666">
        <f t="shared" si="11"/>
        <v>0</v>
      </c>
      <c r="M42"/>
      <c r="N42"/>
      <c r="O42"/>
      <c r="P42"/>
      <c r="Q42"/>
      <c r="R42"/>
      <c r="S42"/>
      <c r="T42"/>
      <c r="U42"/>
      <c r="V42"/>
      <c r="W42"/>
      <c r="X42"/>
      <c r="Y42"/>
      <c r="Z42"/>
      <c r="AA42"/>
      <c r="AB42"/>
      <c r="AC42"/>
      <c r="AD42"/>
      <c r="AE42"/>
      <c r="AF42"/>
      <c r="AG42"/>
      <c r="AH42"/>
    </row>
    <row r="43" spans="2:34" s="1657" customFormat="1" ht="18" customHeight="1">
      <c r="B43" s="1672">
        <v>44075</v>
      </c>
      <c r="C43" s="1664">
        <f t="shared" si="6"/>
        <v>21230</v>
      </c>
      <c r="D43" s="1664">
        <f t="shared" si="7"/>
        <v>6452</v>
      </c>
      <c r="E43" s="1673">
        <f t="shared" si="8"/>
        <v>5785</v>
      </c>
      <c r="F43" s="1673">
        <f t="shared" si="9"/>
        <v>667</v>
      </c>
      <c r="G43" s="1664">
        <f t="shared" si="10"/>
        <v>667</v>
      </c>
      <c r="H43" s="1666">
        <f t="shared" si="11"/>
        <v>0</v>
      </c>
      <c r="M43"/>
      <c r="N43"/>
      <c r="O43"/>
      <c r="P43"/>
      <c r="Q43"/>
      <c r="R43"/>
      <c r="S43"/>
      <c r="T43"/>
      <c r="U43"/>
      <c r="V43"/>
      <c r="W43"/>
      <c r="X43"/>
      <c r="Y43"/>
      <c r="Z43"/>
      <c r="AA43"/>
      <c r="AB43"/>
      <c r="AC43"/>
      <c r="AD43"/>
      <c r="AE43"/>
      <c r="AF43"/>
      <c r="AG43"/>
      <c r="AH43"/>
    </row>
    <row r="44" spans="2:34" s="1657" customFormat="1" ht="18" customHeight="1">
      <c r="B44" s="1674">
        <v>44105</v>
      </c>
      <c r="C44" s="1664">
        <f t="shared" si="6"/>
        <v>21230</v>
      </c>
      <c r="D44" s="1664">
        <f t="shared" si="7"/>
        <v>6452</v>
      </c>
      <c r="E44" s="1675">
        <f t="shared" si="8"/>
        <v>5785</v>
      </c>
      <c r="F44" s="1675">
        <f t="shared" si="9"/>
        <v>667</v>
      </c>
      <c r="G44" s="1664">
        <f t="shared" si="10"/>
        <v>667</v>
      </c>
      <c r="H44" s="1666">
        <f t="shared" si="11"/>
        <v>0</v>
      </c>
      <c r="M44"/>
      <c r="N44"/>
      <c r="O44"/>
      <c r="P44"/>
      <c r="Q44"/>
      <c r="R44"/>
      <c r="S44"/>
      <c r="T44"/>
      <c r="U44"/>
      <c r="V44"/>
      <c r="W44"/>
      <c r="X44"/>
      <c r="Y44"/>
      <c r="Z44"/>
      <c r="AA44"/>
      <c r="AB44"/>
      <c r="AC44"/>
      <c r="AD44"/>
      <c r="AE44"/>
      <c r="AF44"/>
      <c r="AG44"/>
      <c r="AH44"/>
    </row>
    <row r="45" spans="2:34" s="1657" customFormat="1" ht="18" customHeight="1">
      <c r="B45" s="1672" t="str">
        <f>IF(DATA!CL$274=1,"Nov-20","")</f>
        <v>Nov-20</v>
      </c>
      <c r="C45" s="1664">
        <f>IF(B45="","",Z226)</f>
        <v>21230</v>
      </c>
      <c r="D45" s="1664">
        <f>IF(B45="","",ROUND(C45*D$16,0))</f>
        <v>6452</v>
      </c>
      <c r="E45" s="1675">
        <f>IF(B45="","",ROUND(C45*E$16,0))</f>
        <v>5785</v>
      </c>
      <c r="F45" s="1675">
        <f>IF(B45="","",D45-E45)</f>
        <v>667</v>
      </c>
      <c r="G45" s="1664">
        <f t="shared" si="10"/>
        <v>667</v>
      </c>
      <c r="H45" s="1666">
        <f>IF(B45="","",(IF(V$190=T$154,ROUND(F45*90%,0),0)))</f>
        <v>0</v>
      </c>
      <c r="M45"/>
      <c r="N45"/>
      <c r="O45"/>
      <c r="P45"/>
      <c r="Q45"/>
      <c r="R45"/>
      <c r="S45"/>
      <c r="T45"/>
      <c r="U45"/>
      <c r="V45"/>
      <c r="W45"/>
      <c r="X45"/>
      <c r="Y45"/>
      <c r="Z45"/>
      <c r="AA45"/>
      <c r="AB45"/>
      <c r="AC45"/>
      <c r="AD45"/>
      <c r="AE45"/>
      <c r="AF45"/>
      <c r="AG45"/>
      <c r="AH45"/>
    </row>
    <row r="46" spans="2:34" s="1657" customFormat="1" ht="18" customHeight="1">
      <c r="B46" s="1674" t="str">
        <f>IF(DATA!CL$274=1,"Dec-20","")</f>
        <v>Dec-20</v>
      </c>
      <c r="C46" s="1664">
        <f>IF(B46="","",Z227)</f>
        <v>21230</v>
      </c>
      <c r="D46" s="1664">
        <f>IF(B46="","",ROUND(C46*D$16,0))</f>
        <v>6452</v>
      </c>
      <c r="E46" s="1675">
        <f>IF(B46="","",ROUND(C46*E$16,0))</f>
        <v>5785</v>
      </c>
      <c r="F46" s="1675">
        <f>IF(B46="","",D46-E46)</f>
        <v>667</v>
      </c>
      <c r="G46" s="1664">
        <f t="shared" si="10"/>
        <v>667</v>
      </c>
      <c r="H46" s="1666">
        <f>IF(B46="","",(IF(V$190=T$154,ROUND(F46*90%,0),0)))</f>
        <v>0</v>
      </c>
      <c r="M46"/>
      <c r="N46"/>
      <c r="O46"/>
      <c r="P46"/>
      <c r="Q46"/>
      <c r="R46"/>
      <c r="S46"/>
      <c r="T46"/>
      <c r="U46"/>
      <c r="V46"/>
      <c r="W46"/>
      <c r="X46"/>
      <c r="Y46"/>
      <c r="Z46"/>
      <c r="AA46"/>
      <c r="AB46"/>
      <c r="AC46"/>
      <c r="AD46"/>
      <c r="AE46"/>
      <c r="AF46"/>
      <c r="AG46"/>
      <c r="AH46"/>
    </row>
    <row r="47" spans="2:34" s="1657" customFormat="1" ht="18" customHeight="1">
      <c r="B47" s="1676" t="str">
        <f>IF(DATA!CL$274=1,"Jan-21","")</f>
        <v>Jan-21</v>
      </c>
      <c r="C47" s="1677">
        <f>IF(B47="","",Z228)</f>
        <v>21230</v>
      </c>
      <c r="D47" s="1677">
        <f>IF(B47="","",ROUND(C47*D$16,0))</f>
        <v>6452</v>
      </c>
      <c r="E47" s="1678">
        <f>IF(B47="","",ROUND(C47*E$16,0))</f>
        <v>5785</v>
      </c>
      <c r="F47" s="1678">
        <f>IF(B47="","",D47-E47)</f>
        <v>667</v>
      </c>
      <c r="G47" s="1677">
        <f>IF(V$190=T$154,ROUND(F47*10%,0),F47)</f>
        <v>667</v>
      </c>
      <c r="H47" s="1679">
        <f>IF(B47="","",(IF(V$190=T$154,ROUND(F47*90%,0),0)))</f>
        <v>0</v>
      </c>
      <c r="I47" s="1680" t="str">
        <f>IF(DATA!CL$274=1,"Cash","")</f>
        <v>Cash</v>
      </c>
      <c r="M47" s="1681"/>
      <c r="N47" s="1681"/>
      <c r="O47" s="1681"/>
      <c r="P47" s="1681"/>
      <c r="Q47" s="1681"/>
      <c r="R47" s="1681"/>
      <c r="S47" s="1681"/>
      <c r="T47" s="1681"/>
      <c r="U47" s="1681"/>
      <c r="V47" s="1681"/>
      <c r="W47" s="1681"/>
      <c r="X47" s="1681"/>
      <c r="Y47" s="1681"/>
      <c r="Z47" s="1681"/>
      <c r="AA47" s="1681"/>
      <c r="AB47" s="1681"/>
      <c r="AC47" s="1681"/>
      <c r="AD47" s="1681"/>
      <c r="AE47" s="1681"/>
      <c r="AF47" s="1681"/>
      <c r="AG47" s="1681"/>
      <c r="AH47" s="1681"/>
    </row>
    <row r="48" spans="2:34" s="1682" customFormat="1" ht="21.95" customHeight="1">
      <c r="B48" s="1683" t="s">
        <v>10</v>
      </c>
      <c r="C48" s="1684">
        <f t="shared" ref="C48:H48" si="12">SUM(C17:C46)</f>
        <v>613930</v>
      </c>
      <c r="D48" s="1684">
        <f t="shared" si="12"/>
        <v>186590</v>
      </c>
      <c r="E48" s="1684">
        <f t="shared" si="12"/>
        <v>167282</v>
      </c>
      <c r="F48" s="1684">
        <f t="shared" si="12"/>
        <v>19308</v>
      </c>
      <c r="G48" s="1684">
        <f>SUM(G17:G46)</f>
        <v>19308</v>
      </c>
      <c r="H48" s="1685">
        <f t="shared" si="12"/>
        <v>0</v>
      </c>
      <c r="M48"/>
      <c r="N48"/>
      <c r="O48"/>
      <c r="P48"/>
      <c r="Q48"/>
      <c r="R48"/>
      <c r="S48"/>
      <c r="T48"/>
      <c r="U48"/>
      <c r="V48"/>
      <c r="W48"/>
      <c r="X48"/>
      <c r="Y48"/>
      <c r="Z48"/>
      <c r="AA48"/>
      <c r="AB48"/>
      <c r="AC48"/>
      <c r="AD48"/>
      <c r="AE48"/>
      <c r="AF48"/>
      <c r="AG48"/>
      <c r="AH48"/>
    </row>
    <row r="49" spans="2:34" s="1657" customFormat="1">
      <c r="M49"/>
      <c r="N49"/>
      <c r="O49"/>
      <c r="P49"/>
      <c r="Q49"/>
      <c r="R49"/>
      <c r="S49"/>
      <c r="T49"/>
      <c r="U49"/>
      <c r="V49"/>
      <c r="W49"/>
      <c r="X49"/>
      <c r="Y49"/>
      <c r="Z49"/>
      <c r="AA49"/>
      <c r="AB49"/>
      <c r="AC49"/>
      <c r="AD49"/>
      <c r="AE49"/>
      <c r="AF49"/>
      <c r="AG49"/>
      <c r="AH49"/>
    </row>
    <row r="50" spans="2:34" s="1657" customFormat="1" ht="18">
      <c r="B50" s="2437" t="s">
        <v>889</v>
      </c>
      <c r="C50" s="2437"/>
      <c r="D50" s="2437"/>
      <c r="E50" s="2437"/>
      <c r="F50" s="2437"/>
      <c r="G50" s="2437"/>
      <c r="H50" s="2437"/>
      <c r="M50"/>
      <c r="N50"/>
      <c r="O50"/>
      <c r="P50"/>
      <c r="Q50"/>
      <c r="R50"/>
      <c r="S50"/>
      <c r="T50"/>
      <c r="U50"/>
      <c r="V50"/>
      <c r="W50"/>
      <c r="X50"/>
      <c r="Y50"/>
      <c r="Z50"/>
      <c r="AA50"/>
      <c r="AB50"/>
      <c r="AC50"/>
      <c r="AD50"/>
      <c r="AE50"/>
      <c r="AF50"/>
      <c r="AG50"/>
      <c r="AH50"/>
    </row>
    <row r="51" spans="2:34" s="1657" customFormat="1" ht="18" customHeight="1">
      <c r="M51"/>
      <c r="N51"/>
      <c r="O51"/>
      <c r="P51"/>
      <c r="Q51"/>
      <c r="R51"/>
      <c r="S51"/>
      <c r="T51"/>
      <c r="U51"/>
      <c r="V51"/>
      <c r="W51"/>
      <c r="X51"/>
      <c r="Y51"/>
      <c r="Z51"/>
      <c r="AA51"/>
      <c r="AB51"/>
      <c r="AC51"/>
      <c r="AD51"/>
      <c r="AE51"/>
      <c r="AF51"/>
      <c r="AG51"/>
      <c r="AH51"/>
    </row>
    <row r="52" spans="2:34" s="1657" customFormat="1" ht="18" customHeight="1">
      <c r="B52" s="2439" t="s">
        <v>890</v>
      </c>
      <c r="C52" s="2440"/>
      <c r="D52" s="1686" t="e">
        <f>IF(X255="","",X256)</f>
        <v>#VALUE!</v>
      </c>
      <c r="E52" s="1687" t="str">
        <f>IF(X255="","","to")</f>
        <v>to</v>
      </c>
      <c r="F52" s="1686">
        <f>IF(X255="","",X257)</f>
        <v>43769</v>
      </c>
      <c r="G52" s="1687" t="e">
        <f>IF(X255="","",CONCATENATE("(",Z257," Days",")"))</f>
        <v>#VALUE!</v>
      </c>
      <c r="H52" s="1688" t="e">
        <f>IF(X255="","",I52)</f>
        <v>#N/A</v>
      </c>
      <c r="I52" s="1689" t="e">
        <f>CONCATENATE("Rs. ",Y258)</f>
        <v>#N/A</v>
      </c>
      <c r="M52"/>
      <c r="N52"/>
      <c r="O52"/>
      <c r="P52"/>
      <c r="Q52"/>
      <c r="R52"/>
      <c r="S52"/>
      <c r="T52"/>
      <c r="U52"/>
      <c r="V52"/>
      <c r="W52"/>
      <c r="X52"/>
      <c r="Y52"/>
      <c r="Z52"/>
      <c r="AA52"/>
      <c r="AB52"/>
      <c r="AC52"/>
      <c r="AD52"/>
      <c r="AE52"/>
      <c r="AF52"/>
      <c r="AG52"/>
      <c r="AH52"/>
    </row>
    <row r="53" spans="2:34" s="1657" customFormat="1" ht="18" customHeight="1">
      <c r="B53" s="2441" t="s">
        <v>891</v>
      </c>
      <c r="C53" s="2442"/>
      <c r="D53" s="2442"/>
      <c r="E53" s="2442"/>
      <c r="F53" s="1690" t="str">
        <f>W189</f>
        <v/>
      </c>
      <c r="G53" s="1690" t="str">
        <f>IF(F53="","",V189)</f>
        <v/>
      </c>
      <c r="H53" s="1691" t="str">
        <f>IF(F53="","",CONCATENATE("Rs. ",Z251))</f>
        <v/>
      </c>
      <c r="M53"/>
      <c r="N53"/>
      <c r="O53"/>
      <c r="P53"/>
      <c r="Q53"/>
      <c r="R53"/>
      <c r="S53"/>
      <c r="T53"/>
      <c r="U53"/>
      <c r="V53"/>
      <c r="W53"/>
      <c r="X53"/>
      <c r="Y53"/>
      <c r="Z53"/>
      <c r="AA53"/>
      <c r="AB53"/>
      <c r="AC53"/>
      <c r="AD53"/>
      <c r="AE53"/>
      <c r="AF53"/>
      <c r="AG53"/>
      <c r="AH53"/>
    </row>
    <row r="54" spans="2:34" s="1657" customFormat="1" ht="20.45" customHeight="1">
      <c r="B54" s="2438" t="s">
        <v>963</v>
      </c>
      <c r="C54" s="2438"/>
      <c r="D54" s="1692">
        <f>SUM(G17:G26)</f>
        <v>6292</v>
      </c>
      <c r="E54" s="1693"/>
      <c r="F54" s="2438" t="s">
        <v>952</v>
      </c>
      <c r="G54" s="2438"/>
      <c r="H54" s="1692">
        <f>SUM(G27:G36)</f>
        <v>6436</v>
      </c>
      <c r="M54" s="1387"/>
      <c r="N54" s="1387"/>
      <c r="O54" s="1387"/>
      <c r="P54" s="1387"/>
      <c r="Q54" s="1387"/>
      <c r="R54" s="1387"/>
      <c r="S54" s="1387"/>
      <c r="T54" s="1387"/>
      <c r="U54" s="1387"/>
      <c r="V54" s="1387"/>
      <c r="W54" s="1387"/>
      <c r="X54" s="1387"/>
      <c r="Y54" s="1387"/>
      <c r="Z54" s="1387"/>
      <c r="AA54" s="1387"/>
      <c r="AB54" s="1387"/>
      <c r="AC54" s="1387"/>
      <c r="AD54" s="1387"/>
      <c r="AE54" s="1387"/>
      <c r="AF54" s="1387"/>
      <c r="AG54" s="1387"/>
      <c r="AH54" s="1387"/>
    </row>
    <row r="55" spans="2:34" s="1694" customFormat="1" ht="18" customHeight="1">
      <c r="B55" s="2443" t="str">
        <f>IF(DATA!CL$274=1,"Jan 2021 Month Salary with New DA","Nov 2020 Month Salary with New DA")</f>
        <v>Jan 2021 Month Salary with New DA</v>
      </c>
      <c r="C55" s="2444"/>
      <c r="D55" s="1695" t="s">
        <v>892</v>
      </c>
      <c r="E55" s="1696" t="s">
        <v>12</v>
      </c>
      <c r="F55" s="1697" t="s">
        <v>374</v>
      </c>
      <c r="G55" s="1696" t="s">
        <v>13</v>
      </c>
      <c r="H55" s="1698" t="s">
        <v>10</v>
      </c>
      <c r="M55"/>
      <c r="N55"/>
      <c r="O55"/>
      <c r="P55"/>
      <c r="Q55"/>
      <c r="R55"/>
      <c r="S55"/>
      <c r="T55"/>
      <c r="U55"/>
      <c r="V55"/>
      <c r="W55"/>
      <c r="X55"/>
      <c r="Y55"/>
      <c r="Z55"/>
      <c r="AA55"/>
      <c r="AB55"/>
      <c r="AC55"/>
      <c r="AD55"/>
      <c r="AE55"/>
      <c r="AF55"/>
      <c r="AG55"/>
      <c r="AH55"/>
    </row>
    <row r="56" spans="2:34" s="1694" customFormat="1" ht="18" customHeight="1">
      <c r="B56" s="2445"/>
      <c r="C56" s="2446"/>
      <c r="D56" s="1699">
        <f>IF(DATA!CL$274=1,Z228,Z226)</f>
        <v>21230</v>
      </c>
      <c r="E56" s="1700">
        <f>ROUND(D56*D16,0)</f>
        <v>6452</v>
      </c>
      <c r="F56" s="1700">
        <f>ROUND(D56*27%,0)</f>
        <v>5732</v>
      </c>
      <c r="G56" s="1700">
        <f>ROUND(D56*V192,0)</f>
        <v>2548</v>
      </c>
      <c r="H56" s="1701">
        <f>SUM(D56:G56)</f>
        <v>35962</v>
      </c>
      <c r="M56"/>
      <c r="N56"/>
      <c r="O56"/>
      <c r="P56"/>
      <c r="Q56"/>
      <c r="R56"/>
      <c r="S56"/>
      <c r="T56"/>
      <c r="U56"/>
      <c r="V56"/>
      <c r="W56"/>
      <c r="X56"/>
      <c r="Y56"/>
      <c r="Z56"/>
      <c r="AA56"/>
      <c r="AB56"/>
      <c r="AC56"/>
      <c r="AD56"/>
      <c r="AE56"/>
      <c r="AF56"/>
      <c r="AG56"/>
      <c r="AH56"/>
    </row>
    <row r="57" spans="2:34" ht="17.25" customHeight="1">
      <c r="B57" s="2434" t="s">
        <v>964</v>
      </c>
      <c r="C57" s="2435"/>
      <c r="D57" s="2435"/>
      <c r="E57" s="2435"/>
      <c r="F57" s="2435"/>
      <c r="G57" s="2435"/>
      <c r="H57" s="2436"/>
    </row>
    <row r="60" spans="2:34" ht="22.5">
      <c r="D60" s="1702"/>
      <c r="E60" s="1702"/>
      <c r="F60" s="1702"/>
    </row>
    <row r="151" spans="11:28" hidden="1"/>
    <row r="152" spans="11:28" hidden="1"/>
    <row r="153" spans="11:28" hidden="1">
      <c r="K153" s="1634">
        <v>1</v>
      </c>
      <c r="L153" s="1634" t="s">
        <v>397</v>
      </c>
    </row>
    <row r="154" spans="11:28" hidden="1">
      <c r="K154" s="1634">
        <v>2</v>
      </c>
      <c r="L154" s="1703">
        <v>43313</v>
      </c>
      <c r="M154" s="1704">
        <v>43282</v>
      </c>
      <c r="N154">
        <v>1</v>
      </c>
      <c r="O154">
        <v>13000</v>
      </c>
      <c r="P154">
        <v>13390</v>
      </c>
      <c r="Q154">
        <v>13000</v>
      </c>
      <c r="R154">
        <v>13780</v>
      </c>
      <c r="S154" s="1704">
        <v>43313</v>
      </c>
      <c r="T154" t="s">
        <v>566</v>
      </c>
      <c r="U154" t="s">
        <v>9</v>
      </c>
      <c r="V154" t="s">
        <v>541</v>
      </c>
      <c r="W154" s="1705">
        <v>12</v>
      </c>
      <c r="X154" s="1705" t="s">
        <v>868</v>
      </c>
      <c r="Y154" s="1705" t="s">
        <v>865</v>
      </c>
      <c r="Z154">
        <v>1</v>
      </c>
      <c r="AA154" t="s">
        <v>959</v>
      </c>
      <c r="AB154" s="1706"/>
    </row>
    <row r="155" spans="11:28" hidden="1">
      <c r="K155" s="1634">
        <v>3</v>
      </c>
      <c r="L155" s="1703">
        <v>43344</v>
      </c>
      <c r="M155" s="1704">
        <v>43313</v>
      </c>
      <c r="N155">
        <v>2</v>
      </c>
      <c r="O155">
        <v>13390</v>
      </c>
      <c r="P155">
        <v>13780</v>
      </c>
      <c r="Q155">
        <v>13390</v>
      </c>
      <c r="R155">
        <v>14170</v>
      </c>
      <c r="S155" s="1704">
        <v>43344</v>
      </c>
      <c r="T155" t="s">
        <v>7</v>
      </c>
      <c r="U155" t="s">
        <v>869</v>
      </c>
      <c r="V155" t="s">
        <v>9</v>
      </c>
      <c r="W155" s="1705">
        <v>14.5</v>
      </c>
      <c r="X155" s="1705" t="s">
        <v>870</v>
      </c>
      <c r="Y155" s="1705" t="s">
        <v>871</v>
      </c>
      <c r="Z155">
        <v>2</v>
      </c>
      <c r="AA155" t="s">
        <v>960</v>
      </c>
      <c r="AB155" s="1706"/>
    </row>
    <row r="156" spans="11:28" hidden="1">
      <c r="K156" s="1634">
        <v>4</v>
      </c>
      <c r="L156" s="1703">
        <v>43374</v>
      </c>
      <c r="M156" s="1704">
        <v>43344</v>
      </c>
      <c r="N156">
        <v>3</v>
      </c>
      <c r="O156">
        <v>13780</v>
      </c>
      <c r="P156">
        <v>14170</v>
      </c>
      <c r="Q156">
        <v>13780</v>
      </c>
      <c r="R156">
        <v>14600</v>
      </c>
      <c r="S156" s="1704">
        <v>43374</v>
      </c>
      <c r="U156" t="s">
        <v>872</v>
      </c>
      <c r="W156" s="1705">
        <v>20</v>
      </c>
      <c r="X156" s="1705" t="s">
        <v>873</v>
      </c>
      <c r="Z156">
        <v>3</v>
      </c>
    </row>
    <row r="157" spans="11:28" hidden="1">
      <c r="K157" s="1634">
        <v>5</v>
      </c>
      <c r="L157" s="1703">
        <v>43405</v>
      </c>
      <c r="M157" s="1704">
        <v>43374</v>
      </c>
      <c r="N157">
        <v>4</v>
      </c>
      <c r="O157">
        <v>14170</v>
      </c>
      <c r="P157">
        <v>14600</v>
      </c>
      <c r="Q157">
        <v>14170</v>
      </c>
      <c r="R157">
        <v>15030</v>
      </c>
      <c r="S157" s="1704">
        <v>43405</v>
      </c>
      <c r="V157" s="1707">
        <v>1</v>
      </c>
      <c r="W157" s="1705">
        <v>30</v>
      </c>
      <c r="X157" s="1705" t="s">
        <v>874</v>
      </c>
      <c r="Z157">
        <v>4</v>
      </c>
    </row>
    <row r="158" spans="11:28" hidden="1">
      <c r="K158" s="1634">
        <v>6</v>
      </c>
      <c r="L158" s="1703">
        <v>43435</v>
      </c>
      <c r="M158" s="1704">
        <v>43405</v>
      </c>
      <c r="N158">
        <v>5</v>
      </c>
      <c r="O158">
        <v>14600</v>
      </c>
      <c r="P158">
        <v>15030</v>
      </c>
      <c r="Q158">
        <v>14600</v>
      </c>
      <c r="R158">
        <v>15460</v>
      </c>
      <c r="S158" s="1704">
        <v>43435</v>
      </c>
      <c r="T158" s="1707">
        <v>2</v>
      </c>
      <c r="V158" t="str">
        <f>VLOOKUP(V157,N154:V155,9,FALSE)</f>
        <v>Yes</v>
      </c>
      <c r="X158" s="1705" t="s">
        <v>875</v>
      </c>
      <c r="Z158">
        <v>5</v>
      </c>
      <c r="AA158" s="1707">
        <v>1</v>
      </c>
    </row>
    <row r="159" spans="11:28" hidden="1">
      <c r="K159" s="1634">
        <v>7</v>
      </c>
      <c r="L159" s="1703">
        <v>43466</v>
      </c>
      <c r="M159" s="1704">
        <v>43435</v>
      </c>
      <c r="N159">
        <v>6</v>
      </c>
      <c r="O159">
        <v>15030</v>
      </c>
      <c r="P159">
        <v>15460</v>
      </c>
      <c r="Q159">
        <v>15030</v>
      </c>
      <c r="R159">
        <v>15930</v>
      </c>
      <c r="S159" s="1704">
        <v>43466</v>
      </c>
      <c r="W159" s="1707">
        <v>1</v>
      </c>
      <c r="X159" s="1705" t="s">
        <v>876</v>
      </c>
      <c r="Z159">
        <v>6</v>
      </c>
    </row>
    <row r="160" spans="11:28" hidden="1">
      <c r="K160" s="1634">
        <v>8</v>
      </c>
      <c r="L160" s="1703">
        <v>43497</v>
      </c>
      <c r="M160" s="1704">
        <v>43466</v>
      </c>
      <c r="N160">
        <v>7</v>
      </c>
      <c r="O160">
        <v>15460</v>
      </c>
      <c r="P160">
        <v>15930</v>
      </c>
      <c r="Q160">
        <v>15460</v>
      </c>
      <c r="R160">
        <v>16400</v>
      </c>
      <c r="S160" s="1704">
        <v>43497</v>
      </c>
      <c r="T160" t="str">
        <f>VLOOKUP(T158,N154:T155,7,FALSE)</f>
        <v>PF</v>
      </c>
      <c r="U160" s="1707">
        <v>1</v>
      </c>
      <c r="V160" s="1707">
        <v>2</v>
      </c>
      <c r="W160">
        <f>VLOOKUP(W159,N154:W157,10,FALSE)</f>
        <v>12</v>
      </c>
      <c r="X160" s="1705" t="s">
        <v>877</v>
      </c>
      <c r="Z160">
        <v>7</v>
      </c>
      <c r="AA160">
        <f>IF(AA158=1,VLOOKUP(AD188,O154:P230,2,FALSE),AD188)</f>
        <v>61450</v>
      </c>
    </row>
    <row r="161" spans="11:27" hidden="1">
      <c r="K161" s="1634">
        <v>9</v>
      </c>
      <c r="L161" s="1703">
        <v>43525</v>
      </c>
      <c r="M161" s="1704">
        <v>43497</v>
      </c>
      <c r="N161">
        <v>8</v>
      </c>
      <c r="O161">
        <v>15930</v>
      </c>
      <c r="P161">
        <v>16400</v>
      </c>
      <c r="Q161">
        <v>15930</v>
      </c>
      <c r="R161">
        <v>16870</v>
      </c>
      <c r="S161" s="1704">
        <v>43525</v>
      </c>
      <c r="U161" t="str">
        <f>VLOOKUP(U160,N154:U156,8,FALSE)</f>
        <v>No</v>
      </c>
      <c r="V161" t="str">
        <f>VLOOKUP(V160,N154:V155,9,FALSE)</f>
        <v>No</v>
      </c>
      <c r="W161">
        <v>1</v>
      </c>
      <c r="X161" s="1706" t="s">
        <v>878</v>
      </c>
      <c r="Y161" s="1706">
        <v>43313</v>
      </c>
      <c r="Z161">
        <v>8</v>
      </c>
      <c r="AA161">
        <f>IF(AA158=2,AD188,VLOOKUP(AD188,Q154:R230,2,FALSE))</f>
        <v>63010</v>
      </c>
    </row>
    <row r="162" spans="11:27" hidden="1">
      <c r="K162" s="1634">
        <v>10</v>
      </c>
      <c r="L162" s="1703">
        <v>43556</v>
      </c>
      <c r="M162" s="1704">
        <v>43525</v>
      </c>
      <c r="N162">
        <v>9</v>
      </c>
      <c r="O162">
        <v>16400</v>
      </c>
      <c r="P162">
        <v>16870</v>
      </c>
      <c r="Q162">
        <v>16400</v>
      </c>
      <c r="R162">
        <v>17380</v>
      </c>
      <c r="S162" s="1704">
        <v>43556</v>
      </c>
      <c r="W162">
        <v>2</v>
      </c>
      <c r="X162" s="1706" t="s">
        <v>879</v>
      </c>
      <c r="Y162" s="1706">
        <v>43344</v>
      </c>
      <c r="Z162">
        <v>9</v>
      </c>
    </row>
    <row r="163" spans="11:27" hidden="1">
      <c r="K163" s="1634">
        <v>11</v>
      </c>
      <c r="L163" s="1703">
        <v>43586</v>
      </c>
      <c r="M163" s="1704">
        <v>43556</v>
      </c>
      <c r="N163">
        <v>10</v>
      </c>
      <c r="O163">
        <v>16870</v>
      </c>
      <c r="P163">
        <v>17380</v>
      </c>
      <c r="Q163">
        <v>16870</v>
      </c>
      <c r="R163">
        <v>17890</v>
      </c>
      <c r="S163" s="1704">
        <v>43586</v>
      </c>
      <c r="W163">
        <v>3</v>
      </c>
      <c r="X163" s="1706" t="s">
        <v>880</v>
      </c>
      <c r="Y163" s="1706">
        <v>43374</v>
      </c>
      <c r="Z163">
        <v>10</v>
      </c>
    </row>
    <row r="164" spans="11:27" hidden="1">
      <c r="K164" s="1634">
        <v>12</v>
      </c>
      <c r="L164" s="1703">
        <v>43617</v>
      </c>
      <c r="M164" s="1704">
        <v>43586</v>
      </c>
      <c r="N164">
        <v>11</v>
      </c>
      <c r="O164">
        <v>17380</v>
      </c>
      <c r="P164">
        <v>17890</v>
      </c>
      <c r="Q164">
        <v>17380</v>
      </c>
      <c r="R164">
        <v>18400</v>
      </c>
      <c r="S164" s="1704">
        <v>43617</v>
      </c>
      <c r="W164">
        <v>4</v>
      </c>
      <c r="X164" s="1706" t="s">
        <v>881</v>
      </c>
      <c r="Y164" s="1706">
        <v>43405</v>
      </c>
      <c r="Z164">
        <v>11</v>
      </c>
    </row>
    <row r="165" spans="11:27" hidden="1">
      <c r="K165" s="1634">
        <v>13</v>
      </c>
      <c r="L165" s="1703">
        <v>43647</v>
      </c>
      <c r="M165" s="1704">
        <v>43617</v>
      </c>
      <c r="N165">
        <v>12</v>
      </c>
      <c r="O165">
        <v>17890</v>
      </c>
      <c r="P165">
        <v>18400</v>
      </c>
      <c r="Q165">
        <v>17890</v>
      </c>
      <c r="R165">
        <v>18950</v>
      </c>
      <c r="S165" s="1704">
        <v>43647</v>
      </c>
      <c r="W165">
        <v>5</v>
      </c>
      <c r="X165" s="1706" t="s">
        <v>882</v>
      </c>
      <c r="Y165" s="1706">
        <v>43435</v>
      </c>
      <c r="Z165">
        <v>12</v>
      </c>
    </row>
    <row r="166" spans="11:27" hidden="1">
      <c r="K166" s="1634">
        <v>14</v>
      </c>
      <c r="L166" s="1703">
        <v>43678</v>
      </c>
      <c r="M166" s="1704">
        <v>43647</v>
      </c>
      <c r="N166">
        <v>13</v>
      </c>
      <c r="O166">
        <v>18400</v>
      </c>
      <c r="P166">
        <v>18950</v>
      </c>
      <c r="Q166">
        <v>18400</v>
      </c>
      <c r="R166">
        <v>19500</v>
      </c>
      <c r="S166" s="1704">
        <v>43678</v>
      </c>
      <c r="V166" s="1707">
        <v>2</v>
      </c>
      <c r="W166">
        <v>6</v>
      </c>
      <c r="X166" s="1706" t="s">
        <v>868</v>
      </c>
      <c r="Y166" s="1706">
        <v>43466</v>
      </c>
      <c r="Z166">
        <v>13</v>
      </c>
    </row>
    <row r="167" spans="11:27" hidden="1">
      <c r="K167" s="1634">
        <v>15</v>
      </c>
      <c r="L167" s="1703">
        <v>43709</v>
      </c>
      <c r="M167" s="1704">
        <v>43678</v>
      </c>
      <c r="N167">
        <v>14</v>
      </c>
      <c r="O167">
        <v>18950</v>
      </c>
      <c r="P167">
        <v>19500</v>
      </c>
      <c r="Q167">
        <v>18950</v>
      </c>
      <c r="R167">
        <v>20050</v>
      </c>
      <c r="S167" s="1704">
        <v>43709</v>
      </c>
      <c r="V167" t="str">
        <f>VLOOKUP(V166,N154:V155,9,FALSE)</f>
        <v>No</v>
      </c>
      <c r="W167">
        <v>7</v>
      </c>
      <c r="X167" s="1706" t="s">
        <v>870</v>
      </c>
      <c r="Y167" s="1706">
        <v>43497</v>
      </c>
      <c r="Z167">
        <v>14</v>
      </c>
    </row>
    <row r="168" spans="11:27" hidden="1">
      <c r="K168" s="1634">
        <v>16</v>
      </c>
      <c r="L168" s="1703">
        <v>43739</v>
      </c>
      <c r="M168" s="1704">
        <v>43709</v>
      </c>
      <c r="N168">
        <v>15</v>
      </c>
      <c r="O168">
        <v>19500</v>
      </c>
      <c r="P168">
        <v>20050</v>
      </c>
      <c r="Q168">
        <v>19500</v>
      </c>
      <c r="R168">
        <v>20640</v>
      </c>
      <c r="S168" s="1704">
        <v>43739</v>
      </c>
      <c r="W168">
        <v>8</v>
      </c>
      <c r="X168" s="1706" t="s">
        <v>873</v>
      </c>
      <c r="Y168" s="1706">
        <v>43525</v>
      </c>
      <c r="Z168">
        <v>15</v>
      </c>
    </row>
    <row r="169" spans="11:27" hidden="1">
      <c r="K169" s="1634">
        <v>17</v>
      </c>
      <c r="L169" s="1703">
        <v>43770</v>
      </c>
      <c r="M169" s="1704">
        <v>43739</v>
      </c>
      <c r="N169">
        <v>16</v>
      </c>
      <c r="O169">
        <v>20050</v>
      </c>
      <c r="P169">
        <v>20640</v>
      </c>
      <c r="Q169">
        <v>20050</v>
      </c>
      <c r="R169">
        <v>21230</v>
      </c>
      <c r="S169" s="1704">
        <v>43770</v>
      </c>
      <c r="W169">
        <v>9</v>
      </c>
      <c r="X169" s="1706" t="s">
        <v>874</v>
      </c>
      <c r="Y169" s="1706">
        <v>43556</v>
      </c>
      <c r="Z169">
        <v>16</v>
      </c>
    </row>
    <row r="170" spans="11:27" hidden="1">
      <c r="K170" s="1634">
        <v>18</v>
      </c>
      <c r="L170" s="1703">
        <v>43800</v>
      </c>
      <c r="M170" s="1704">
        <v>43770</v>
      </c>
      <c r="N170">
        <v>17</v>
      </c>
      <c r="O170">
        <v>20640</v>
      </c>
      <c r="P170">
        <v>21230</v>
      </c>
      <c r="Q170">
        <v>20640</v>
      </c>
      <c r="R170">
        <v>21820</v>
      </c>
      <c r="S170" s="1704">
        <v>43800</v>
      </c>
      <c r="W170">
        <v>10</v>
      </c>
      <c r="X170" s="1706" t="s">
        <v>875</v>
      </c>
      <c r="Y170" s="1706">
        <v>43586</v>
      </c>
      <c r="Z170">
        <v>17</v>
      </c>
    </row>
    <row r="171" spans="11:27" hidden="1">
      <c r="K171" s="1634">
        <v>19</v>
      </c>
      <c r="L171" s="1703">
        <v>43831</v>
      </c>
      <c r="M171" s="1704">
        <v>43800</v>
      </c>
      <c r="N171">
        <v>18</v>
      </c>
      <c r="O171">
        <v>21230</v>
      </c>
      <c r="P171">
        <v>21820</v>
      </c>
      <c r="Q171">
        <v>21230</v>
      </c>
      <c r="R171">
        <v>22840</v>
      </c>
      <c r="S171" s="1704">
        <v>43831</v>
      </c>
      <c r="W171">
        <v>11</v>
      </c>
      <c r="X171" s="1706" t="s">
        <v>876</v>
      </c>
      <c r="Y171" s="1706">
        <v>43617</v>
      </c>
      <c r="Z171">
        <v>18</v>
      </c>
    </row>
    <row r="172" spans="11:27" hidden="1">
      <c r="K172" s="1634">
        <v>20</v>
      </c>
      <c r="L172" s="1703">
        <v>43862</v>
      </c>
      <c r="M172" s="1704">
        <v>43831</v>
      </c>
      <c r="N172">
        <v>19</v>
      </c>
      <c r="O172">
        <v>21820</v>
      </c>
      <c r="P172">
        <v>22840</v>
      </c>
      <c r="Q172">
        <v>21820</v>
      </c>
      <c r="R172">
        <v>23100</v>
      </c>
      <c r="S172" s="1704">
        <v>43862</v>
      </c>
      <c r="W172">
        <v>12</v>
      </c>
      <c r="X172" s="1706" t="s">
        <v>877</v>
      </c>
      <c r="Y172" s="1706">
        <v>43647</v>
      </c>
      <c r="Z172">
        <v>19</v>
      </c>
    </row>
    <row r="173" spans="11:27" hidden="1">
      <c r="K173" s="1634">
        <v>21</v>
      </c>
      <c r="L173" s="1703">
        <v>43891</v>
      </c>
      <c r="M173" s="1704">
        <v>43862</v>
      </c>
      <c r="N173">
        <v>20</v>
      </c>
      <c r="O173">
        <v>22840</v>
      </c>
      <c r="P173">
        <v>23100</v>
      </c>
      <c r="Q173">
        <v>22840</v>
      </c>
      <c r="R173">
        <v>23740</v>
      </c>
      <c r="S173" s="1704">
        <v>43891</v>
      </c>
      <c r="Z173">
        <v>20</v>
      </c>
    </row>
    <row r="174" spans="11:27" hidden="1">
      <c r="K174" s="1634">
        <v>22</v>
      </c>
      <c r="L174" s="1703">
        <v>43922</v>
      </c>
      <c r="M174" s="1704">
        <v>43891</v>
      </c>
      <c r="N174">
        <v>21</v>
      </c>
      <c r="O174">
        <v>23100</v>
      </c>
      <c r="P174">
        <v>23740</v>
      </c>
      <c r="Q174">
        <v>23100</v>
      </c>
      <c r="R174">
        <v>24440</v>
      </c>
      <c r="S174" s="1704">
        <v>43922</v>
      </c>
      <c r="X174" s="1707">
        <v>1</v>
      </c>
      <c r="Z174">
        <v>21</v>
      </c>
    </row>
    <row r="175" spans="11:27" hidden="1">
      <c r="K175" s="1634">
        <v>23</v>
      </c>
      <c r="L175" s="1703">
        <v>43952</v>
      </c>
      <c r="M175" s="1704">
        <v>43922</v>
      </c>
      <c r="N175">
        <v>22</v>
      </c>
      <c r="O175">
        <v>23740</v>
      </c>
      <c r="P175">
        <v>24440</v>
      </c>
      <c r="Q175">
        <v>23740</v>
      </c>
      <c r="R175">
        <v>25140</v>
      </c>
      <c r="S175" s="1704">
        <v>43952</v>
      </c>
      <c r="X175" s="1708" t="str">
        <f>VLOOKUP(X174,W161:X172,2,FALSE)</f>
        <v>Aug</v>
      </c>
      <c r="Z175">
        <v>22</v>
      </c>
    </row>
    <row r="176" spans="11:27" hidden="1">
      <c r="K176" s="1634">
        <v>24</v>
      </c>
      <c r="L176" s="1703">
        <v>43983</v>
      </c>
      <c r="M176" s="1704">
        <v>43952</v>
      </c>
      <c r="N176">
        <v>23</v>
      </c>
      <c r="O176">
        <v>24440</v>
      </c>
      <c r="P176">
        <v>25140</v>
      </c>
      <c r="Q176">
        <v>24440</v>
      </c>
      <c r="R176">
        <v>25840</v>
      </c>
      <c r="S176" s="1704">
        <v>43983</v>
      </c>
      <c r="X176" s="1706">
        <f>VLOOKUP(X175,X161:Y172,2,FALSE)</f>
        <v>43313</v>
      </c>
      <c r="Z176">
        <v>23</v>
      </c>
    </row>
    <row r="177" spans="11:35" hidden="1">
      <c r="K177" s="1634">
        <v>25</v>
      </c>
      <c r="L177" s="1703">
        <v>44013</v>
      </c>
      <c r="M177" s="1704">
        <v>43983</v>
      </c>
      <c r="N177">
        <v>24</v>
      </c>
      <c r="O177">
        <v>25140</v>
      </c>
      <c r="P177">
        <v>25840</v>
      </c>
      <c r="Q177">
        <v>25140</v>
      </c>
      <c r="R177">
        <v>26600</v>
      </c>
      <c r="S177" s="1704">
        <v>44013</v>
      </c>
      <c r="Z177">
        <v>24</v>
      </c>
    </row>
    <row r="178" spans="11:35" hidden="1">
      <c r="K178" s="1634">
        <v>26</v>
      </c>
      <c r="L178" s="1703">
        <v>44044</v>
      </c>
      <c r="M178" s="1704">
        <v>44013</v>
      </c>
      <c r="N178">
        <v>25</v>
      </c>
      <c r="O178">
        <v>25840</v>
      </c>
      <c r="P178">
        <v>26600</v>
      </c>
      <c r="Q178">
        <v>25840</v>
      </c>
      <c r="R178">
        <v>27360</v>
      </c>
      <c r="S178" s="1704">
        <v>44044</v>
      </c>
      <c r="Z178">
        <v>25</v>
      </c>
    </row>
    <row r="179" spans="11:35" hidden="1">
      <c r="K179" s="1634">
        <v>27</v>
      </c>
      <c r="L179" s="1703">
        <v>44075</v>
      </c>
      <c r="M179" s="1704">
        <v>44044</v>
      </c>
      <c r="N179">
        <v>26</v>
      </c>
      <c r="O179">
        <v>26600</v>
      </c>
      <c r="P179">
        <v>27360</v>
      </c>
      <c r="Q179">
        <v>26600</v>
      </c>
      <c r="R179">
        <v>28120</v>
      </c>
      <c r="S179" s="1704">
        <v>44075</v>
      </c>
      <c r="Z179">
        <v>26</v>
      </c>
    </row>
    <row r="180" spans="11:35" hidden="1">
      <c r="K180" s="1634">
        <v>28</v>
      </c>
      <c r="L180" s="1703">
        <v>44105</v>
      </c>
      <c r="M180" s="1704">
        <v>44075</v>
      </c>
      <c r="N180">
        <v>27</v>
      </c>
      <c r="O180">
        <v>27360</v>
      </c>
      <c r="P180">
        <v>28120</v>
      </c>
      <c r="Q180">
        <v>27360</v>
      </c>
      <c r="R180">
        <v>28940</v>
      </c>
      <c r="S180" s="1704">
        <v>44105</v>
      </c>
      <c r="Z180">
        <v>27</v>
      </c>
    </row>
    <row r="181" spans="11:35" hidden="1">
      <c r="K181" s="1634">
        <v>29</v>
      </c>
      <c r="L181" s="1703">
        <v>44136</v>
      </c>
      <c r="M181" s="1704">
        <v>44105</v>
      </c>
      <c r="N181">
        <v>28</v>
      </c>
      <c r="O181">
        <v>28120</v>
      </c>
      <c r="P181">
        <v>28940</v>
      </c>
      <c r="Q181">
        <v>28120</v>
      </c>
      <c r="R181">
        <v>29760</v>
      </c>
      <c r="S181" s="1704">
        <v>44136</v>
      </c>
      <c r="Z181">
        <v>28</v>
      </c>
    </row>
    <row r="182" spans="11:35" hidden="1">
      <c r="K182" s="1634">
        <v>30</v>
      </c>
      <c r="L182" s="1703">
        <v>44166</v>
      </c>
      <c r="M182" s="1704">
        <v>44136</v>
      </c>
      <c r="N182">
        <v>29</v>
      </c>
      <c r="O182">
        <v>28940</v>
      </c>
      <c r="P182">
        <v>29760</v>
      </c>
      <c r="Q182">
        <v>28940</v>
      </c>
      <c r="R182">
        <v>30580</v>
      </c>
      <c r="S182" s="1704">
        <v>44166</v>
      </c>
      <c r="Z182">
        <v>29</v>
      </c>
    </row>
    <row r="183" spans="11:35" hidden="1">
      <c r="L183" s="1703">
        <v>44197</v>
      </c>
      <c r="M183" s="1704">
        <v>44166</v>
      </c>
      <c r="N183">
        <v>30</v>
      </c>
      <c r="O183">
        <v>29760</v>
      </c>
      <c r="P183">
        <v>30580</v>
      </c>
      <c r="Q183">
        <v>29760</v>
      </c>
      <c r="R183">
        <v>31460</v>
      </c>
      <c r="S183" s="1704">
        <v>44197</v>
      </c>
      <c r="Z183">
        <v>30</v>
      </c>
    </row>
    <row r="184" spans="11:35" hidden="1">
      <c r="L184" s="1703">
        <v>44228</v>
      </c>
      <c r="M184" s="1704">
        <v>44562</v>
      </c>
      <c r="N184">
        <v>31</v>
      </c>
      <c r="O184">
        <v>30580</v>
      </c>
      <c r="P184">
        <v>31460</v>
      </c>
      <c r="Q184">
        <v>30580</v>
      </c>
      <c r="R184">
        <v>32340</v>
      </c>
      <c r="S184" s="1704">
        <v>44593</v>
      </c>
      <c r="Z184">
        <v>50</v>
      </c>
    </row>
    <row r="185" spans="11:35" hidden="1">
      <c r="K185" s="1709">
        <v>14</v>
      </c>
      <c r="N185">
        <v>32</v>
      </c>
      <c r="O185">
        <v>31460</v>
      </c>
      <c r="P185">
        <v>32340</v>
      </c>
      <c r="Q185">
        <v>31460</v>
      </c>
      <c r="R185">
        <v>33220</v>
      </c>
    </row>
    <row r="186" spans="11:35" hidden="1">
      <c r="K186" s="1634" t="s">
        <v>758</v>
      </c>
      <c r="L186" s="1710">
        <v>16</v>
      </c>
      <c r="N186">
        <v>33</v>
      </c>
      <c r="O186">
        <v>32340</v>
      </c>
      <c r="P186">
        <v>33220</v>
      </c>
      <c r="Q186">
        <v>32340</v>
      </c>
      <c r="R186">
        <v>34170</v>
      </c>
      <c r="U186">
        <v>2022</v>
      </c>
      <c r="V186">
        <f>VLOOKUP(O233,N154:O230,2,FALSE)</f>
        <v>56870</v>
      </c>
      <c r="W186" t="str">
        <f>CONCATENATE(V187,"-",U186)</f>
        <v>Aug-2022</v>
      </c>
      <c r="AB186" s="1704">
        <v>44562</v>
      </c>
      <c r="AC186">
        <v>22</v>
      </c>
      <c r="AI186" s="1634">
        <f>O234</f>
        <v>56870</v>
      </c>
    </row>
    <row r="187" spans="11:35" hidden="1">
      <c r="L187" s="1711">
        <f>VLOOKUP(L186,K153:L182,2,FALSE)</f>
        <v>43739</v>
      </c>
      <c r="N187">
        <v>34</v>
      </c>
      <c r="O187">
        <v>33220</v>
      </c>
      <c r="P187">
        <v>34170</v>
      </c>
      <c r="Q187">
        <v>33220</v>
      </c>
      <c r="R187">
        <v>35120</v>
      </c>
      <c r="U187" t="s">
        <v>961</v>
      </c>
      <c r="V187" s="1708" t="str">
        <f>X175</f>
        <v>Aug</v>
      </c>
      <c r="W187">
        <f>MONTH(W186)</f>
        <v>8</v>
      </c>
      <c r="X187">
        <f>W187-1</f>
        <v>7</v>
      </c>
      <c r="Y187">
        <f>DATA!BA141</f>
        <v>7</v>
      </c>
      <c r="Z187" s="1704">
        <v>44592</v>
      </c>
      <c r="AB187" s="1704" t="s">
        <v>961</v>
      </c>
      <c r="AC187" s="1712">
        <f>X176</f>
        <v>43313</v>
      </c>
      <c r="AD187" s="1713">
        <f>VLOOKUP(AI186,O154:P230,2,FALSE)</f>
        <v>58330</v>
      </c>
      <c r="AE187" s="1712">
        <f>SMALL(AC187:AC189,1)</f>
        <v>43313</v>
      </c>
      <c r="AF187" s="1705"/>
      <c r="AI187" s="1634">
        <f>VLOOKUP(AI186,O154:P230,2,FALSE)</f>
        <v>58330</v>
      </c>
    </row>
    <row r="188" spans="11:35" hidden="1">
      <c r="L188" s="1714">
        <f>IF(L187=L153,"",L187)</f>
        <v>43739</v>
      </c>
      <c r="N188">
        <v>35</v>
      </c>
      <c r="O188">
        <v>34170</v>
      </c>
      <c r="P188">
        <v>35120</v>
      </c>
      <c r="Q188">
        <v>34170</v>
      </c>
      <c r="R188">
        <v>36070</v>
      </c>
      <c r="U188" s="1715" t="s">
        <v>758</v>
      </c>
      <c r="V188" s="1715" t="str">
        <f>V158</f>
        <v>Yes</v>
      </c>
      <c r="W188" s="1716">
        <f>Z188</f>
        <v>43739</v>
      </c>
      <c r="X188" s="1716"/>
      <c r="Y188" s="1715" t="str">
        <f>K186</f>
        <v>AAS</v>
      </c>
      <c r="Z188" s="1704">
        <f>IF(AA188="","",IF(V188=V154,AA188,Z187))</f>
        <v>43739</v>
      </c>
      <c r="AA188" s="1704">
        <f>L188</f>
        <v>43739</v>
      </c>
      <c r="AB188" s="1704" t="s">
        <v>758</v>
      </c>
      <c r="AC188" s="1706">
        <f>L189</f>
        <v>43739</v>
      </c>
      <c r="AD188" s="1705">
        <f>IF(L186=1,AD187,VLOOKUP(AD187,O154:P230,2,FALSE))</f>
        <v>59890</v>
      </c>
      <c r="AE188" s="1706">
        <f>SMALL(AC187:AC189,2)</f>
        <v>43647</v>
      </c>
    </row>
    <row r="189" spans="11:35" hidden="1">
      <c r="L189" s="1711">
        <f>IF(L187=L153,AB186,L187)</f>
        <v>43739</v>
      </c>
      <c r="N189">
        <v>36</v>
      </c>
      <c r="O189">
        <v>35120</v>
      </c>
      <c r="P189">
        <v>36070</v>
      </c>
      <c r="Q189">
        <v>35120</v>
      </c>
      <c r="R189">
        <v>37100</v>
      </c>
      <c r="U189" s="1717" t="s">
        <v>757</v>
      </c>
      <c r="V189" s="1718" t="str">
        <f>U161</f>
        <v>No</v>
      </c>
      <c r="W189" s="1718" t="str">
        <f>IF(U160=1,"",L191)</f>
        <v/>
      </c>
      <c r="X189" s="1704">
        <f>DATA!AU189</f>
        <v>42736</v>
      </c>
      <c r="Y189" s="1704" t="e">
        <f>VLOOKUP(X189,M154:S184,6,TRUE)</f>
        <v>#N/A</v>
      </c>
      <c r="AB189" t="s">
        <v>962</v>
      </c>
      <c r="AC189" s="1706">
        <f>L197</f>
        <v>43647</v>
      </c>
      <c r="AD189" s="1705">
        <f>IF(AND(L194=1,AA158=1),VLOOKUP(AD188,O154:P230,2,FALSE),IF(AND(L194=1,AA158=2),VLOOKUP(AD188,Q154:R230,2,FALSE),AD188))</f>
        <v>59890</v>
      </c>
      <c r="AE189" s="1706">
        <f>SMALL(AC187:AC189,3)</f>
        <v>43739</v>
      </c>
    </row>
    <row r="190" spans="11:35" hidden="1">
      <c r="K190" s="1634" t="s">
        <v>757</v>
      </c>
      <c r="L190" s="1710">
        <v>1</v>
      </c>
      <c r="N190">
        <v>37</v>
      </c>
      <c r="O190">
        <v>36070</v>
      </c>
      <c r="P190">
        <v>37100</v>
      </c>
      <c r="Q190">
        <v>36070</v>
      </c>
      <c r="R190">
        <v>38130</v>
      </c>
      <c r="U190" s="1719" t="s">
        <v>883</v>
      </c>
      <c r="V190" s="1719" t="str">
        <f>T160</f>
        <v>PF</v>
      </c>
      <c r="X190">
        <f>VLOOKUP(W188,S154:Z184,8,TRUE)</f>
        <v>15</v>
      </c>
      <c r="Y190">
        <f>X190-1</f>
        <v>14</v>
      </c>
    </row>
    <row r="191" spans="11:35" hidden="1">
      <c r="L191" s="1711" t="str">
        <f>VLOOKUP(L190,K153:L183,2,FALSE)</f>
        <v>Select</v>
      </c>
      <c r="N191">
        <v>38</v>
      </c>
      <c r="O191">
        <v>37100</v>
      </c>
      <c r="P191">
        <v>38130</v>
      </c>
      <c r="Q191">
        <v>37100</v>
      </c>
      <c r="R191">
        <v>39160</v>
      </c>
      <c r="U191" s="1720" t="s">
        <v>13</v>
      </c>
      <c r="V191" s="1721">
        <f>W160</f>
        <v>12</v>
      </c>
    </row>
    <row r="192" spans="11:35" hidden="1">
      <c r="L192" s="1634" t="str">
        <f>IF(L191=L153,"",L191)</f>
        <v/>
      </c>
      <c r="N192">
        <v>39</v>
      </c>
      <c r="O192">
        <v>38130</v>
      </c>
      <c r="P192">
        <v>39160</v>
      </c>
      <c r="Q192">
        <v>38130</v>
      </c>
      <c r="R192">
        <v>40270</v>
      </c>
      <c r="V192" t="str">
        <f>CONCATENATE(V191,"%")</f>
        <v>12%</v>
      </c>
    </row>
    <row r="193" spans="11:29" ht="15" hidden="1">
      <c r="L193" s="1711">
        <f>IF(L191=L153,AB186,L191)</f>
        <v>44562</v>
      </c>
      <c r="N193">
        <v>40</v>
      </c>
      <c r="O193">
        <v>39160</v>
      </c>
      <c r="P193">
        <v>40270</v>
      </c>
      <c r="Q193">
        <v>39160</v>
      </c>
      <c r="R193">
        <v>41380</v>
      </c>
      <c r="V193" s="1707">
        <f>DATA!CL$274</f>
        <v>1</v>
      </c>
      <c r="Z193" s="502">
        <v>43282</v>
      </c>
      <c r="AA193" s="503">
        <v>0.27248</v>
      </c>
      <c r="AB193" s="503">
        <v>0.30392000000000002</v>
      </c>
      <c r="AC193" s="503">
        <f>AB193-AA193</f>
        <v>3.1440000000000023E-2</v>
      </c>
    </row>
    <row r="194" spans="11:29" ht="15" hidden="1">
      <c r="K194" s="1634" t="s">
        <v>962</v>
      </c>
      <c r="L194" s="1710">
        <v>13</v>
      </c>
      <c r="N194">
        <v>41</v>
      </c>
      <c r="O194">
        <v>40270</v>
      </c>
      <c r="P194">
        <v>41380</v>
      </c>
      <c r="Q194">
        <v>40270</v>
      </c>
      <c r="R194">
        <v>42490</v>
      </c>
      <c r="U194" t="s">
        <v>759</v>
      </c>
      <c r="V194">
        <f>AA158</f>
        <v>1</v>
      </c>
      <c r="Z194" s="502">
        <v>43466</v>
      </c>
      <c r="AA194" s="503">
        <v>0.30392000000000002</v>
      </c>
      <c r="AB194" s="503">
        <v>0.33535999999999999</v>
      </c>
      <c r="AC194" s="503">
        <f>AB194-AA194</f>
        <v>3.1439999999999968E-2</v>
      </c>
    </row>
    <row r="195" spans="11:29" hidden="1">
      <c r="L195" s="1634">
        <f>VLOOKUP(L194,K153:L183,2,FALSE)</f>
        <v>43647</v>
      </c>
      <c r="N195">
        <v>42</v>
      </c>
      <c r="O195">
        <v>41380</v>
      </c>
      <c r="P195">
        <v>42490</v>
      </c>
      <c r="Q195">
        <v>41380</v>
      </c>
      <c r="R195">
        <v>43680</v>
      </c>
    </row>
    <row r="196" spans="11:29" hidden="1">
      <c r="L196" s="1634">
        <f>IF(L195=L153,"",L195)</f>
        <v>43647</v>
      </c>
      <c r="N196">
        <v>43</v>
      </c>
      <c r="O196">
        <v>42490</v>
      </c>
      <c r="P196">
        <v>43680</v>
      </c>
      <c r="Q196">
        <v>42490</v>
      </c>
      <c r="R196">
        <v>44870</v>
      </c>
      <c r="V196" s="1722"/>
      <c r="W196" s="1722"/>
    </row>
    <row r="197" spans="11:29" hidden="1">
      <c r="L197" s="1711">
        <f>IF(L195=L153,AB186,L195)</f>
        <v>43647</v>
      </c>
      <c r="N197">
        <v>44</v>
      </c>
      <c r="O197">
        <v>43680</v>
      </c>
      <c r="P197">
        <v>44870</v>
      </c>
      <c r="Q197">
        <v>43680</v>
      </c>
      <c r="R197">
        <v>46060</v>
      </c>
      <c r="Y197">
        <f>IF(X198&lt;=X$189,VLOOKUP(V198,P$154:Q$231,2,TRUE),V198)</f>
        <v>19500</v>
      </c>
      <c r="AA197" s="1706">
        <v>43282</v>
      </c>
      <c r="AB197" s="1706">
        <v>43466</v>
      </c>
    </row>
    <row r="198" spans="11:29" hidden="1">
      <c r="N198">
        <v>45</v>
      </c>
      <c r="O198">
        <v>44870</v>
      </c>
      <c r="P198">
        <v>46060</v>
      </c>
      <c r="Q198">
        <v>44870</v>
      </c>
      <c r="R198">
        <v>47330</v>
      </c>
      <c r="U198" s="1723">
        <v>7</v>
      </c>
      <c r="V198" s="1724">
        <f>IF(U198=Y187,VLOOKUP(V199,P154:Q231,2,TRUE),V199)</f>
        <v>19500</v>
      </c>
      <c r="W198" s="1724">
        <v>0</v>
      </c>
      <c r="X198" s="1725">
        <v>43282</v>
      </c>
      <c r="Y198" s="1724">
        <f>IF(X198&lt;=X$189,VLOOKUP(V198,P$154:Q$231,2,TRUE),V198)</f>
        <v>19500</v>
      </c>
      <c r="Z198" s="1726">
        <f>IF(V$188=V$154,Y198,V198)</f>
        <v>19500</v>
      </c>
      <c r="AA198">
        <f>ROUND(Z198*AC$193,0)</f>
        <v>613</v>
      </c>
    </row>
    <row r="199" spans="11:29" hidden="1">
      <c r="N199">
        <v>46</v>
      </c>
      <c r="O199">
        <v>46060</v>
      </c>
      <c r="P199">
        <v>47330</v>
      </c>
      <c r="Q199">
        <v>46060</v>
      </c>
      <c r="R199">
        <v>48600</v>
      </c>
      <c r="U199" s="1727">
        <v>8</v>
      </c>
      <c r="V199" s="4">
        <f>IF(U199=Y187,VLOOKUP(V200,P154:Q231,2,TRUE),V200)</f>
        <v>20050</v>
      </c>
      <c r="W199" s="4">
        <v>1</v>
      </c>
      <c r="X199" s="1728">
        <v>43313</v>
      </c>
      <c r="Y199" s="4">
        <f>IF(X199&lt;=X$189,VLOOKUP(V199,P$154:Q$231,2,TRUE),V199)</f>
        <v>20050</v>
      </c>
      <c r="Z199" s="1729">
        <f>IF(V$188=V$154,Y199,V199)</f>
        <v>20050</v>
      </c>
      <c r="AA199">
        <f t="shared" ref="AA199:AA227" si="13">ROUND(Z199*AC$193,0)</f>
        <v>630</v>
      </c>
    </row>
    <row r="200" spans="11:29" hidden="1">
      <c r="N200">
        <v>47</v>
      </c>
      <c r="O200">
        <v>47330</v>
      </c>
      <c r="P200">
        <v>48600</v>
      </c>
      <c r="Q200">
        <v>47330</v>
      </c>
      <c r="R200">
        <v>49870</v>
      </c>
      <c r="U200" s="1727">
        <v>9</v>
      </c>
      <c r="V200" s="4">
        <f>IF(U200=Y187,VLOOKUP(V201,P154:Q231,2,TRUE),V201)</f>
        <v>20050</v>
      </c>
      <c r="W200" s="4">
        <v>2</v>
      </c>
      <c r="X200" s="1728">
        <v>43344</v>
      </c>
      <c r="Y200" s="4">
        <f t="shared" ref="Y200:Y225" si="14">IF(X200&lt;=X$189,VLOOKUP(V200,P$154:Q$231,2,TRUE),V200)</f>
        <v>20050</v>
      </c>
      <c r="Z200" s="1729">
        <f t="shared" ref="Z200:Z226" si="15">IF(V$188=V$154,Y200,V200)</f>
        <v>20050</v>
      </c>
      <c r="AA200">
        <f t="shared" si="13"/>
        <v>630</v>
      </c>
    </row>
    <row r="201" spans="11:29" hidden="1">
      <c r="N201">
        <v>48</v>
      </c>
      <c r="O201">
        <v>48600</v>
      </c>
      <c r="P201">
        <v>49870</v>
      </c>
      <c r="Q201">
        <v>48600</v>
      </c>
      <c r="R201">
        <v>51230</v>
      </c>
      <c r="U201" s="1727">
        <v>10</v>
      </c>
      <c r="V201" s="4">
        <f>IF(U201=Y187,VLOOKUP(V202,P154:Q231,2,TRUE),V202)</f>
        <v>20050</v>
      </c>
      <c r="W201" s="4">
        <v>3</v>
      </c>
      <c r="X201" s="1728">
        <v>43374</v>
      </c>
      <c r="Y201" s="4">
        <f t="shared" si="14"/>
        <v>20050</v>
      </c>
      <c r="Z201" s="1729">
        <f t="shared" si="15"/>
        <v>20050</v>
      </c>
      <c r="AA201">
        <f t="shared" si="13"/>
        <v>630</v>
      </c>
    </row>
    <row r="202" spans="11:29" hidden="1">
      <c r="N202">
        <v>49</v>
      </c>
      <c r="O202">
        <v>49870</v>
      </c>
      <c r="P202">
        <v>51230</v>
      </c>
      <c r="Q202">
        <v>49870</v>
      </c>
      <c r="R202">
        <v>52590</v>
      </c>
      <c r="U202" s="1727">
        <v>11</v>
      </c>
      <c r="V202" s="4">
        <f>IF(U202=Y187,VLOOKUP(V203,P154:Q231,2,TRUE),V203)</f>
        <v>20050</v>
      </c>
      <c r="W202" s="4">
        <v>4</v>
      </c>
      <c r="X202" s="1728">
        <v>43405</v>
      </c>
      <c r="Y202" s="4">
        <f t="shared" si="14"/>
        <v>20050</v>
      </c>
      <c r="Z202" s="1729">
        <f t="shared" si="15"/>
        <v>20050</v>
      </c>
      <c r="AA202">
        <f t="shared" si="13"/>
        <v>630</v>
      </c>
    </row>
    <row r="203" spans="11:29" hidden="1">
      <c r="N203">
        <v>50</v>
      </c>
      <c r="O203">
        <v>51230</v>
      </c>
      <c r="P203">
        <v>52590</v>
      </c>
      <c r="Q203">
        <v>51230</v>
      </c>
      <c r="R203">
        <v>53950</v>
      </c>
      <c r="U203" s="1727">
        <v>12</v>
      </c>
      <c r="V203" s="4">
        <f>IF(U203=Y187,VLOOKUP(V204,P154:Q231,2,TRUE),V204)</f>
        <v>20050</v>
      </c>
      <c r="W203" s="4">
        <v>5</v>
      </c>
      <c r="X203" s="1728">
        <v>43435</v>
      </c>
      <c r="Y203" s="4">
        <f t="shared" si="14"/>
        <v>20050</v>
      </c>
      <c r="Z203" s="1729">
        <f t="shared" si="15"/>
        <v>20050</v>
      </c>
      <c r="AA203">
        <f t="shared" si="13"/>
        <v>630</v>
      </c>
    </row>
    <row r="204" spans="11:29" hidden="1">
      <c r="N204">
        <v>51</v>
      </c>
      <c r="O204">
        <v>52590</v>
      </c>
      <c r="P204">
        <v>53950</v>
      </c>
      <c r="Q204">
        <v>52590</v>
      </c>
      <c r="R204">
        <v>55410</v>
      </c>
      <c r="U204" s="1727">
        <v>1</v>
      </c>
      <c r="V204" s="4">
        <f>IF(U204=Y187,VLOOKUP(V205,P154:Q231,2,TRUE),V205)</f>
        <v>20050</v>
      </c>
      <c r="W204" s="4">
        <v>6</v>
      </c>
      <c r="X204" s="1728">
        <v>43466</v>
      </c>
      <c r="Y204" s="4">
        <f t="shared" si="14"/>
        <v>20050</v>
      </c>
      <c r="Z204" s="1729">
        <f t="shared" si="15"/>
        <v>20050</v>
      </c>
      <c r="AA204">
        <f t="shared" si="13"/>
        <v>630</v>
      </c>
      <c r="AB204">
        <f>ROUND(Z204*AC$194,0)</f>
        <v>630</v>
      </c>
    </row>
    <row r="205" spans="11:29" hidden="1">
      <c r="N205">
        <v>52</v>
      </c>
      <c r="O205">
        <v>53950</v>
      </c>
      <c r="P205">
        <v>55410</v>
      </c>
      <c r="Q205">
        <v>53950</v>
      </c>
      <c r="R205">
        <v>56870</v>
      </c>
      <c r="U205" s="1727">
        <v>2</v>
      </c>
      <c r="V205" s="4">
        <f>IF(U205=Y187,VLOOKUP(V206,P154:Q231,2,TRUE),V206)</f>
        <v>20050</v>
      </c>
      <c r="W205" s="4">
        <v>7</v>
      </c>
      <c r="X205" s="1728">
        <v>43497</v>
      </c>
      <c r="Y205" s="4">
        <f t="shared" si="14"/>
        <v>20050</v>
      </c>
      <c r="Z205" s="1729">
        <f t="shared" si="15"/>
        <v>20050</v>
      </c>
      <c r="AA205">
        <f t="shared" si="13"/>
        <v>630</v>
      </c>
      <c r="AB205">
        <f t="shared" ref="AB205:AB233" si="16">ROUND(Z205*AC$194,0)</f>
        <v>630</v>
      </c>
    </row>
    <row r="206" spans="11:29" hidden="1">
      <c r="N206">
        <v>53</v>
      </c>
      <c r="O206">
        <v>55410</v>
      </c>
      <c r="P206">
        <v>56870</v>
      </c>
      <c r="Q206">
        <v>55410</v>
      </c>
      <c r="R206">
        <v>58330</v>
      </c>
      <c r="U206" s="1727">
        <v>3</v>
      </c>
      <c r="V206" s="4">
        <f>IF(U206=Y187,VLOOKUP(V207,P154:Q231,2,TRUE),V207)</f>
        <v>20050</v>
      </c>
      <c r="W206" s="4">
        <v>8</v>
      </c>
      <c r="X206" s="1728">
        <v>43525</v>
      </c>
      <c r="Y206" s="4">
        <f t="shared" si="14"/>
        <v>20050</v>
      </c>
      <c r="Z206" s="1729">
        <f t="shared" si="15"/>
        <v>20050</v>
      </c>
      <c r="AA206">
        <f t="shared" si="13"/>
        <v>630</v>
      </c>
      <c r="AB206">
        <f t="shared" si="16"/>
        <v>630</v>
      </c>
    </row>
    <row r="207" spans="11:29" hidden="1">
      <c r="N207">
        <v>54</v>
      </c>
      <c r="O207">
        <v>56870</v>
      </c>
      <c r="P207">
        <v>58330</v>
      </c>
      <c r="Q207">
        <v>56870</v>
      </c>
      <c r="R207">
        <v>59890</v>
      </c>
      <c r="U207" s="1727">
        <v>4</v>
      </c>
      <c r="V207" s="4">
        <f>IF(U207=Y187,VLOOKUP(V208,P154:Q231,2,TRUE),V208)</f>
        <v>20050</v>
      </c>
      <c r="W207" s="4">
        <v>9</v>
      </c>
      <c r="X207" s="1728">
        <v>43556</v>
      </c>
      <c r="Y207" s="4">
        <f t="shared" si="14"/>
        <v>20050</v>
      </c>
      <c r="Z207" s="1729">
        <f t="shared" si="15"/>
        <v>20050</v>
      </c>
      <c r="AA207">
        <f t="shared" si="13"/>
        <v>630</v>
      </c>
      <c r="AB207">
        <f t="shared" si="16"/>
        <v>630</v>
      </c>
    </row>
    <row r="208" spans="11:29" hidden="1">
      <c r="N208">
        <v>55</v>
      </c>
      <c r="O208">
        <v>58330</v>
      </c>
      <c r="P208">
        <v>59890</v>
      </c>
      <c r="Q208">
        <v>58330</v>
      </c>
      <c r="R208">
        <v>61450</v>
      </c>
      <c r="U208" s="1727">
        <v>5</v>
      </c>
      <c r="V208" s="4">
        <f>IF(U208=Y187,VLOOKUP(V209,P154:Q231,2,TRUE),V209)</f>
        <v>20050</v>
      </c>
      <c r="W208" s="4">
        <v>10</v>
      </c>
      <c r="X208" s="1728">
        <v>43586</v>
      </c>
      <c r="Y208" s="4">
        <f t="shared" si="14"/>
        <v>20050</v>
      </c>
      <c r="Z208" s="1729">
        <f t="shared" si="15"/>
        <v>20050</v>
      </c>
      <c r="AA208">
        <f t="shared" si="13"/>
        <v>630</v>
      </c>
      <c r="AB208">
        <f t="shared" si="16"/>
        <v>630</v>
      </c>
    </row>
    <row r="209" spans="14:28" hidden="1">
      <c r="N209">
        <v>56</v>
      </c>
      <c r="O209">
        <v>59890</v>
      </c>
      <c r="P209">
        <v>61450</v>
      </c>
      <c r="Q209">
        <v>59890</v>
      </c>
      <c r="R209">
        <v>63010</v>
      </c>
      <c r="U209" s="1727">
        <v>6</v>
      </c>
      <c r="V209" s="4">
        <f>IF(U209=Y187,VLOOKUP(V210,P154:Q231,2,TRUE),V210)</f>
        <v>20050</v>
      </c>
      <c r="W209" s="4">
        <v>11</v>
      </c>
      <c r="X209" s="1728">
        <v>43617</v>
      </c>
      <c r="Y209" s="4">
        <f t="shared" si="14"/>
        <v>20050</v>
      </c>
      <c r="Z209" s="1729">
        <f t="shared" si="15"/>
        <v>20050</v>
      </c>
      <c r="AA209">
        <f t="shared" si="13"/>
        <v>630</v>
      </c>
      <c r="AB209">
        <f t="shared" si="16"/>
        <v>630</v>
      </c>
    </row>
    <row r="210" spans="14:28" hidden="1">
      <c r="N210">
        <v>57</v>
      </c>
      <c r="O210">
        <v>61450</v>
      </c>
      <c r="P210">
        <v>63010</v>
      </c>
      <c r="Q210">
        <v>61450</v>
      </c>
      <c r="R210">
        <v>64670</v>
      </c>
      <c r="U210" s="1727">
        <v>7</v>
      </c>
      <c r="V210" s="4">
        <f>IF(U210=Y187,VLOOKUP(V211,P154:Q231,2,TRUE),V211)</f>
        <v>20050</v>
      </c>
      <c r="W210" s="4">
        <v>12</v>
      </c>
      <c r="X210" s="1728">
        <v>43647</v>
      </c>
      <c r="Y210" s="4">
        <f t="shared" si="14"/>
        <v>20050</v>
      </c>
      <c r="Z210" s="1729">
        <f t="shared" si="15"/>
        <v>20050</v>
      </c>
      <c r="AA210">
        <f t="shared" si="13"/>
        <v>630</v>
      </c>
      <c r="AB210">
        <f t="shared" si="16"/>
        <v>630</v>
      </c>
    </row>
    <row r="211" spans="14:28" hidden="1">
      <c r="N211">
        <v>58</v>
      </c>
      <c r="O211">
        <v>63010</v>
      </c>
      <c r="P211">
        <v>64670</v>
      </c>
      <c r="Q211">
        <v>63010</v>
      </c>
      <c r="R211">
        <v>66330</v>
      </c>
      <c r="U211" s="1727">
        <v>8</v>
      </c>
      <c r="V211" s="4">
        <f>IF(U211=Y187,VLOOKUP(V212,P154:Q231,2,TRUE),V212)</f>
        <v>20640</v>
      </c>
      <c r="W211" s="4">
        <v>13</v>
      </c>
      <c r="X211" s="1728">
        <v>43678</v>
      </c>
      <c r="Y211" s="4">
        <f t="shared" si="14"/>
        <v>20640</v>
      </c>
      <c r="Z211" s="1729">
        <f t="shared" si="15"/>
        <v>20640</v>
      </c>
      <c r="AA211">
        <f t="shared" si="13"/>
        <v>649</v>
      </c>
      <c r="AB211">
        <f t="shared" si="16"/>
        <v>649</v>
      </c>
    </row>
    <row r="212" spans="14:28" hidden="1">
      <c r="N212">
        <v>59</v>
      </c>
      <c r="O212">
        <v>64670</v>
      </c>
      <c r="P212">
        <v>66330</v>
      </c>
      <c r="Q212">
        <v>64670</v>
      </c>
      <c r="R212">
        <v>67990</v>
      </c>
      <c r="U212" s="1727">
        <v>9</v>
      </c>
      <c r="V212" s="4">
        <f>IF(U212=Y187,VLOOKUP(V213,P154:Q231,2,TRUE),V213)</f>
        <v>20640</v>
      </c>
      <c r="W212" s="4">
        <v>14</v>
      </c>
      <c r="X212" s="1728">
        <v>43709</v>
      </c>
      <c r="Y212" s="4">
        <f t="shared" si="14"/>
        <v>20640</v>
      </c>
      <c r="Z212" s="1729">
        <f t="shared" si="15"/>
        <v>20640</v>
      </c>
      <c r="AA212">
        <f t="shared" si="13"/>
        <v>649</v>
      </c>
      <c r="AB212">
        <f t="shared" si="16"/>
        <v>649</v>
      </c>
    </row>
    <row r="213" spans="14:28" hidden="1">
      <c r="N213">
        <v>60</v>
      </c>
      <c r="O213">
        <v>66330</v>
      </c>
      <c r="P213">
        <v>67990</v>
      </c>
      <c r="Q213">
        <v>66330</v>
      </c>
      <c r="R213">
        <v>69750</v>
      </c>
      <c r="U213" s="1727">
        <v>10</v>
      </c>
      <c r="V213" s="4">
        <f>IF(U213=Y187,VLOOKUP(V214,P154:Q231,2,TRUE),V214)</f>
        <v>20640</v>
      </c>
      <c r="W213" s="4">
        <v>15</v>
      </c>
      <c r="X213" s="1728">
        <v>43739</v>
      </c>
      <c r="Y213" s="4">
        <f t="shared" si="14"/>
        <v>20640</v>
      </c>
      <c r="Z213" s="1729">
        <f t="shared" si="15"/>
        <v>20640</v>
      </c>
      <c r="AA213">
        <f t="shared" si="13"/>
        <v>649</v>
      </c>
      <c r="AB213">
        <f t="shared" si="16"/>
        <v>649</v>
      </c>
    </row>
    <row r="214" spans="14:28" hidden="1">
      <c r="N214">
        <v>61</v>
      </c>
      <c r="O214">
        <v>67990</v>
      </c>
      <c r="P214">
        <v>69750</v>
      </c>
      <c r="Q214">
        <v>67990</v>
      </c>
      <c r="R214">
        <v>71510</v>
      </c>
      <c r="U214" s="1727">
        <v>11</v>
      </c>
      <c r="V214" s="4">
        <f>IF(U214=Y187,VLOOKUP(V215,P154:Q231,2,TRUE),V215)</f>
        <v>20640</v>
      </c>
      <c r="W214" s="4">
        <v>16</v>
      </c>
      <c r="X214" s="1728">
        <v>43770</v>
      </c>
      <c r="Y214" s="4">
        <f t="shared" si="14"/>
        <v>20640</v>
      </c>
      <c r="Z214" s="1729">
        <f t="shared" si="15"/>
        <v>20640</v>
      </c>
      <c r="AA214">
        <f t="shared" si="13"/>
        <v>649</v>
      </c>
      <c r="AB214">
        <f t="shared" si="16"/>
        <v>649</v>
      </c>
    </row>
    <row r="215" spans="14:28" hidden="1">
      <c r="N215">
        <v>62</v>
      </c>
      <c r="O215">
        <v>69750</v>
      </c>
      <c r="P215">
        <v>71510</v>
      </c>
      <c r="Q215">
        <v>69750</v>
      </c>
      <c r="R215">
        <v>73270</v>
      </c>
      <c r="U215" s="1727">
        <v>12</v>
      </c>
      <c r="V215" s="4">
        <f>IF(U215=Y187,VLOOKUP(V216,P154:Q231,2,TRUE),V216)</f>
        <v>20640</v>
      </c>
      <c r="W215" s="4">
        <v>17</v>
      </c>
      <c r="X215" s="1728">
        <v>43800</v>
      </c>
      <c r="Y215" s="4">
        <f t="shared" si="14"/>
        <v>20640</v>
      </c>
      <c r="Z215" s="1729">
        <f t="shared" si="15"/>
        <v>20640</v>
      </c>
      <c r="AA215">
        <f t="shared" si="13"/>
        <v>649</v>
      </c>
      <c r="AB215">
        <f t="shared" si="16"/>
        <v>649</v>
      </c>
    </row>
    <row r="216" spans="14:28" hidden="1">
      <c r="N216">
        <v>63</v>
      </c>
      <c r="O216">
        <v>71510</v>
      </c>
      <c r="P216">
        <v>73270</v>
      </c>
      <c r="Q216">
        <v>71510</v>
      </c>
      <c r="R216">
        <v>75150</v>
      </c>
      <c r="U216" s="1727">
        <v>1</v>
      </c>
      <c r="V216" s="4">
        <f>IF(U216=Y187,VLOOKUP(V217,P154:Q231,2,TRUE),V217)</f>
        <v>20640</v>
      </c>
      <c r="W216" s="4">
        <v>18</v>
      </c>
      <c r="X216" s="1728">
        <v>43831</v>
      </c>
      <c r="Y216" s="4">
        <f t="shared" si="14"/>
        <v>20640</v>
      </c>
      <c r="Z216" s="1729">
        <f t="shared" si="15"/>
        <v>20640</v>
      </c>
      <c r="AA216">
        <f t="shared" si="13"/>
        <v>649</v>
      </c>
      <c r="AB216">
        <f t="shared" si="16"/>
        <v>649</v>
      </c>
    </row>
    <row r="217" spans="14:28" hidden="1">
      <c r="N217">
        <v>64</v>
      </c>
      <c r="O217">
        <v>73270</v>
      </c>
      <c r="P217">
        <v>75150</v>
      </c>
      <c r="Q217">
        <v>73270</v>
      </c>
      <c r="R217">
        <v>77030</v>
      </c>
      <c r="U217" s="1727">
        <v>2</v>
      </c>
      <c r="V217" s="4">
        <f>IF(U217=Y187,VLOOKUP(V218,P154:Q231,2,TRUE),V218)</f>
        <v>20640</v>
      </c>
      <c r="W217" s="4">
        <v>19</v>
      </c>
      <c r="X217" s="1728">
        <v>43862</v>
      </c>
      <c r="Y217" s="4">
        <f t="shared" si="14"/>
        <v>20640</v>
      </c>
      <c r="Z217" s="1729">
        <f t="shared" si="15"/>
        <v>20640</v>
      </c>
      <c r="AA217">
        <f t="shared" si="13"/>
        <v>649</v>
      </c>
      <c r="AB217">
        <f t="shared" si="16"/>
        <v>649</v>
      </c>
    </row>
    <row r="218" spans="14:28" hidden="1">
      <c r="N218">
        <v>65</v>
      </c>
      <c r="O218">
        <v>75150</v>
      </c>
      <c r="P218">
        <v>77030</v>
      </c>
      <c r="Q218">
        <v>75150</v>
      </c>
      <c r="R218">
        <v>78910</v>
      </c>
      <c r="U218" s="1727">
        <v>3</v>
      </c>
      <c r="V218" s="4">
        <f>IF(U218=Y187,VLOOKUP(V219,P154:Q231,2,TRUE),V219)</f>
        <v>20640</v>
      </c>
      <c r="W218" s="4">
        <v>20</v>
      </c>
      <c r="X218" s="1728">
        <v>43891</v>
      </c>
      <c r="Y218" s="4">
        <f t="shared" si="14"/>
        <v>20640</v>
      </c>
      <c r="Z218" s="1729">
        <f t="shared" si="15"/>
        <v>20640</v>
      </c>
      <c r="AA218">
        <f t="shared" si="13"/>
        <v>649</v>
      </c>
      <c r="AB218">
        <f t="shared" si="16"/>
        <v>649</v>
      </c>
    </row>
    <row r="219" spans="14:28" hidden="1">
      <c r="N219">
        <v>66</v>
      </c>
      <c r="O219">
        <v>77030</v>
      </c>
      <c r="P219">
        <v>78910</v>
      </c>
      <c r="Q219">
        <v>77030</v>
      </c>
      <c r="R219">
        <v>80930</v>
      </c>
      <c r="U219" s="1727">
        <v>4</v>
      </c>
      <c r="V219" s="4">
        <f>IF(U219=Y187,VLOOKUP(V220,P154:Q231,2,TRUE),V220)</f>
        <v>20640</v>
      </c>
      <c r="W219" s="4">
        <v>21</v>
      </c>
      <c r="X219" s="1728">
        <v>43922</v>
      </c>
      <c r="Y219" s="4">
        <f t="shared" si="14"/>
        <v>20640</v>
      </c>
      <c r="Z219" s="1729">
        <f t="shared" si="15"/>
        <v>20640</v>
      </c>
      <c r="AA219">
        <f t="shared" si="13"/>
        <v>649</v>
      </c>
      <c r="AB219">
        <f t="shared" si="16"/>
        <v>649</v>
      </c>
    </row>
    <row r="220" spans="14:28" hidden="1">
      <c r="N220">
        <v>67</v>
      </c>
      <c r="O220">
        <v>78910</v>
      </c>
      <c r="P220">
        <v>80930</v>
      </c>
      <c r="Q220">
        <v>78910</v>
      </c>
      <c r="R220">
        <v>82950</v>
      </c>
      <c r="U220" s="1727">
        <v>5</v>
      </c>
      <c r="V220" s="4">
        <f>IF(U220=Y187,VLOOKUP(V221,P154:Q231,2,TRUE),V221)</f>
        <v>20640</v>
      </c>
      <c r="W220" s="4">
        <v>22</v>
      </c>
      <c r="X220" s="1728">
        <v>43952</v>
      </c>
      <c r="Y220" s="4">
        <f t="shared" si="14"/>
        <v>20640</v>
      </c>
      <c r="Z220" s="1729">
        <f t="shared" si="15"/>
        <v>20640</v>
      </c>
      <c r="AA220">
        <f t="shared" si="13"/>
        <v>649</v>
      </c>
      <c r="AB220">
        <f t="shared" si="16"/>
        <v>649</v>
      </c>
    </row>
    <row r="221" spans="14:28" hidden="1">
      <c r="N221">
        <v>68</v>
      </c>
      <c r="O221">
        <v>80930</v>
      </c>
      <c r="P221">
        <v>82950</v>
      </c>
      <c r="Q221">
        <v>80930</v>
      </c>
      <c r="R221">
        <v>84970</v>
      </c>
      <c r="U221" s="1727">
        <v>6</v>
      </c>
      <c r="V221" s="4">
        <f>IF(U221=Y187,VLOOKUP(V222,P154:Q231,2,TRUE),V222)</f>
        <v>20640</v>
      </c>
      <c r="W221" s="4">
        <v>23</v>
      </c>
      <c r="X221" s="1728">
        <v>43983</v>
      </c>
      <c r="Y221" s="4">
        <f>IF(X221&lt;=X$189,VLOOKUP(V221,P$154:Q$231,2,TRUE),V221)</f>
        <v>20640</v>
      </c>
      <c r="Z221" s="1729">
        <f>IF(V$188=V$154,Y221,V221)</f>
        <v>20640</v>
      </c>
      <c r="AA221">
        <f t="shared" si="13"/>
        <v>649</v>
      </c>
      <c r="AB221">
        <f t="shared" si="16"/>
        <v>649</v>
      </c>
    </row>
    <row r="222" spans="14:28" hidden="1">
      <c r="N222">
        <v>69</v>
      </c>
      <c r="O222">
        <v>82950</v>
      </c>
      <c r="P222">
        <v>84970</v>
      </c>
      <c r="Q222">
        <v>82950</v>
      </c>
      <c r="R222">
        <v>87130</v>
      </c>
      <c r="U222" s="1727">
        <v>7</v>
      </c>
      <c r="V222" s="4">
        <f>IF(U222=Y187,VLOOKUP(V223,P154:Q231,2,TRUE),V223)</f>
        <v>20640</v>
      </c>
      <c r="W222" s="4">
        <v>24</v>
      </c>
      <c r="X222" s="1728">
        <v>44013</v>
      </c>
      <c r="Y222" s="4">
        <f t="shared" si="14"/>
        <v>20640</v>
      </c>
      <c r="Z222" s="1729">
        <f t="shared" si="15"/>
        <v>20640</v>
      </c>
      <c r="AA222">
        <f t="shared" si="13"/>
        <v>649</v>
      </c>
      <c r="AB222">
        <f t="shared" si="16"/>
        <v>649</v>
      </c>
    </row>
    <row r="223" spans="14:28" hidden="1">
      <c r="N223">
        <v>70</v>
      </c>
      <c r="O223">
        <v>84970</v>
      </c>
      <c r="P223">
        <v>87130</v>
      </c>
      <c r="Q223">
        <v>84970</v>
      </c>
      <c r="R223">
        <v>89290</v>
      </c>
      <c r="U223" s="1727">
        <v>8</v>
      </c>
      <c r="V223" s="4">
        <f>IF(U223=Y187,VLOOKUP(V224,P154:Q231,2,TRUE),V224)</f>
        <v>21230</v>
      </c>
      <c r="W223" s="4">
        <v>25</v>
      </c>
      <c r="X223" s="1728">
        <v>44044</v>
      </c>
      <c r="Y223" s="4">
        <f t="shared" si="14"/>
        <v>21230</v>
      </c>
      <c r="Z223" s="1729">
        <f t="shared" si="15"/>
        <v>21230</v>
      </c>
      <c r="AA223">
        <f t="shared" si="13"/>
        <v>667</v>
      </c>
      <c r="AB223">
        <f t="shared" si="16"/>
        <v>667</v>
      </c>
    </row>
    <row r="224" spans="14:28" hidden="1">
      <c r="N224">
        <v>71</v>
      </c>
      <c r="O224">
        <v>87130</v>
      </c>
      <c r="P224">
        <v>89290</v>
      </c>
      <c r="Q224">
        <v>87130</v>
      </c>
      <c r="R224">
        <v>91450</v>
      </c>
      <c r="U224" s="1727">
        <v>9</v>
      </c>
      <c r="V224" s="4">
        <f>IF(U224=Y187,VLOOKUP(V225,P154:Q231,2,TRUE),V225)</f>
        <v>21230</v>
      </c>
      <c r="W224" s="4">
        <v>26</v>
      </c>
      <c r="X224" s="1728">
        <v>44075</v>
      </c>
      <c r="Y224" s="4">
        <f>IF(X224&lt;=X$189,VLOOKUP(V224,P$154:Q$231,2,TRUE),V224)</f>
        <v>21230</v>
      </c>
      <c r="Z224" s="1729">
        <f t="shared" si="15"/>
        <v>21230</v>
      </c>
      <c r="AA224">
        <f t="shared" si="13"/>
        <v>667</v>
      </c>
      <c r="AB224">
        <f t="shared" si="16"/>
        <v>667</v>
      </c>
    </row>
    <row r="225" spans="14:28" hidden="1">
      <c r="N225">
        <v>72</v>
      </c>
      <c r="O225">
        <v>89290</v>
      </c>
      <c r="P225">
        <v>91450</v>
      </c>
      <c r="Q225">
        <v>89290</v>
      </c>
      <c r="R225">
        <v>93780</v>
      </c>
      <c r="U225" s="1727">
        <v>10</v>
      </c>
      <c r="V225" s="4">
        <f>IF(U225=Y187,VLOOKUP(V226,P154:Q231,2,TRUE),V226)</f>
        <v>21230</v>
      </c>
      <c r="W225" s="4">
        <v>27</v>
      </c>
      <c r="X225" s="1728">
        <v>44105</v>
      </c>
      <c r="Y225" s="4">
        <f t="shared" si="14"/>
        <v>21230</v>
      </c>
      <c r="Z225" s="1729">
        <f t="shared" si="15"/>
        <v>21230</v>
      </c>
      <c r="AA225">
        <f t="shared" si="13"/>
        <v>667</v>
      </c>
      <c r="AB225">
        <f t="shared" si="16"/>
        <v>667</v>
      </c>
    </row>
    <row r="226" spans="14:28" hidden="1">
      <c r="N226">
        <v>73</v>
      </c>
      <c r="O226">
        <v>91450</v>
      </c>
      <c r="P226">
        <v>93780</v>
      </c>
      <c r="Q226">
        <v>91450</v>
      </c>
      <c r="R226">
        <v>96110</v>
      </c>
      <c r="U226" s="1727">
        <v>11</v>
      </c>
      <c r="V226" s="4">
        <f>IF(U226=Y187,VLOOKUP(V227,P154:Q231,2,TRUE),V227)</f>
        <v>21230</v>
      </c>
      <c r="W226" s="4">
        <v>28</v>
      </c>
      <c r="X226" s="1728">
        <v>44136</v>
      </c>
      <c r="Y226" s="4">
        <f t="shared" ref="Y226:Y241" si="17">IF(X226&lt;=X$189,VLOOKUP(V226,P$154:Q$231,2,TRUE),V226)</f>
        <v>21230</v>
      </c>
      <c r="Z226" s="1729">
        <f t="shared" si="15"/>
        <v>21230</v>
      </c>
      <c r="AA226">
        <f t="shared" si="13"/>
        <v>667</v>
      </c>
      <c r="AB226">
        <f t="shared" si="16"/>
        <v>667</v>
      </c>
    </row>
    <row r="227" spans="14:28" hidden="1">
      <c r="N227">
        <v>74</v>
      </c>
      <c r="O227">
        <v>93780</v>
      </c>
      <c r="P227">
        <v>96110</v>
      </c>
      <c r="Q227">
        <v>93780</v>
      </c>
      <c r="R227">
        <v>98440</v>
      </c>
      <c r="U227" s="1727">
        <v>12</v>
      </c>
      <c r="V227" s="4">
        <f>IF(U227=Y187,VLOOKUP(V228,P154:Q231,2,TRUE),V228)</f>
        <v>21230</v>
      </c>
      <c r="W227" s="4">
        <v>29</v>
      </c>
      <c r="X227" s="1728">
        <v>44166</v>
      </c>
      <c r="Y227" s="4">
        <f t="shared" si="17"/>
        <v>21230</v>
      </c>
      <c r="Z227" s="1729">
        <f t="shared" ref="Z227:Z241" si="18">IF(V$188=V$154,Y227,V227)</f>
        <v>21230</v>
      </c>
      <c r="AA227">
        <f t="shared" si="13"/>
        <v>667</v>
      </c>
      <c r="AB227">
        <f t="shared" si="16"/>
        <v>667</v>
      </c>
    </row>
    <row r="228" spans="14:28" hidden="1">
      <c r="N228">
        <v>75</v>
      </c>
      <c r="O228">
        <v>96110</v>
      </c>
      <c r="P228">
        <v>98440</v>
      </c>
      <c r="Q228">
        <v>96110</v>
      </c>
      <c r="R228">
        <v>100770</v>
      </c>
      <c r="U228" s="1727">
        <v>1</v>
      </c>
      <c r="V228" s="4">
        <f>DATA!CE281</f>
        <v>21230</v>
      </c>
      <c r="W228" s="4">
        <v>30</v>
      </c>
      <c r="X228" s="1728">
        <v>44197</v>
      </c>
      <c r="Y228" s="4">
        <f t="shared" si="17"/>
        <v>21230</v>
      </c>
      <c r="Z228" s="1729">
        <f t="shared" si="18"/>
        <v>21230</v>
      </c>
      <c r="AB228">
        <f t="shared" si="16"/>
        <v>667</v>
      </c>
    </row>
    <row r="229" spans="14:28" hidden="1">
      <c r="N229">
        <v>76</v>
      </c>
      <c r="O229">
        <v>98440</v>
      </c>
      <c r="P229">
        <v>100770</v>
      </c>
      <c r="Q229">
        <v>98440</v>
      </c>
      <c r="R229">
        <v>103290</v>
      </c>
      <c r="U229" s="1727">
        <v>2</v>
      </c>
      <c r="V229" s="4">
        <f>DATA!CE282</f>
        <v>21230</v>
      </c>
      <c r="W229" s="4">
        <v>31</v>
      </c>
      <c r="X229" s="1728">
        <v>44228</v>
      </c>
      <c r="Y229" s="4">
        <f t="shared" si="17"/>
        <v>21230</v>
      </c>
      <c r="Z229" s="1729">
        <f t="shared" si="18"/>
        <v>21230</v>
      </c>
      <c r="AB229">
        <f t="shared" si="16"/>
        <v>667</v>
      </c>
    </row>
    <row r="230" spans="14:28" hidden="1">
      <c r="N230">
        <v>77</v>
      </c>
      <c r="O230">
        <v>100770</v>
      </c>
      <c r="P230">
        <v>103290</v>
      </c>
      <c r="Q230">
        <v>100770</v>
      </c>
      <c r="R230">
        <v>103290</v>
      </c>
      <c r="U230" s="1727">
        <v>3</v>
      </c>
      <c r="V230" s="4">
        <f>DATA!CE283</f>
        <v>21230</v>
      </c>
      <c r="W230" s="4">
        <v>32</v>
      </c>
      <c r="X230" s="1728">
        <v>44256</v>
      </c>
      <c r="Y230" s="4">
        <f t="shared" si="17"/>
        <v>21230</v>
      </c>
      <c r="Z230" s="1729">
        <f t="shared" si="18"/>
        <v>21230</v>
      </c>
      <c r="AB230">
        <f t="shared" si="16"/>
        <v>667</v>
      </c>
    </row>
    <row r="231" spans="14:28" hidden="1">
      <c r="N231">
        <v>78</v>
      </c>
      <c r="O231">
        <v>103290</v>
      </c>
      <c r="P231">
        <v>103290</v>
      </c>
      <c r="Q231">
        <v>103290</v>
      </c>
      <c r="R231">
        <v>103290</v>
      </c>
      <c r="U231" s="1727">
        <v>4</v>
      </c>
      <c r="V231" s="4">
        <f>DATA!CE284</f>
        <v>21230</v>
      </c>
      <c r="W231" s="4">
        <v>33</v>
      </c>
      <c r="X231" s="1728">
        <v>44287</v>
      </c>
      <c r="Y231" s="4">
        <f t="shared" si="17"/>
        <v>21230</v>
      </c>
      <c r="Z231" s="1729">
        <f t="shared" si="18"/>
        <v>21230</v>
      </c>
      <c r="AB231">
        <f t="shared" si="16"/>
        <v>667</v>
      </c>
    </row>
    <row r="232" spans="14:28" hidden="1">
      <c r="U232" s="1727">
        <v>5</v>
      </c>
      <c r="V232" s="4">
        <f>DATA!CE285</f>
        <v>21230</v>
      </c>
      <c r="W232" s="4">
        <v>34</v>
      </c>
      <c r="X232" s="1728">
        <v>44317</v>
      </c>
      <c r="Y232" s="4">
        <f t="shared" si="17"/>
        <v>21230</v>
      </c>
      <c r="Z232" s="1729">
        <f t="shared" si="18"/>
        <v>21230</v>
      </c>
      <c r="AB232">
        <f t="shared" si="16"/>
        <v>667</v>
      </c>
    </row>
    <row r="233" spans="14:28" hidden="1">
      <c r="O233" s="1707">
        <v>54</v>
      </c>
      <c r="U233" s="1727">
        <v>6</v>
      </c>
      <c r="V233" s="4">
        <f>DATA!CE286</f>
        <v>21230</v>
      </c>
      <c r="W233" s="4">
        <v>35</v>
      </c>
      <c r="X233" s="1728">
        <v>44348</v>
      </c>
      <c r="Y233" s="4">
        <f t="shared" si="17"/>
        <v>21230</v>
      </c>
      <c r="Z233" s="1729">
        <f t="shared" si="18"/>
        <v>21230</v>
      </c>
      <c r="AB233">
        <f t="shared" si="16"/>
        <v>667</v>
      </c>
    </row>
    <row r="234" spans="14:28" hidden="1">
      <c r="O234">
        <f>VLOOKUP(O233,N154:O230,2,FALSE)</f>
        <v>56870</v>
      </c>
      <c r="U234" s="1727">
        <v>7</v>
      </c>
      <c r="V234" s="4">
        <f>DATA!CE287</f>
        <v>21230</v>
      </c>
      <c r="W234" s="4">
        <v>36</v>
      </c>
      <c r="X234" s="1728">
        <v>44378</v>
      </c>
      <c r="Y234" s="4">
        <f t="shared" si="17"/>
        <v>21230</v>
      </c>
      <c r="Z234" s="1729">
        <f t="shared" si="18"/>
        <v>21230</v>
      </c>
    </row>
    <row r="235" spans="14:28" hidden="1">
      <c r="U235" s="1727">
        <v>8</v>
      </c>
      <c r="V235" s="4">
        <f>DATA!CE288</f>
        <v>21820</v>
      </c>
      <c r="W235" s="4">
        <v>37</v>
      </c>
      <c r="X235" s="1728">
        <v>44409</v>
      </c>
      <c r="Y235" s="4">
        <f t="shared" si="17"/>
        <v>21820</v>
      </c>
      <c r="Z235" s="1729">
        <f t="shared" si="18"/>
        <v>21820</v>
      </c>
    </row>
    <row r="236" spans="14:28" hidden="1">
      <c r="U236" s="1727">
        <v>9</v>
      </c>
      <c r="V236" s="4">
        <f>DATA!CE289</f>
        <v>21820</v>
      </c>
      <c r="W236" s="4">
        <v>38</v>
      </c>
      <c r="X236" s="1728">
        <v>44440</v>
      </c>
      <c r="Y236" s="4">
        <f t="shared" si="17"/>
        <v>21820</v>
      </c>
      <c r="Z236" s="1729">
        <f t="shared" si="18"/>
        <v>21820</v>
      </c>
    </row>
    <row r="237" spans="14:28" hidden="1">
      <c r="U237" s="1727">
        <v>10</v>
      </c>
      <c r="V237" s="4">
        <f>DATA!CE290</f>
        <v>21820</v>
      </c>
      <c r="W237" s="4">
        <v>39</v>
      </c>
      <c r="X237" s="1728">
        <v>44470</v>
      </c>
      <c r="Y237" s="4">
        <f t="shared" si="17"/>
        <v>21820</v>
      </c>
      <c r="Z237" s="1729">
        <f t="shared" si="18"/>
        <v>21820</v>
      </c>
    </row>
    <row r="238" spans="14:28" hidden="1">
      <c r="U238" s="1727">
        <v>11</v>
      </c>
      <c r="V238" s="4">
        <f>DATA!CE291</f>
        <v>21820</v>
      </c>
      <c r="W238" s="4">
        <v>40</v>
      </c>
      <c r="X238" s="1728">
        <v>44501</v>
      </c>
      <c r="Y238" s="4">
        <f t="shared" si="17"/>
        <v>21820</v>
      </c>
      <c r="Z238" s="1729">
        <f t="shared" si="18"/>
        <v>21820</v>
      </c>
    </row>
    <row r="239" spans="14:28" hidden="1">
      <c r="U239" s="1727">
        <v>12</v>
      </c>
      <c r="V239" s="4">
        <f>DATA!CE292</f>
        <v>21820</v>
      </c>
      <c r="W239" s="4">
        <v>41</v>
      </c>
      <c r="X239" s="1728">
        <v>44531</v>
      </c>
      <c r="Y239" s="4">
        <f t="shared" si="17"/>
        <v>21820</v>
      </c>
      <c r="Z239" s="1729">
        <f t="shared" si="18"/>
        <v>21820</v>
      </c>
    </row>
    <row r="240" spans="14:28" hidden="1">
      <c r="U240" s="1727">
        <v>13</v>
      </c>
      <c r="V240" s="4">
        <f>DATA!CE293</f>
        <v>21820</v>
      </c>
      <c r="W240" s="4">
        <v>42</v>
      </c>
      <c r="X240" s="1728">
        <v>44562</v>
      </c>
      <c r="Y240" s="4">
        <f t="shared" si="17"/>
        <v>21820</v>
      </c>
      <c r="Z240" s="1729">
        <f t="shared" si="18"/>
        <v>21820</v>
      </c>
    </row>
    <row r="241" spans="21:26" hidden="1">
      <c r="U241" s="1730">
        <v>14</v>
      </c>
      <c r="V241" s="1731">
        <f>DATA!CE294</f>
        <v>21820</v>
      </c>
      <c r="W241" s="1731">
        <v>43</v>
      </c>
      <c r="X241" s="1732">
        <v>44593</v>
      </c>
      <c r="Y241" s="1731">
        <f t="shared" si="17"/>
        <v>21820</v>
      </c>
      <c r="Z241" s="1733">
        <f t="shared" si="18"/>
        <v>21820</v>
      </c>
    </row>
    <row r="242" spans="21:26" hidden="1"/>
    <row r="243" spans="21:26" hidden="1"/>
    <row r="244" spans="21:26" hidden="1"/>
    <row r="245" spans="21:26" hidden="1"/>
    <row r="246" spans="21:26" hidden="1"/>
    <row r="247" spans="21:26" hidden="1"/>
    <row r="248" spans="21:26" hidden="1"/>
    <row r="249" spans="21:26" hidden="1"/>
    <row r="250" spans="21:26" hidden="1"/>
    <row r="251" spans="21:26" hidden="1">
      <c r="X251" t="s">
        <v>757</v>
      </c>
      <c r="Y251" t="e">
        <f>VLOOKUP(W189,B17:F48,5,FALSE)</f>
        <v>#N/A</v>
      </c>
      <c r="Z251">
        <f>IF(V189=U154,0,IF(V189=U155,ROUND(Y251/2,0),Y251))</f>
        <v>0</v>
      </c>
    </row>
    <row r="252" spans="21:26" hidden="1">
      <c r="X252" s="1734" t="s">
        <v>758</v>
      </c>
      <c r="Y252" s="1735" t="e">
        <f>VLOOKUP(X189,B17:F46,5,FALSE)</f>
        <v>#N/A</v>
      </c>
      <c r="Z252" s="1736" t="s">
        <v>884</v>
      </c>
    </row>
    <row r="253" spans="21:26" hidden="1">
      <c r="X253" s="1737"/>
      <c r="Y253" s="4" t="e">
        <f>VLOOKUP(X189,B17:F46,5,FALSE)</f>
        <v>#N/A</v>
      </c>
      <c r="Z253" s="1738" t="s">
        <v>885</v>
      </c>
    </row>
    <row r="254" spans="21:26" hidden="1">
      <c r="X254" s="1737"/>
      <c r="Y254" s="4" t="e">
        <f>Y252-Y253</f>
        <v>#N/A</v>
      </c>
      <c r="Z254" s="1738"/>
    </row>
    <row r="255" spans="21:26" hidden="1">
      <c r="W255" t="e">
        <f>IF(X255="","",Y188+1)</f>
        <v>#VALUE!</v>
      </c>
      <c r="X255" s="1739">
        <f>IF(V157=1,W188,"")</f>
        <v>43739</v>
      </c>
      <c r="Y255" s="4">
        <f>IF(X255="","",MONTH(X255))</f>
        <v>10</v>
      </c>
      <c r="Z255" s="1738">
        <f>IF(X255="","",YEAR(X255))</f>
        <v>2019</v>
      </c>
    </row>
    <row r="256" spans="21:26" hidden="1">
      <c r="W256">
        <f>IF(X255="","",DAY(EOMONTH(X255,0)))</f>
        <v>31</v>
      </c>
      <c r="X256" s="1740" t="e">
        <f>DATE(Z255,Y255,W255)</f>
        <v>#VALUE!</v>
      </c>
      <c r="Y256" s="4"/>
      <c r="Z256" s="1738"/>
    </row>
    <row r="257" spans="23:26" hidden="1">
      <c r="W257" s="1741"/>
      <c r="X257" s="1740">
        <f>DATE(Z255,Y255,W256)</f>
        <v>43769</v>
      </c>
      <c r="Y257" s="4" t="e">
        <f>DATEDIF(X256,X257,"D")</f>
        <v>#VALUE!</v>
      </c>
      <c r="Z257" s="1738" t="e">
        <f>Y257+1</f>
        <v>#VALUE!</v>
      </c>
    </row>
    <row r="258" spans="23:26" hidden="1">
      <c r="X258" s="1742"/>
      <c r="Y258" s="1743" t="e">
        <f>ROUND(Y254*Z257/W256,0)</f>
        <v>#N/A</v>
      </c>
      <c r="Z258" s="1744"/>
    </row>
    <row r="259" spans="23:26" hidden="1"/>
    <row r="260" spans="23:26" hidden="1"/>
  </sheetData>
  <sheetProtection sheet="1" objects="1" scenarios="1"/>
  <mergeCells count="17">
    <mergeCell ref="B57:H57"/>
    <mergeCell ref="B50:H50"/>
    <mergeCell ref="F54:G54"/>
    <mergeCell ref="B52:C52"/>
    <mergeCell ref="B53:E53"/>
    <mergeCell ref="B55:C56"/>
    <mergeCell ref="B54:C54"/>
    <mergeCell ref="B5:E5"/>
    <mergeCell ref="B13:H13"/>
    <mergeCell ref="B16:C16"/>
    <mergeCell ref="B2:H3"/>
    <mergeCell ref="G16:H16"/>
    <mergeCell ref="B6:E6"/>
    <mergeCell ref="B10:E10"/>
    <mergeCell ref="B9:E9"/>
    <mergeCell ref="B7:E7"/>
    <mergeCell ref="B11:E11"/>
  </mergeCells>
  <conditionalFormatting sqref="B53:H53">
    <cfRule type="expression" dxfId="3" priority="13" stopIfTrue="1">
      <formula>$F$9=$U$154</formula>
    </cfRule>
  </conditionalFormatting>
  <conditionalFormatting sqref="B52:H52">
    <cfRule type="expression" dxfId="2" priority="14">
      <formula>$F$7=$V$155</formula>
    </cfRule>
  </conditionalFormatting>
  <conditionalFormatting sqref="G9">
    <cfRule type="expression" dxfId="1" priority="21">
      <formula>$F$9=$U$154</formula>
    </cfRule>
  </conditionalFormatting>
  <conditionalFormatting sqref="B8:G8">
    <cfRule type="expression" dxfId="0" priority="24">
      <formula>$F$7=$V$155</formula>
    </cfRule>
  </conditionalFormatting>
  <pageMargins left="0.41" right="0.28999999999999998" top="0.3" bottom="0.2" header="0.3" footer="0.2"/>
</worksheet>
</file>

<file path=xl/worksheets/sheet10.xml><?xml version="1.0" encoding="utf-8"?>
<worksheet xmlns="http://schemas.openxmlformats.org/spreadsheetml/2006/main" xmlns:r="http://schemas.openxmlformats.org/officeDocument/2006/relationships">
  <sheetPr>
    <tabColor rgb="FF1F4A7E"/>
  </sheetPr>
  <dimension ref="B2:Z45"/>
  <sheetViews>
    <sheetView showGridLines="0" showRowColHeaders="0" workbookViewId="0">
      <selection activeCell="R11" sqref="R11"/>
    </sheetView>
  </sheetViews>
  <sheetFormatPr defaultColWidth="9.42578125" defaultRowHeight="15"/>
  <cols>
    <col min="1" max="1" width="9.42578125" style="766"/>
    <col min="2" max="2" width="6.42578125" style="766" customWidth="1"/>
    <col min="3" max="3" width="4.7109375" style="766" customWidth="1"/>
    <col min="4" max="4" width="7.7109375" style="766" customWidth="1"/>
    <col min="5" max="5" width="8.5703125" style="766" customWidth="1"/>
    <col min="6" max="10" width="7.7109375" style="766" customWidth="1"/>
    <col min="11" max="11" width="10.28515625" style="766" customWidth="1"/>
    <col min="12" max="12" width="11.28515625" style="766" customWidth="1"/>
    <col min="13" max="13" width="11" style="766" customWidth="1"/>
    <col min="14" max="14" width="9.42578125" style="766"/>
    <col min="15" max="15" width="13.7109375" style="766" customWidth="1"/>
    <col min="16" max="18" width="9.42578125" style="766"/>
    <col min="19" max="20" width="0" style="766" hidden="1" customWidth="1"/>
    <col min="21" max="16384" width="9.42578125" style="766"/>
  </cols>
  <sheetData>
    <row r="2" spans="2:26" ht="30" customHeight="1">
      <c r="B2" s="1745"/>
      <c r="C2" s="1746"/>
      <c r="D2" s="1746"/>
      <c r="E2" s="1746"/>
      <c r="F2" s="1747"/>
      <c r="G2" s="1747"/>
      <c r="H2" s="1747"/>
      <c r="I2" s="1747"/>
      <c r="J2" s="1747"/>
      <c r="K2" s="1747"/>
      <c r="L2" s="1747"/>
      <c r="M2" s="1748"/>
    </row>
    <row r="3" spans="2:26" ht="15" customHeight="1">
      <c r="B3" s="1749"/>
      <c r="C3" s="1750"/>
      <c r="D3" s="1750"/>
      <c r="E3" s="1750"/>
      <c r="F3" s="858"/>
      <c r="G3" s="858"/>
      <c r="H3" s="858"/>
      <c r="I3" s="858"/>
      <c r="J3" s="858"/>
      <c r="K3" s="858"/>
      <c r="L3" s="858"/>
      <c r="M3" s="1751"/>
      <c r="O3" s="1752"/>
      <c r="P3" s="1752"/>
      <c r="Q3" s="1752"/>
    </row>
    <row r="4" spans="2:26" ht="15" customHeight="1">
      <c r="B4" s="1749"/>
      <c r="C4" s="2447" t="s">
        <v>350</v>
      </c>
      <c r="D4" s="2447"/>
      <c r="E4" s="2447"/>
      <c r="F4" s="2447"/>
      <c r="G4" s="2447"/>
      <c r="H4" s="2447"/>
      <c r="I4" s="2447"/>
      <c r="J4" s="2447"/>
      <c r="K4" s="2447"/>
      <c r="L4" s="2447"/>
      <c r="M4" s="1751"/>
      <c r="O4" s="1752"/>
      <c r="P4" s="1752"/>
      <c r="Q4" s="1752"/>
    </row>
    <row r="5" spans="2:26" ht="15" customHeight="1">
      <c r="B5" s="1749"/>
      <c r="C5" s="2453" t="s">
        <v>351</v>
      </c>
      <c r="D5" s="2453"/>
      <c r="E5" s="2453"/>
      <c r="F5" s="2453"/>
      <c r="G5" s="2453"/>
      <c r="H5" s="2453"/>
      <c r="I5" s="2453"/>
      <c r="J5" s="2453"/>
      <c r="K5" s="2453"/>
      <c r="L5" s="2453"/>
      <c r="M5" s="1751"/>
      <c r="O5" s="1753"/>
      <c r="P5" s="1753"/>
      <c r="Q5" s="1753"/>
    </row>
    <row r="6" spans="2:26" ht="18">
      <c r="B6" s="1749"/>
      <c r="C6" s="1750"/>
      <c r="D6" s="1754"/>
      <c r="E6" s="1750"/>
      <c r="F6" s="858"/>
      <c r="G6" s="858"/>
      <c r="H6" s="858"/>
      <c r="I6" s="858"/>
      <c r="J6" s="858"/>
      <c r="K6" s="858"/>
      <c r="L6" s="858"/>
      <c r="M6" s="1751"/>
      <c r="N6" s="1755"/>
      <c r="O6" s="1756"/>
      <c r="P6" s="1756"/>
      <c r="Q6" s="1756"/>
      <c r="R6" s="1757"/>
    </row>
    <row r="7" spans="2:26" ht="21.95" customHeight="1">
      <c r="B7" s="1749"/>
      <c r="C7" s="1750"/>
      <c r="D7" s="1754"/>
      <c r="E7" s="1750"/>
      <c r="F7" s="858"/>
      <c r="G7" s="858"/>
      <c r="H7" s="858"/>
      <c r="I7" s="858"/>
      <c r="J7" s="858"/>
      <c r="K7" s="858"/>
      <c r="L7" s="858"/>
      <c r="M7" s="1751"/>
      <c r="N7" s="1755"/>
      <c r="O7" s="1758"/>
      <c r="P7" s="1759"/>
      <c r="Q7" s="1759"/>
      <c r="R7" s="1760"/>
    </row>
    <row r="8" spans="2:26" ht="21.95" customHeight="1">
      <c r="B8" s="1749"/>
      <c r="C8" s="1761"/>
      <c r="D8" s="1761"/>
      <c r="E8" s="1761"/>
      <c r="F8" s="2458" t="str">
        <f>IF(DATA!AH49=1,"","Received a sum of   House Rent 12 months amount ")</f>
        <v xml:space="preserve">Received a sum of   House Rent 12 months amount </v>
      </c>
      <c r="G8" s="2458"/>
      <c r="H8" s="2458"/>
      <c r="I8" s="2458"/>
      <c r="J8" s="2458"/>
      <c r="K8" s="2458"/>
      <c r="L8" s="2458"/>
      <c r="M8" s="2459"/>
      <c r="N8" s="1755"/>
      <c r="O8" s="1758"/>
      <c r="P8" s="1762"/>
      <c r="Q8" s="1762"/>
      <c r="T8" s="766">
        <f>DATA!S11</f>
        <v>12000</v>
      </c>
    </row>
    <row r="9" spans="2:26" ht="21.95" customHeight="1">
      <c r="B9" s="1749"/>
      <c r="C9" s="2458" t="str">
        <f>IF(DATA!AH49=1,"","from")</f>
        <v>from</v>
      </c>
      <c r="D9" s="2458"/>
      <c r="E9" s="2449" t="str">
        <f>IF(DATA!AH49=1,"",CONCATENATE('Annexure -I I'!D6))</f>
        <v>Sri.  A.Nagesh</v>
      </c>
      <c r="F9" s="2449"/>
      <c r="G9" s="2449"/>
      <c r="H9" s="2449"/>
      <c r="I9" s="2449"/>
      <c r="J9" s="1761" t="str">
        <f>IF(DATA!AH49=1,"","(Tenant)  Rs.")</f>
        <v>(Tenant)  Rs.</v>
      </c>
      <c r="K9" s="1761"/>
      <c r="L9" s="2454">
        <f>IF(DATA!AH49=1,"",F11*12)</f>
        <v>144000</v>
      </c>
      <c r="M9" s="2455"/>
      <c r="N9" s="1755"/>
      <c r="O9" s="1758"/>
      <c r="P9" s="1762"/>
      <c r="Q9" s="1762"/>
      <c r="T9" s="766">
        <f>T8*12</f>
        <v>144000</v>
      </c>
    </row>
    <row r="10" spans="2:26" ht="21.95" customHeight="1">
      <c r="B10" s="1749"/>
      <c r="C10" s="1761" t="str">
        <f>IF(DATA!AH49=1,"","Amount in words")</f>
        <v>Amount in words</v>
      </c>
      <c r="D10" s="1761"/>
      <c r="E10" s="1761"/>
      <c r="F10" s="2456" t="str">
        <f>IF(DATA!AH49=1,"",DATA!CC229)</f>
        <v>One Lakh Fourty Four Thousands  and    only</v>
      </c>
      <c r="G10" s="2456"/>
      <c r="H10" s="2456"/>
      <c r="I10" s="2456"/>
      <c r="J10" s="2456"/>
      <c r="K10" s="2456"/>
      <c r="L10" s="2456"/>
      <c r="M10" s="2457"/>
      <c r="N10" s="1755"/>
      <c r="O10" s="1758"/>
      <c r="P10" s="1762"/>
      <c r="Q10" s="1762"/>
    </row>
    <row r="11" spans="2:26" ht="21.95" customHeight="1">
      <c r="B11" s="1749"/>
      <c r="C11" s="1761" t="str">
        <f>IF(DATA!AH49=1,"","towards the rent @")</f>
        <v>towards the rent @</v>
      </c>
      <c r="D11" s="1761"/>
      <c r="E11" s="1761"/>
      <c r="F11" s="2452">
        <f>IF(DATA!AH49=1,"",DATA!S11)</f>
        <v>12000</v>
      </c>
      <c r="G11" s="2452"/>
      <c r="H11" s="1761" t="str">
        <f>IF(DATA!AH49=1,"","Per Month during the financial year")</f>
        <v>Per Month during the financial year</v>
      </c>
      <c r="I11" s="1761"/>
      <c r="J11" s="1761"/>
      <c r="K11" s="1761"/>
      <c r="L11" s="1761"/>
      <c r="M11" s="1763"/>
      <c r="O11" s="1758"/>
      <c r="P11" s="1762"/>
      <c r="Q11" s="1762"/>
      <c r="S11" s="1760"/>
      <c r="T11" s="1760"/>
      <c r="U11" s="1760"/>
      <c r="V11" s="1760"/>
      <c r="W11" s="1760"/>
      <c r="X11" s="1760"/>
      <c r="Y11" s="1760"/>
      <c r="Z11" s="1760"/>
    </row>
    <row r="12" spans="2:26" ht="21.95" customHeight="1">
      <c r="B12" s="1749"/>
      <c r="C12" s="2450" t="str">
        <f>IF(DATA!AH49=1,"",S45)</f>
        <v>in respect of House No: 13-254/ A, Near Bus Stand, Peapully, Peapully  (Mandal),  Kurnool (Dt.).</v>
      </c>
      <c r="D12" s="2450"/>
      <c r="E12" s="2450"/>
      <c r="F12" s="2450"/>
      <c r="G12" s="2450"/>
      <c r="H12" s="2450"/>
      <c r="I12" s="2450"/>
      <c r="J12" s="2450"/>
      <c r="K12" s="2450"/>
      <c r="L12" s="2450"/>
      <c r="M12" s="2451"/>
      <c r="Q12" s="1760"/>
      <c r="R12" s="1760"/>
      <c r="S12" s="1764"/>
      <c r="T12" s="1764"/>
      <c r="U12" s="1764"/>
      <c r="V12" s="1764"/>
      <c r="W12" s="1764"/>
      <c r="X12" s="1764"/>
      <c r="Y12" s="1764"/>
      <c r="Z12" s="1760"/>
    </row>
    <row r="13" spans="2:26" ht="21.95" customHeight="1">
      <c r="B13" s="1749"/>
      <c r="C13" s="2450"/>
      <c r="D13" s="2450"/>
      <c r="E13" s="2450"/>
      <c r="F13" s="2450"/>
      <c r="G13" s="2450"/>
      <c r="H13" s="2450"/>
      <c r="I13" s="2450"/>
      <c r="J13" s="2450"/>
      <c r="K13" s="2450"/>
      <c r="L13" s="2450"/>
      <c r="M13" s="2451"/>
      <c r="S13" s="1764"/>
      <c r="T13" s="1764"/>
      <c r="U13" s="1764"/>
      <c r="V13" s="1764"/>
      <c r="W13" s="1764"/>
      <c r="X13" s="1764"/>
      <c r="Y13" s="1764"/>
      <c r="Z13" s="1760"/>
    </row>
    <row r="14" spans="2:26" ht="21.75" customHeight="1">
      <c r="B14" s="1765"/>
      <c r="C14" s="1766"/>
      <c r="D14" s="1767"/>
      <c r="E14" s="1766"/>
      <c r="F14" s="1768"/>
      <c r="G14" s="1768"/>
      <c r="H14" s="1768"/>
      <c r="I14" s="1768"/>
      <c r="K14" s="1768"/>
      <c r="L14" s="1768"/>
      <c r="M14" s="1769"/>
    </row>
    <row r="15" spans="2:26" ht="15.75">
      <c r="B15" s="1765"/>
      <c r="C15" s="1766"/>
      <c r="D15" s="1767"/>
      <c r="E15" s="1766"/>
      <c r="F15" s="1768"/>
      <c r="G15" s="1768"/>
      <c r="H15" s="1768"/>
      <c r="I15" s="1768"/>
      <c r="J15" s="1768"/>
      <c r="K15" s="1768"/>
      <c r="L15" s="1768"/>
      <c r="M15" s="1769"/>
      <c r="P15" s="1770"/>
      <c r="Q15" s="1770"/>
      <c r="R15" s="1770"/>
      <c r="S15" s="1770"/>
      <c r="T15" s="1770"/>
      <c r="U15" s="1770"/>
      <c r="V15" s="1770"/>
      <c r="W15" s="1770"/>
      <c r="X15" s="1770"/>
      <c r="Y15" s="1770"/>
    </row>
    <row r="16" spans="2:26" ht="17.25" customHeight="1">
      <c r="B16" s="1765"/>
      <c r="C16" s="1771" t="s">
        <v>384</v>
      </c>
      <c r="D16" s="1772"/>
      <c r="E16" s="1772"/>
      <c r="F16" s="1772"/>
      <c r="G16" s="1768"/>
      <c r="H16" s="1768"/>
      <c r="I16" s="1768"/>
      <c r="J16" s="1768"/>
      <c r="K16" s="1768"/>
      <c r="L16" s="1768"/>
      <c r="M16" s="1769"/>
    </row>
    <row r="17" spans="2:13" ht="15.75">
      <c r="B17" s="1765"/>
      <c r="C17" s="1766"/>
      <c r="D17" s="1772" t="s">
        <v>353</v>
      </c>
      <c r="E17" s="1766"/>
      <c r="F17" s="1768"/>
      <c r="G17" s="1768"/>
      <c r="H17" s="1768"/>
      <c r="I17" s="1768"/>
      <c r="J17" s="1768"/>
      <c r="K17" s="1768"/>
      <c r="L17" s="1768"/>
      <c r="M17" s="1769"/>
    </row>
    <row r="18" spans="2:13" ht="23.25" customHeight="1">
      <c r="B18" s="1765"/>
      <c r="C18" s="1773" t="s">
        <v>354</v>
      </c>
      <c r="D18" s="1773"/>
      <c r="E18" s="2466" t="str">
        <f>DATA!O50</f>
        <v xml:space="preserve">K Suresh </v>
      </c>
      <c r="F18" s="2466"/>
      <c r="G18" s="2466"/>
      <c r="H18" s="2466"/>
      <c r="J18" s="1768"/>
      <c r="K18" s="1768"/>
      <c r="L18" s="1768"/>
      <c r="M18" s="1769"/>
    </row>
    <row r="19" spans="2:13" ht="2.4500000000000002" customHeight="1">
      <c r="B19" s="1765"/>
      <c r="C19" s="857"/>
      <c r="D19" s="1773"/>
      <c r="E19" s="1759"/>
      <c r="F19" s="1219"/>
      <c r="G19" s="1219"/>
      <c r="H19" s="1219"/>
      <c r="I19" s="1768"/>
      <c r="J19" s="1768"/>
      <c r="K19" s="1768"/>
      <c r="L19" s="1768"/>
      <c r="M19" s="1769"/>
    </row>
    <row r="20" spans="2:13" ht="20.100000000000001" customHeight="1">
      <c r="B20" s="1765"/>
      <c r="C20" s="1773" t="s">
        <v>357</v>
      </c>
      <c r="D20" s="1773"/>
      <c r="E20" s="2448" t="str">
        <f>CONCATENATE(DATA!Q45,",   ",DATA!Q46)</f>
        <v>13-254/ A,   Near Bus Stand</v>
      </c>
      <c r="F20" s="2448"/>
      <c r="G20" s="2448"/>
      <c r="H20" s="2448"/>
      <c r="I20" s="1768"/>
      <c r="J20" s="1768"/>
      <c r="K20" s="1768"/>
      <c r="L20" s="1768"/>
      <c r="M20" s="1769"/>
    </row>
    <row r="21" spans="2:13" ht="20.100000000000001" customHeight="1">
      <c r="B21" s="1765"/>
      <c r="C21" s="857"/>
      <c r="D21" s="1773"/>
      <c r="E21" s="2464" t="str">
        <f>CONCATENATE(DATA!Q47,", ",DATA!Q48,"( Mandal)")</f>
        <v>Peapully, Peapully( Mandal)</v>
      </c>
      <c r="F21" s="2464"/>
      <c r="G21" s="2464"/>
      <c r="H21" s="2464"/>
      <c r="I21" s="1768"/>
      <c r="J21" s="1768"/>
      <c r="K21" s="1768"/>
      <c r="L21" s="1768"/>
      <c r="M21" s="1769"/>
    </row>
    <row r="22" spans="2:13" ht="20.100000000000001" customHeight="1">
      <c r="B22" s="1765"/>
      <c r="C22" s="857"/>
      <c r="D22" s="1773"/>
      <c r="E22" s="1774" t="str">
        <f>CONCATENATE(DATA!Q49," ","( District)")</f>
        <v>Kurnool ( District)</v>
      </c>
      <c r="F22" s="1774"/>
      <c r="G22" s="1774"/>
      <c r="H22" s="1774"/>
      <c r="I22" s="1768"/>
      <c r="J22" s="1768"/>
      <c r="K22" s="1768"/>
      <c r="L22" s="1768"/>
      <c r="M22" s="1769"/>
    </row>
    <row r="23" spans="2:13" ht="20.100000000000001" customHeight="1">
      <c r="B23" s="1765"/>
      <c r="C23" s="1775" t="s">
        <v>364</v>
      </c>
      <c r="D23" s="1775"/>
      <c r="E23" s="2464" t="str">
        <f>DATA!S50</f>
        <v>xxxxxxxxx</v>
      </c>
      <c r="F23" s="2464"/>
      <c r="G23" s="2464"/>
      <c r="H23" s="2464"/>
      <c r="I23" s="1768"/>
      <c r="J23" s="1768"/>
      <c r="K23" s="1768"/>
      <c r="L23" s="1768"/>
      <c r="M23" s="1769"/>
    </row>
    <row r="24" spans="2:13" ht="15.75">
      <c r="B24" s="1765"/>
      <c r="C24" s="1766"/>
      <c r="D24" s="1772"/>
      <c r="E24" s="1766"/>
      <c r="F24" s="1768"/>
      <c r="G24" s="1768"/>
      <c r="H24" s="1768"/>
      <c r="I24" s="1768"/>
      <c r="J24" s="1768"/>
      <c r="K24" s="1768"/>
      <c r="L24" s="1768"/>
      <c r="M24" s="1769"/>
    </row>
    <row r="25" spans="2:13" ht="15.75">
      <c r="B25" s="1765"/>
      <c r="C25" s="1766"/>
      <c r="D25" s="1772"/>
      <c r="E25" s="1766"/>
      <c r="F25" s="1768"/>
      <c r="G25" s="1768"/>
      <c r="H25" s="1768"/>
      <c r="I25" s="1768"/>
      <c r="J25" s="1768"/>
      <c r="K25" s="1768"/>
      <c r="L25" s="1768"/>
      <c r="M25" s="1769"/>
    </row>
    <row r="26" spans="2:13" ht="15.75">
      <c r="B26" s="1765"/>
      <c r="C26" s="1766"/>
      <c r="D26" s="1772"/>
      <c r="E26" s="1766"/>
      <c r="F26" s="1768"/>
      <c r="G26" s="1768"/>
      <c r="H26" s="1768"/>
      <c r="I26" s="1768"/>
      <c r="J26" s="1768"/>
      <c r="K26" s="1768"/>
      <c r="L26" s="1768"/>
      <c r="M26" s="1769"/>
    </row>
    <row r="27" spans="2:13">
      <c r="B27" s="1765"/>
      <c r="C27" s="1766"/>
      <c r="D27" s="1766"/>
      <c r="E27" s="1766"/>
      <c r="F27" s="1768"/>
      <c r="G27" s="1768"/>
      <c r="H27" s="1768"/>
      <c r="I27" s="1768"/>
      <c r="J27" s="1768"/>
      <c r="K27" s="1768"/>
      <c r="L27" s="1768"/>
      <c r="M27" s="1769"/>
    </row>
    <row r="28" spans="2:13" ht="20.45" customHeight="1">
      <c r="B28" s="1765"/>
      <c r="C28" s="1766"/>
      <c r="D28" s="1766"/>
      <c r="E28" s="1766"/>
      <c r="F28" s="1768"/>
      <c r="G28" s="1768"/>
      <c r="H28" s="1768"/>
      <c r="I28" s="1768"/>
      <c r="J28" s="1768"/>
      <c r="K28" s="2460" t="s">
        <v>352</v>
      </c>
      <c r="L28" s="1768"/>
      <c r="M28" s="1769"/>
    </row>
    <row r="29" spans="2:13" ht="15" customHeight="1">
      <c r="B29" s="1765"/>
      <c r="C29" s="1776"/>
      <c r="D29" s="1776"/>
      <c r="E29" s="1776"/>
      <c r="F29" s="1776"/>
      <c r="G29" s="1776"/>
      <c r="H29" s="1776"/>
      <c r="I29" s="1776"/>
      <c r="J29" s="1777"/>
      <c r="K29" s="2461"/>
      <c r="M29" s="1769"/>
    </row>
    <row r="30" spans="2:13" ht="18.600000000000001" customHeight="1">
      <c r="B30" s="1765"/>
      <c r="C30" s="1766"/>
      <c r="D30" s="1778"/>
      <c r="E30" s="1778"/>
      <c r="F30" s="1778"/>
      <c r="G30" s="1778"/>
      <c r="H30" s="1778"/>
      <c r="I30" s="1778"/>
      <c r="J30" s="1777"/>
      <c r="K30" s="2462"/>
      <c r="M30" s="1769"/>
    </row>
    <row r="31" spans="2:13" ht="15.75">
      <c r="B31" s="1765"/>
      <c r="C31" s="1766"/>
      <c r="D31" s="1778"/>
      <c r="E31" s="1778"/>
      <c r="F31" s="1778"/>
      <c r="G31" s="1778"/>
      <c r="H31" s="1778"/>
      <c r="I31" s="1778"/>
      <c r="J31" s="1777"/>
      <c r="K31" s="1779"/>
      <c r="M31" s="1769"/>
    </row>
    <row r="32" spans="2:13">
      <c r="B32" s="1765"/>
      <c r="C32" s="1768"/>
      <c r="D32" s="1768"/>
      <c r="E32" s="1766"/>
      <c r="F32" s="1768"/>
      <c r="G32" s="1768"/>
      <c r="H32" s="1768"/>
      <c r="I32" s="1768"/>
      <c r="K32" s="1768"/>
      <c r="L32" s="1768"/>
      <c r="M32" s="1769"/>
    </row>
    <row r="33" spans="2:19" ht="15.75">
      <c r="B33" s="1765"/>
      <c r="C33" s="1766"/>
      <c r="D33" s="2463" t="s">
        <v>947</v>
      </c>
      <c r="E33" s="2463"/>
      <c r="F33" s="2463"/>
      <c r="G33" s="1768"/>
      <c r="H33" s="1768"/>
      <c r="I33" s="2465" t="s">
        <v>718</v>
      </c>
      <c r="J33" s="2465"/>
      <c r="K33" s="2465"/>
      <c r="L33" s="2465"/>
      <c r="M33" s="1769"/>
    </row>
    <row r="34" spans="2:19">
      <c r="B34" s="1765"/>
      <c r="C34" s="1780"/>
      <c r="D34" s="1780"/>
      <c r="E34" s="1780"/>
      <c r="F34" s="1781"/>
      <c r="G34" s="1781"/>
      <c r="H34" s="1781"/>
      <c r="I34" s="1781"/>
      <c r="J34" s="1781"/>
      <c r="K34" s="1781"/>
      <c r="L34" s="1781"/>
      <c r="M34" s="1769"/>
    </row>
    <row r="35" spans="2:19">
      <c r="B35" s="1765"/>
      <c r="C35" s="1780"/>
      <c r="D35" s="1780"/>
      <c r="E35" s="1780"/>
      <c r="F35" s="1781"/>
      <c r="G35" s="1781"/>
      <c r="H35" s="1781"/>
      <c r="I35" s="1781"/>
      <c r="J35" s="1781"/>
      <c r="K35" s="1781"/>
      <c r="L35" s="1781"/>
      <c r="M35" s="1769"/>
    </row>
    <row r="36" spans="2:19">
      <c r="B36" s="1765"/>
      <c r="C36" s="1780"/>
      <c r="D36" s="1780"/>
      <c r="E36" s="1780"/>
      <c r="F36" s="1781"/>
      <c r="G36" s="1781"/>
      <c r="H36" s="1781"/>
      <c r="I36" s="1781"/>
      <c r="J36" s="1781"/>
      <c r="K36" s="1781"/>
      <c r="L36" s="1781"/>
      <c r="M36" s="1769"/>
    </row>
    <row r="37" spans="2:19">
      <c r="B37" s="1765"/>
      <c r="C37" s="1780"/>
      <c r="D37" s="1780"/>
      <c r="E37" s="1780"/>
      <c r="F37" s="1781"/>
      <c r="G37" s="1781"/>
      <c r="H37" s="1781"/>
      <c r="I37" s="1781"/>
      <c r="J37" s="1781"/>
      <c r="K37" s="1781"/>
      <c r="L37" s="1781"/>
      <c r="M37" s="1769"/>
    </row>
    <row r="38" spans="2:19">
      <c r="B38" s="1765"/>
      <c r="C38" s="1780"/>
      <c r="D38" s="1780"/>
      <c r="E38" s="1780"/>
      <c r="F38" s="1781"/>
      <c r="G38" s="1781"/>
      <c r="H38" s="1781"/>
      <c r="I38" s="1781"/>
      <c r="J38" s="1781"/>
      <c r="K38" s="1781"/>
      <c r="L38" s="1781"/>
      <c r="M38" s="1769"/>
    </row>
    <row r="39" spans="2:19" ht="15" customHeight="1">
      <c r="B39" s="1782"/>
      <c r="C39" s="1783"/>
      <c r="D39" s="1783"/>
      <c r="E39" s="1783"/>
      <c r="F39" s="1783"/>
      <c r="G39" s="1783"/>
      <c r="H39" s="1783"/>
      <c r="I39" s="1783"/>
      <c r="J39" s="1783"/>
      <c r="K39" s="1783"/>
      <c r="L39" s="1783"/>
      <c r="M39" s="1784"/>
    </row>
    <row r="45" spans="2:19">
      <c r="S45" s="766" t="str">
        <f>CONCATENATE("in respect of House No: ",DATA!Q45,", ",DATA!Q46,", ",DATA!Q47,", ",DATA!Q48,"  (","Mandal",")",",  ",DATA!Q49," (","Dt.",")",".")</f>
        <v>in respect of House No: 13-254/ A, Near Bus Stand, Peapully, Peapully  (Mandal),  Kurnool (Dt.).</v>
      </c>
    </row>
  </sheetData>
  <sheetProtection sheet="1" objects="1" scenarios="1"/>
  <mergeCells count="16">
    <mergeCell ref="K28:K30"/>
    <mergeCell ref="D33:F33"/>
    <mergeCell ref="E23:H23"/>
    <mergeCell ref="I33:L33"/>
    <mergeCell ref="E18:H18"/>
    <mergeCell ref="E21:H21"/>
    <mergeCell ref="C4:L4"/>
    <mergeCell ref="E20:H20"/>
    <mergeCell ref="E9:I9"/>
    <mergeCell ref="C12:M13"/>
    <mergeCell ref="F11:G11"/>
    <mergeCell ref="C5:L5"/>
    <mergeCell ref="L9:M9"/>
    <mergeCell ref="F10:M10"/>
    <mergeCell ref="F8:M8"/>
    <mergeCell ref="C9:D9"/>
  </mergeCells>
  <printOptions horizontalCentered="1" verticalCentered="1"/>
  <pageMargins left="0.4" right="0.25" top="0.5" bottom="0.5" header="0.5" footer="0.5"/>
  <headerFooter alignWithMargins="0"/>
  <drawing r:id="rId1"/>
</worksheet>
</file>

<file path=docProps/app.xml><?xml version="1.0" encoding="utf-8"?>
<Properties xmlns="http://schemas.openxmlformats.org/officeDocument/2006/extended-properties" xmlns:vt="http://schemas.openxmlformats.org/officeDocument/2006/docPropsVTypes">
  <Application>Kingsoft Office</Application>
  <DocSecurity>0</DocSecurity>
  <ScaleCrop>false</ScaleCrop>
  <HeadingPairs>
    <vt:vector size="2" baseType="variant">
      <vt:variant>
        <vt:lpstr>Worksheets</vt:lpstr>
      </vt:variant>
      <vt:variant>
        <vt:i4>10</vt:i4>
      </vt:variant>
    </vt:vector>
  </HeadingPairs>
  <TitlesOfParts>
    <vt:vector size="10" baseType="lpstr">
      <vt:lpstr>Tax rules</vt:lpstr>
      <vt:lpstr>DATA</vt:lpstr>
      <vt:lpstr>Bill</vt:lpstr>
      <vt:lpstr>Annexure -I I</vt:lpstr>
      <vt:lpstr>Form-16</vt:lpstr>
      <vt:lpstr>Form-16 Back</vt:lpstr>
      <vt:lpstr>Form 12BB</vt:lpstr>
      <vt:lpstr>Form 10E</vt:lpstr>
      <vt:lpstr>DA Table</vt:lpstr>
      <vt:lpstr>Rent Receipt</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dc:creator>
  <cp:lastModifiedBy>USER</cp:lastModifiedBy>
  <dcterms:created xsi:type="dcterms:W3CDTF">2013-10-08T10:35:41Z</dcterms:created>
  <dcterms:modified xsi:type="dcterms:W3CDTF">2021-12-23T09:20:14Z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c9a77ea008b34fdfa70704f128bc6cf8</vt:lpwstr>
  </property>
</Properties>
</file>